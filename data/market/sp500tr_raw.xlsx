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IFERROR(__xludf.DUMMYFUNCTION("GOOGLEFINANCE(""INDEXSP:SP500TR"", ""price"", DATE(1997,12,31), DATE(2025,12,31), ""DAILY"")"),"Date")</f>
        <v>Date</v>
      </c>
      <c r="B1" s="1" t="str">
        <f>IFERROR(__xludf.DUMMYFUNCTION("""COMPUTED_VALUE"""),"Close")</f>
        <v>Close</v>
      </c>
    </row>
    <row r="2">
      <c r="A2" s="2">
        <f>IFERROR(__xludf.DUMMYFUNCTION("""COMPUTED_VALUE"""),35795.666666666664)</f>
        <v>35795.66667</v>
      </c>
      <c r="B2" s="1">
        <f>IFERROR(__xludf.DUMMYFUNCTION("""COMPUTED_VALUE"""),1298.82)</f>
        <v>1298.82</v>
      </c>
    </row>
    <row r="3">
      <c r="A3" s="2">
        <f>IFERROR(__xludf.DUMMYFUNCTION("""COMPUTED_VALUE"""),35797.666666666664)</f>
        <v>35797.66667</v>
      </c>
      <c r="B3" s="1">
        <f>IFERROR(__xludf.DUMMYFUNCTION("""COMPUTED_VALUE"""),1305.04)</f>
        <v>1305.04</v>
      </c>
    </row>
    <row r="4">
      <c r="A4" s="2">
        <f>IFERROR(__xludf.DUMMYFUNCTION("""COMPUTED_VALUE"""),35800.666666666664)</f>
        <v>35800.66667</v>
      </c>
      <c r="B4" s="1">
        <f>IFERROR(__xludf.DUMMYFUNCTION("""COMPUTED_VALUE"""),1307.78)</f>
        <v>1307.78</v>
      </c>
    </row>
    <row r="5">
      <c r="A5" s="2">
        <f>IFERROR(__xludf.DUMMYFUNCTION("""COMPUTED_VALUE"""),35801.666666666664)</f>
        <v>35801.66667</v>
      </c>
      <c r="B5" s="1">
        <f>IFERROR(__xludf.DUMMYFUNCTION("""COMPUTED_VALUE"""),1293.8)</f>
        <v>1293.8</v>
      </c>
    </row>
    <row r="6">
      <c r="A6" s="2">
        <f>IFERROR(__xludf.DUMMYFUNCTION("""COMPUTED_VALUE"""),35802.666666666664)</f>
        <v>35802.66667</v>
      </c>
      <c r="B6" s="1">
        <f>IFERROR(__xludf.DUMMYFUNCTION("""COMPUTED_VALUE"""),1290.66)</f>
        <v>1290.66</v>
      </c>
    </row>
    <row r="7">
      <c r="A7" s="2">
        <f>IFERROR(__xludf.DUMMYFUNCTION("""COMPUTED_VALUE"""),35803.666666666664)</f>
        <v>35803.66667</v>
      </c>
      <c r="B7" s="1">
        <f>IFERROR(__xludf.DUMMYFUNCTION("""COMPUTED_VALUE"""),1280.07)</f>
        <v>1280.07</v>
      </c>
    </row>
    <row r="8">
      <c r="A8" s="2">
        <f>IFERROR(__xludf.DUMMYFUNCTION("""COMPUTED_VALUE"""),35804.666666666664)</f>
        <v>35804.66667</v>
      </c>
      <c r="B8" s="1">
        <f>IFERROR(__xludf.DUMMYFUNCTION("""COMPUTED_VALUE"""),1242.1)</f>
        <v>1242.1</v>
      </c>
    </row>
    <row r="9">
      <c r="A9" s="2">
        <f>IFERROR(__xludf.DUMMYFUNCTION("""COMPUTED_VALUE"""),35807.666666666664)</f>
        <v>35807.66667</v>
      </c>
      <c r="B9" s="1">
        <f>IFERROR(__xludf.DUMMYFUNCTION("""COMPUTED_VALUE"""),1257.53)</f>
        <v>1257.53</v>
      </c>
    </row>
    <row r="10">
      <c r="A10" s="2">
        <f>IFERROR(__xludf.DUMMYFUNCTION("""COMPUTED_VALUE"""),35808.666666666664)</f>
        <v>35808.66667</v>
      </c>
      <c r="B10" s="1">
        <f>IFERROR(__xludf.DUMMYFUNCTION("""COMPUTED_VALUE"""),1274.87)</f>
        <v>1274.87</v>
      </c>
    </row>
    <row r="11">
      <c r="A11" s="2">
        <f>IFERROR(__xludf.DUMMYFUNCTION("""COMPUTED_VALUE"""),35809.666666666664)</f>
        <v>35809.66667</v>
      </c>
      <c r="B11" s="1">
        <f>IFERROR(__xludf.DUMMYFUNCTION("""COMPUTED_VALUE"""),1282.71)</f>
        <v>1282.71</v>
      </c>
    </row>
    <row r="12">
      <c r="A12" s="2">
        <f>IFERROR(__xludf.DUMMYFUNCTION("""COMPUTED_VALUE"""),35810.666666666664)</f>
        <v>35810.66667</v>
      </c>
      <c r="B12" s="1">
        <f>IFERROR(__xludf.DUMMYFUNCTION("""COMPUTED_VALUE"""),1273.1)</f>
        <v>1273.1</v>
      </c>
    </row>
    <row r="13">
      <c r="A13" s="2">
        <f>IFERROR(__xludf.DUMMYFUNCTION("""COMPUTED_VALUE"""),35811.666666666664)</f>
        <v>35811.66667</v>
      </c>
      <c r="B13" s="1">
        <f>IFERROR(__xludf.DUMMYFUNCTION("""COMPUTED_VALUE"""),1287.53)</f>
        <v>1287.53</v>
      </c>
    </row>
    <row r="14">
      <c r="A14" s="2">
        <f>IFERROR(__xludf.DUMMYFUNCTION("""COMPUTED_VALUE"""),35815.666666666664)</f>
        <v>35815.66667</v>
      </c>
      <c r="B14" s="1">
        <f>IFERROR(__xludf.DUMMYFUNCTION("""COMPUTED_VALUE"""),1310.43)</f>
        <v>1310.43</v>
      </c>
    </row>
    <row r="15">
      <c r="A15" s="2">
        <f>IFERROR(__xludf.DUMMYFUNCTION("""COMPUTED_VALUE"""),35816.666666666664)</f>
        <v>35816.66667</v>
      </c>
      <c r="B15" s="1">
        <f>IFERROR(__xludf.DUMMYFUNCTION("""COMPUTED_VALUE"""),1300.08)</f>
        <v>1300.08</v>
      </c>
    </row>
    <row r="16">
      <c r="A16" s="2">
        <f>IFERROR(__xludf.DUMMYFUNCTION("""COMPUTED_VALUE"""),35817.666666666664)</f>
        <v>35817.66667</v>
      </c>
      <c r="B16" s="1">
        <f>IFERROR(__xludf.DUMMYFUNCTION("""COMPUTED_VALUE"""),1289.68)</f>
        <v>1289.68</v>
      </c>
    </row>
    <row r="17">
      <c r="A17" s="2">
        <f>IFERROR(__xludf.DUMMYFUNCTION("""COMPUTED_VALUE"""),35818.666666666664)</f>
        <v>35818.66667</v>
      </c>
      <c r="B17" s="1">
        <f>IFERROR(__xludf.DUMMYFUNCTION("""COMPUTED_VALUE"""),1282.4)</f>
        <v>1282.4</v>
      </c>
    </row>
    <row r="18">
      <c r="A18" s="2">
        <f>IFERROR(__xludf.DUMMYFUNCTION("""COMPUTED_VALUE"""),35821.666666666664)</f>
        <v>35821.66667</v>
      </c>
      <c r="B18" s="1">
        <f>IFERROR(__xludf.DUMMYFUNCTION("""COMPUTED_VALUE"""),1281.53)</f>
        <v>1281.53</v>
      </c>
    </row>
    <row r="19">
      <c r="A19" s="2">
        <f>IFERROR(__xludf.DUMMYFUNCTION("""COMPUTED_VALUE"""),35822.666666666664)</f>
        <v>35822.66667</v>
      </c>
      <c r="B19" s="1">
        <f>IFERROR(__xludf.DUMMYFUNCTION("""COMPUTED_VALUE"""),1297.7)</f>
        <v>1297.7</v>
      </c>
    </row>
    <row r="20">
      <c r="A20" s="2">
        <f>IFERROR(__xludf.DUMMYFUNCTION("""COMPUTED_VALUE"""),35823.666666666664)</f>
        <v>35823.66667</v>
      </c>
      <c r="B20" s="1">
        <f>IFERROR(__xludf.DUMMYFUNCTION("""COMPUTED_VALUE"""),1309.31)</f>
        <v>1309.31</v>
      </c>
    </row>
    <row r="21">
      <c r="A21" s="2">
        <f>IFERROR(__xludf.DUMMYFUNCTION("""COMPUTED_VALUE"""),35824.666666666664)</f>
        <v>35824.66667</v>
      </c>
      <c r="B21" s="1">
        <f>IFERROR(__xludf.DUMMYFUNCTION("""COMPUTED_VALUE"""),1320.16)</f>
        <v>1320.16</v>
      </c>
    </row>
    <row r="22">
      <c r="A22" s="2">
        <f>IFERROR(__xludf.DUMMYFUNCTION("""COMPUTED_VALUE"""),35825.666666666664)</f>
        <v>35825.66667</v>
      </c>
      <c r="B22" s="1">
        <f>IFERROR(__xludf.DUMMYFUNCTION("""COMPUTED_VALUE"""),1313.19)</f>
        <v>1313.19</v>
      </c>
    </row>
    <row r="23">
      <c r="A23" s="2">
        <f>IFERROR(__xludf.DUMMYFUNCTION("""COMPUTED_VALUE"""),35828.666666666664)</f>
        <v>35828.66667</v>
      </c>
      <c r="B23" s="1">
        <f>IFERROR(__xludf.DUMMYFUNCTION("""COMPUTED_VALUE"""),1341.32)</f>
        <v>1341.32</v>
      </c>
    </row>
    <row r="24">
      <c r="A24" s="2">
        <f>IFERROR(__xludf.DUMMYFUNCTION("""COMPUTED_VALUE"""),35829.666666666664)</f>
        <v>35829.66667</v>
      </c>
      <c r="B24" s="1">
        <f>IFERROR(__xludf.DUMMYFUNCTION("""COMPUTED_VALUE"""),1347.72)</f>
        <v>1347.72</v>
      </c>
    </row>
    <row r="25">
      <c r="A25" s="2">
        <f>IFERROR(__xludf.DUMMYFUNCTION("""COMPUTED_VALUE"""),35830.666666666664)</f>
        <v>35830.66667</v>
      </c>
      <c r="B25" s="1">
        <f>IFERROR(__xludf.DUMMYFUNCTION("""COMPUTED_VALUE"""),1349.11)</f>
        <v>1349.11</v>
      </c>
    </row>
    <row r="26">
      <c r="A26" s="2">
        <f>IFERROR(__xludf.DUMMYFUNCTION("""COMPUTED_VALUE"""),35831.666666666664)</f>
        <v>35831.66667</v>
      </c>
      <c r="B26" s="1">
        <f>IFERROR(__xludf.DUMMYFUNCTION("""COMPUTED_VALUE"""),1344.77)</f>
        <v>1344.77</v>
      </c>
    </row>
    <row r="27">
      <c r="A27" s="2">
        <f>IFERROR(__xludf.DUMMYFUNCTION("""COMPUTED_VALUE"""),35832.666666666664)</f>
        <v>35832.66667</v>
      </c>
      <c r="B27" s="1">
        <f>IFERROR(__xludf.DUMMYFUNCTION("""COMPUTED_VALUE"""),1356.96)</f>
        <v>1356.96</v>
      </c>
    </row>
    <row r="28">
      <c r="A28" s="2">
        <f>IFERROR(__xludf.DUMMYFUNCTION("""COMPUTED_VALUE"""),35835.666666666664)</f>
        <v>35835.66667</v>
      </c>
      <c r="B28" s="1">
        <f>IFERROR(__xludf.DUMMYFUNCTION("""COMPUTED_VALUE"""),1354.75)</f>
        <v>1354.75</v>
      </c>
    </row>
    <row r="29">
      <c r="A29" s="2">
        <f>IFERROR(__xludf.DUMMYFUNCTION("""COMPUTED_VALUE"""),35836.666666666664)</f>
        <v>35836.66667</v>
      </c>
      <c r="B29" s="1">
        <f>IFERROR(__xludf.DUMMYFUNCTION("""COMPUTED_VALUE"""),1365.85)</f>
        <v>1365.85</v>
      </c>
    </row>
    <row r="30">
      <c r="A30" s="2">
        <f>IFERROR(__xludf.DUMMYFUNCTION("""COMPUTED_VALUE"""),35837.666666666664)</f>
        <v>35837.66667</v>
      </c>
      <c r="B30" s="1">
        <f>IFERROR(__xludf.DUMMYFUNCTION("""COMPUTED_VALUE"""),1367.49)</f>
        <v>1367.49</v>
      </c>
    </row>
    <row r="31">
      <c r="A31" s="2">
        <f>IFERROR(__xludf.DUMMYFUNCTION("""COMPUTED_VALUE"""),35838.666666666664)</f>
        <v>35838.66667</v>
      </c>
      <c r="B31" s="1">
        <f>IFERROR(__xludf.DUMMYFUNCTION("""COMPUTED_VALUE"""),1373.16)</f>
        <v>1373.16</v>
      </c>
    </row>
    <row r="32">
      <c r="A32" s="2">
        <f>IFERROR(__xludf.DUMMYFUNCTION("""COMPUTED_VALUE"""),35839.666666666664)</f>
        <v>35839.66667</v>
      </c>
      <c r="B32" s="1">
        <f>IFERROR(__xludf.DUMMYFUNCTION("""COMPUTED_VALUE"""),1367.77)</f>
        <v>1367.77</v>
      </c>
    </row>
    <row r="33">
      <c r="A33" s="2">
        <f>IFERROR(__xludf.DUMMYFUNCTION("""COMPUTED_VALUE"""),35843.666666666664)</f>
        <v>35843.66667</v>
      </c>
      <c r="B33" s="1">
        <f>IFERROR(__xludf.DUMMYFUNCTION("""COMPUTED_VALUE"""),1371.41)</f>
        <v>1371.41</v>
      </c>
    </row>
    <row r="34">
      <c r="A34" s="2">
        <f>IFERROR(__xludf.DUMMYFUNCTION("""COMPUTED_VALUE"""),35844.666666666664)</f>
        <v>35844.66667</v>
      </c>
      <c r="B34" s="1">
        <f>IFERROR(__xludf.DUMMYFUNCTION("""COMPUTED_VALUE"""),1384.24)</f>
        <v>1384.24</v>
      </c>
    </row>
    <row r="35">
      <c r="A35" s="2">
        <f>IFERROR(__xludf.DUMMYFUNCTION("""COMPUTED_VALUE"""),35845.666666666664)</f>
        <v>35845.66667</v>
      </c>
      <c r="B35" s="1">
        <f>IFERROR(__xludf.DUMMYFUNCTION("""COMPUTED_VALUE"""),1379.19)</f>
        <v>1379.19</v>
      </c>
    </row>
    <row r="36">
      <c r="A36" s="2">
        <f>IFERROR(__xludf.DUMMYFUNCTION("""COMPUTED_VALUE"""),35846.666666666664)</f>
        <v>35846.66667</v>
      </c>
      <c r="B36" s="1">
        <f>IFERROR(__xludf.DUMMYFUNCTION("""COMPUTED_VALUE"""),1387.16)</f>
        <v>1387.16</v>
      </c>
    </row>
    <row r="37">
      <c r="A37" s="2">
        <f>IFERROR(__xludf.DUMMYFUNCTION("""COMPUTED_VALUE"""),35849.666666666664)</f>
        <v>35849.66667</v>
      </c>
      <c r="B37" s="1">
        <f>IFERROR(__xludf.DUMMYFUNCTION("""COMPUTED_VALUE"""),1392.46)</f>
        <v>1392.46</v>
      </c>
    </row>
    <row r="38">
      <c r="A38" s="2">
        <f>IFERROR(__xludf.DUMMYFUNCTION("""COMPUTED_VALUE"""),35850.666666666664)</f>
        <v>35850.66667</v>
      </c>
      <c r="B38" s="1">
        <f>IFERROR(__xludf.DUMMYFUNCTION("""COMPUTED_VALUE"""),1382.29)</f>
        <v>1382.29</v>
      </c>
    </row>
    <row r="39">
      <c r="A39" s="2">
        <f>IFERROR(__xludf.DUMMYFUNCTION("""COMPUTED_VALUE"""),35851.666666666664)</f>
        <v>35851.66667</v>
      </c>
      <c r="B39" s="1">
        <f>IFERROR(__xludf.DUMMYFUNCTION("""COMPUTED_VALUE"""),1399.04)</f>
        <v>1399.04</v>
      </c>
    </row>
    <row r="40">
      <c r="A40" s="2">
        <f>IFERROR(__xludf.DUMMYFUNCTION("""COMPUTED_VALUE"""),35852.666666666664)</f>
        <v>35852.66667</v>
      </c>
      <c r="B40" s="1">
        <f>IFERROR(__xludf.DUMMYFUNCTION("""COMPUTED_VALUE"""),1406.95)</f>
        <v>1406.95</v>
      </c>
    </row>
    <row r="41">
      <c r="A41" s="2">
        <f>IFERROR(__xludf.DUMMYFUNCTION("""COMPUTED_VALUE"""),35853.666666666664)</f>
        <v>35853.66667</v>
      </c>
      <c r="B41" s="1">
        <f>IFERROR(__xludf.DUMMYFUNCTION("""COMPUTED_VALUE"""),1407.9)</f>
        <v>1407.9</v>
      </c>
    </row>
    <row r="42">
      <c r="A42" s="2">
        <f>IFERROR(__xludf.DUMMYFUNCTION("""COMPUTED_VALUE"""),35856.666666666664)</f>
        <v>35856.66667</v>
      </c>
      <c r="B42" s="1">
        <f>IFERROR(__xludf.DUMMYFUNCTION("""COMPUTED_VALUE"""),1405.73)</f>
        <v>1405.73</v>
      </c>
    </row>
    <row r="43">
      <c r="A43" s="2">
        <f>IFERROR(__xludf.DUMMYFUNCTION("""COMPUTED_VALUE"""),35857.666666666664)</f>
        <v>35857.66667</v>
      </c>
      <c r="B43" s="1">
        <f>IFERROR(__xludf.DUMMYFUNCTION("""COMPUTED_VALUE"""),1411.54)</f>
        <v>1411.54</v>
      </c>
    </row>
    <row r="44">
      <c r="A44" s="2">
        <f>IFERROR(__xludf.DUMMYFUNCTION("""COMPUTED_VALUE"""),35858.666666666664)</f>
        <v>35858.66667</v>
      </c>
      <c r="B44" s="1">
        <f>IFERROR(__xludf.DUMMYFUNCTION("""COMPUTED_VALUE"""),1405.56)</f>
        <v>1405.56</v>
      </c>
    </row>
    <row r="45">
      <c r="A45" s="2">
        <f>IFERROR(__xludf.DUMMYFUNCTION("""COMPUTED_VALUE"""),35859.666666666664)</f>
        <v>35859.66667</v>
      </c>
      <c r="B45" s="1">
        <f>IFERROR(__xludf.DUMMYFUNCTION("""COMPUTED_VALUE"""),1389.27)</f>
        <v>1389.27</v>
      </c>
    </row>
    <row r="46">
      <c r="A46" s="2">
        <f>IFERROR(__xludf.DUMMYFUNCTION("""COMPUTED_VALUE"""),35860.666666666664)</f>
        <v>35860.66667</v>
      </c>
      <c r="B46" s="1">
        <f>IFERROR(__xludf.DUMMYFUNCTION("""COMPUTED_VALUE"""),1417.1)</f>
        <v>1417.1</v>
      </c>
    </row>
    <row r="47">
      <c r="A47" s="2">
        <f>IFERROR(__xludf.DUMMYFUNCTION("""COMPUTED_VALUE"""),35863.666666666664)</f>
        <v>35863.66667</v>
      </c>
      <c r="B47" s="1">
        <f>IFERROR(__xludf.DUMMYFUNCTION("""COMPUTED_VALUE"""),1412.58)</f>
        <v>1412.58</v>
      </c>
    </row>
    <row r="48">
      <c r="A48" s="2">
        <f>IFERROR(__xludf.DUMMYFUNCTION("""COMPUTED_VALUE"""),35864.666666666664)</f>
        <v>35864.66667</v>
      </c>
      <c r="B48" s="1">
        <f>IFERROR(__xludf.DUMMYFUNCTION("""COMPUTED_VALUE"""),1428.63)</f>
        <v>1428.63</v>
      </c>
    </row>
    <row r="49">
      <c r="A49" s="2">
        <f>IFERROR(__xludf.DUMMYFUNCTION("""COMPUTED_VALUE"""),35865.666666666664)</f>
        <v>35865.66667</v>
      </c>
      <c r="B49" s="1">
        <f>IFERROR(__xludf.DUMMYFUNCTION("""COMPUTED_VALUE"""),1434.56)</f>
        <v>1434.56</v>
      </c>
    </row>
    <row r="50">
      <c r="A50" s="2">
        <f>IFERROR(__xludf.DUMMYFUNCTION("""COMPUTED_VALUE"""),35866.666666666664)</f>
        <v>35866.66667</v>
      </c>
      <c r="B50" s="1">
        <f>IFERROR(__xludf.DUMMYFUNCTION("""COMPUTED_VALUE"""),1436.73)</f>
        <v>1436.73</v>
      </c>
    </row>
    <row r="51">
      <c r="A51" s="2">
        <f>IFERROR(__xludf.DUMMYFUNCTION("""COMPUTED_VALUE"""),35867.666666666664)</f>
        <v>35867.66667</v>
      </c>
      <c r="B51" s="1">
        <f>IFERROR(__xludf.DUMMYFUNCTION("""COMPUTED_VALUE"""),1434.99)</f>
        <v>1434.99</v>
      </c>
    </row>
    <row r="52">
      <c r="A52" s="2">
        <f>IFERROR(__xludf.DUMMYFUNCTION("""COMPUTED_VALUE"""),35870.666666666664)</f>
        <v>35870.66667</v>
      </c>
      <c r="B52" s="1">
        <f>IFERROR(__xludf.DUMMYFUNCTION("""COMPUTED_VALUE"""),1449.33)</f>
        <v>1449.33</v>
      </c>
    </row>
    <row r="53">
      <c r="A53" s="2">
        <f>IFERROR(__xludf.DUMMYFUNCTION("""COMPUTED_VALUE"""),35871.666666666664)</f>
        <v>35871.66667</v>
      </c>
      <c r="B53" s="1">
        <f>IFERROR(__xludf.DUMMYFUNCTION("""COMPUTED_VALUE"""),1450.91)</f>
        <v>1450.91</v>
      </c>
    </row>
    <row r="54">
      <c r="A54" s="2">
        <f>IFERROR(__xludf.DUMMYFUNCTION("""COMPUTED_VALUE"""),35872.666666666664)</f>
        <v>35872.66667</v>
      </c>
      <c r="B54" s="1">
        <f>IFERROR(__xludf.DUMMYFUNCTION("""COMPUTED_VALUE"""),1457.79)</f>
        <v>1457.79</v>
      </c>
    </row>
    <row r="55">
      <c r="A55" s="2">
        <f>IFERROR(__xludf.DUMMYFUNCTION("""COMPUTED_VALUE"""),35873.666666666664)</f>
        <v>35873.66667</v>
      </c>
      <c r="B55" s="1">
        <f>IFERROR(__xludf.DUMMYFUNCTION("""COMPUTED_VALUE"""),1463.51)</f>
        <v>1463.51</v>
      </c>
    </row>
    <row r="56">
      <c r="A56" s="2">
        <f>IFERROR(__xludf.DUMMYFUNCTION("""COMPUTED_VALUE"""),35874.666666666664)</f>
        <v>35874.66667</v>
      </c>
      <c r="B56" s="1">
        <f>IFERROR(__xludf.DUMMYFUNCTION("""COMPUTED_VALUE"""),1476.17)</f>
        <v>1476.17</v>
      </c>
    </row>
    <row r="57">
      <c r="A57" s="2">
        <f>IFERROR(__xludf.DUMMYFUNCTION("""COMPUTED_VALUE"""),35877.666666666664)</f>
        <v>35877.66667</v>
      </c>
      <c r="B57" s="1">
        <f>IFERROR(__xludf.DUMMYFUNCTION("""COMPUTED_VALUE"""),1471.35)</f>
        <v>1471.35</v>
      </c>
    </row>
    <row r="58">
      <c r="A58" s="2">
        <f>IFERROR(__xludf.DUMMYFUNCTION("""COMPUTED_VALUE"""),35878.666666666664)</f>
        <v>35878.66667</v>
      </c>
      <c r="B58" s="1">
        <f>IFERROR(__xludf.DUMMYFUNCTION("""COMPUTED_VALUE"""),1484.92)</f>
        <v>1484.92</v>
      </c>
    </row>
    <row r="59">
      <c r="A59" s="2">
        <f>IFERROR(__xludf.DUMMYFUNCTION("""COMPUTED_VALUE"""),35879.666666666664)</f>
        <v>35879.66667</v>
      </c>
      <c r="B59" s="1">
        <f>IFERROR(__xludf.DUMMYFUNCTION("""COMPUTED_VALUE"""),1479.95)</f>
        <v>1479.95</v>
      </c>
    </row>
    <row r="60">
      <c r="A60" s="2">
        <f>IFERROR(__xludf.DUMMYFUNCTION("""COMPUTED_VALUE"""),35880.666666666664)</f>
        <v>35880.66667</v>
      </c>
      <c r="B60" s="1">
        <f>IFERROR(__xludf.DUMMYFUNCTION("""COMPUTED_VALUE"""),1478.43)</f>
        <v>1478.43</v>
      </c>
    </row>
    <row r="61">
      <c r="A61" s="2">
        <f>IFERROR(__xludf.DUMMYFUNCTION("""COMPUTED_VALUE"""),35881.666666666664)</f>
        <v>35881.66667</v>
      </c>
      <c r="B61" s="1">
        <f>IFERROR(__xludf.DUMMYFUNCTION("""COMPUTED_VALUE"""),1471.49)</f>
        <v>1471.49</v>
      </c>
    </row>
    <row r="62">
      <c r="A62" s="2">
        <f>IFERROR(__xludf.DUMMYFUNCTION("""COMPUTED_VALUE"""),35884.666666666664)</f>
        <v>35884.66667</v>
      </c>
      <c r="B62" s="1">
        <f>IFERROR(__xludf.DUMMYFUNCTION("""COMPUTED_VALUE"""),1468.97)</f>
        <v>1468.97</v>
      </c>
    </row>
    <row r="63">
      <c r="A63" s="2">
        <f>IFERROR(__xludf.DUMMYFUNCTION("""COMPUTED_VALUE"""),35885.666666666664)</f>
        <v>35885.66667</v>
      </c>
      <c r="B63" s="1">
        <f>IFERROR(__xludf.DUMMYFUNCTION("""COMPUTED_VALUE"""),1480.0)</f>
        <v>1480</v>
      </c>
    </row>
    <row r="64">
      <c r="A64" s="2">
        <f>IFERROR(__xludf.DUMMYFUNCTION("""COMPUTED_VALUE"""),35886.666666666664)</f>
        <v>35886.66667</v>
      </c>
      <c r="B64" s="1">
        <f>IFERROR(__xludf.DUMMYFUNCTION("""COMPUTED_VALUE"""),1488.7)</f>
        <v>1488.7</v>
      </c>
    </row>
    <row r="65">
      <c r="A65" s="2">
        <f>IFERROR(__xludf.DUMMYFUNCTION("""COMPUTED_VALUE"""),35887.666666666664)</f>
        <v>35887.66667</v>
      </c>
      <c r="B65" s="1">
        <f>IFERROR(__xludf.DUMMYFUNCTION("""COMPUTED_VALUE"""),1504.69)</f>
        <v>1504.69</v>
      </c>
    </row>
    <row r="66">
      <c r="A66" s="2">
        <f>IFERROR(__xludf.DUMMYFUNCTION("""COMPUTED_VALUE"""),35888.666666666664)</f>
        <v>35888.66667</v>
      </c>
      <c r="B66" s="1">
        <f>IFERROR(__xludf.DUMMYFUNCTION("""COMPUTED_VALUE"""),1508.32)</f>
        <v>1508.32</v>
      </c>
    </row>
    <row r="67">
      <c r="A67" s="2">
        <f>IFERROR(__xludf.DUMMYFUNCTION("""COMPUTED_VALUE"""),35891.666666666664)</f>
        <v>35891.66667</v>
      </c>
      <c r="B67" s="1">
        <f>IFERROR(__xludf.DUMMYFUNCTION("""COMPUTED_VALUE"""),1506.58)</f>
        <v>1506.58</v>
      </c>
    </row>
    <row r="68">
      <c r="A68" s="2">
        <f>IFERROR(__xludf.DUMMYFUNCTION("""COMPUTED_VALUE"""),35892.666666666664)</f>
        <v>35892.66667</v>
      </c>
      <c r="B68" s="1">
        <f>IFERROR(__xludf.DUMMYFUNCTION("""COMPUTED_VALUE"""),1491.12)</f>
        <v>1491.12</v>
      </c>
    </row>
    <row r="69">
      <c r="A69" s="2">
        <f>IFERROR(__xludf.DUMMYFUNCTION("""COMPUTED_VALUE"""),35893.666666666664)</f>
        <v>35893.66667</v>
      </c>
      <c r="B69" s="1">
        <f>IFERROR(__xludf.DUMMYFUNCTION("""COMPUTED_VALUE"""),1480.54)</f>
        <v>1480.54</v>
      </c>
    </row>
    <row r="70">
      <c r="A70" s="2">
        <f>IFERROR(__xludf.DUMMYFUNCTION("""COMPUTED_VALUE"""),35894.666666666664)</f>
        <v>35894.66667</v>
      </c>
      <c r="B70" s="1">
        <f>IFERROR(__xludf.DUMMYFUNCTION("""COMPUTED_VALUE"""),1492.68)</f>
        <v>1492.68</v>
      </c>
    </row>
    <row r="71">
      <c r="A71" s="2">
        <f>IFERROR(__xludf.DUMMYFUNCTION("""COMPUTED_VALUE"""),35898.666666666664)</f>
        <v>35898.66667</v>
      </c>
      <c r="B71" s="1">
        <f>IFERROR(__xludf.DUMMYFUNCTION("""COMPUTED_VALUE"""),1491.45)</f>
        <v>1491.45</v>
      </c>
    </row>
    <row r="72">
      <c r="A72" s="2">
        <f>IFERROR(__xludf.DUMMYFUNCTION("""COMPUTED_VALUE"""),35899.666666666664)</f>
        <v>35899.66667</v>
      </c>
      <c r="B72" s="1">
        <f>IFERROR(__xludf.DUMMYFUNCTION("""COMPUTED_VALUE"""),1499.59)</f>
        <v>1499.59</v>
      </c>
    </row>
    <row r="73">
      <c r="A73" s="2">
        <f>IFERROR(__xludf.DUMMYFUNCTION("""COMPUTED_VALUE"""),35900.666666666664)</f>
        <v>35900.66667</v>
      </c>
      <c r="B73" s="1">
        <f>IFERROR(__xludf.DUMMYFUNCTION("""COMPUTED_VALUE"""),1504.4)</f>
        <v>1504.4</v>
      </c>
    </row>
    <row r="74">
      <c r="A74" s="2">
        <f>IFERROR(__xludf.DUMMYFUNCTION("""COMPUTED_VALUE"""),35901.666666666664)</f>
        <v>35901.66667</v>
      </c>
      <c r="B74" s="1">
        <f>IFERROR(__xludf.DUMMYFUNCTION("""COMPUTED_VALUE"""),1489.44)</f>
        <v>1489.44</v>
      </c>
    </row>
    <row r="75">
      <c r="A75" s="2">
        <f>IFERROR(__xludf.DUMMYFUNCTION("""COMPUTED_VALUE"""),35902.666666666664)</f>
        <v>35902.66667</v>
      </c>
      <c r="B75" s="1">
        <f>IFERROR(__xludf.DUMMYFUNCTION("""COMPUTED_VALUE"""),1509.01)</f>
        <v>1509.01</v>
      </c>
    </row>
    <row r="76">
      <c r="A76" s="2">
        <f>IFERROR(__xludf.DUMMYFUNCTION("""COMPUTED_VALUE"""),35905.666666666664)</f>
        <v>35905.66667</v>
      </c>
      <c r="B76" s="1">
        <f>IFERROR(__xludf.DUMMYFUNCTION("""COMPUTED_VALUE"""),1510.26)</f>
        <v>1510.26</v>
      </c>
    </row>
    <row r="77">
      <c r="A77" s="2">
        <f>IFERROR(__xludf.DUMMYFUNCTION("""COMPUTED_VALUE"""),35906.666666666664)</f>
        <v>35906.66667</v>
      </c>
      <c r="B77" s="1">
        <f>IFERROR(__xludf.DUMMYFUNCTION("""COMPUTED_VALUE"""),1514.33)</f>
        <v>1514.33</v>
      </c>
    </row>
    <row r="78">
      <c r="A78" s="2">
        <f>IFERROR(__xludf.DUMMYFUNCTION("""COMPUTED_VALUE"""),35907.666666666664)</f>
        <v>35907.66667</v>
      </c>
      <c r="B78" s="1">
        <f>IFERROR(__xludf.DUMMYFUNCTION("""COMPUTED_VALUE"""),1519.62)</f>
        <v>1519.62</v>
      </c>
    </row>
    <row r="79">
      <c r="A79" s="2">
        <f>IFERROR(__xludf.DUMMYFUNCTION("""COMPUTED_VALUE"""),35908.666666666664)</f>
        <v>35908.66667</v>
      </c>
      <c r="B79" s="1">
        <f>IFERROR(__xludf.DUMMYFUNCTION("""COMPUTED_VALUE"""),1504.91)</f>
        <v>1504.91</v>
      </c>
    </row>
    <row r="80">
      <c r="A80" s="2">
        <f>IFERROR(__xludf.DUMMYFUNCTION("""COMPUTED_VALUE"""),35909.666666666664)</f>
        <v>35909.66667</v>
      </c>
      <c r="B80" s="1">
        <f>IFERROR(__xludf.DUMMYFUNCTION("""COMPUTED_VALUE"""),1489.21)</f>
        <v>1489.21</v>
      </c>
    </row>
    <row r="81">
      <c r="A81" s="2">
        <f>IFERROR(__xludf.DUMMYFUNCTION("""COMPUTED_VALUE"""),35912.666666666664)</f>
        <v>35912.66667</v>
      </c>
      <c r="B81" s="1">
        <f>IFERROR(__xludf.DUMMYFUNCTION("""COMPUTED_VALUE"""),1460.5)</f>
        <v>1460.5</v>
      </c>
    </row>
    <row r="82">
      <c r="A82" s="2">
        <f>IFERROR(__xludf.DUMMYFUNCTION("""COMPUTED_VALUE"""),35913.666666666664)</f>
        <v>35913.66667</v>
      </c>
      <c r="B82" s="1">
        <f>IFERROR(__xludf.DUMMYFUNCTION("""COMPUTED_VALUE"""),1458.73)</f>
        <v>1458.73</v>
      </c>
    </row>
    <row r="83">
      <c r="A83" s="2">
        <f>IFERROR(__xludf.DUMMYFUNCTION("""COMPUTED_VALUE"""),35914.666666666664)</f>
        <v>35914.66667</v>
      </c>
      <c r="B83" s="1">
        <f>IFERROR(__xludf.DUMMYFUNCTION("""COMPUTED_VALUE"""),1471.77)</f>
        <v>1471.77</v>
      </c>
    </row>
    <row r="84">
      <c r="A84" s="2">
        <f>IFERROR(__xludf.DUMMYFUNCTION("""COMPUTED_VALUE"""),35915.666666666664)</f>
        <v>35915.66667</v>
      </c>
      <c r="B84" s="1">
        <f>IFERROR(__xludf.DUMMYFUNCTION("""COMPUTED_VALUE"""),1494.89)</f>
        <v>1494.89</v>
      </c>
    </row>
    <row r="85">
      <c r="A85" s="2">
        <f>IFERROR(__xludf.DUMMYFUNCTION("""COMPUTED_VALUE"""),35916.666666666664)</f>
        <v>35916.66667</v>
      </c>
      <c r="B85" s="1">
        <f>IFERROR(__xludf.DUMMYFUNCTION("""COMPUTED_VALUE"""),1507.33)</f>
        <v>1507.33</v>
      </c>
    </row>
    <row r="86">
      <c r="A86" s="2">
        <f>IFERROR(__xludf.DUMMYFUNCTION("""COMPUTED_VALUE"""),35919.666666666664)</f>
        <v>35919.66667</v>
      </c>
      <c r="B86" s="1">
        <f>IFERROR(__xludf.DUMMYFUNCTION("""COMPUTED_VALUE"""),1508.77)</f>
        <v>1508.77</v>
      </c>
    </row>
    <row r="87">
      <c r="A87" s="2">
        <f>IFERROR(__xludf.DUMMYFUNCTION("""COMPUTED_VALUE"""),35920.666666666664)</f>
        <v>35920.66667</v>
      </c>
      <c r="B87" s="1">
        <f>IFERROR(__xludf.DUMMYFUNCTION("""COMPUTED_VALUE"""),1499.97)</f>
        <v>1499.97</v>
      </c>
    </row>
    <row r="88">
      <c r="A88" s="2">
        <f>IFERROR(__xludf.DUMMYFUNCTION("""COMPUTED_VALUE"""),35921.666666666664)</f>
        <v>35921.66667</v>
      </c>
      <c r="B88" s="1">
        <f>IFERROR(__xludf.DUMMYFUNCTION("""COMPUTED_VALUE"""),1486.1)</f>
        <v>1486.1</v>
      </c>
    </row>
    <row r="89">
      <c r="A89" s="2">
        <f>IFERROR(__xludf.DUMMYFUNCTION("""COMPUTED_VALUE"""),35922.666666666664)</f>
        <v>35922.66667</v>
      </c>
      <c r="B89" s="1">
        <f>IFERROR(__xludf.DUMMYFUNCTION("""COMPUTED_VALUE"""),1472.98)</f>
        <v>1472.98</v>
      </c>
    </row>
    <row r="90">
      <c r="A90" s="2">
        <f>IFERROR(__xludf.DUMMYFUNCTION("""COMPUTED_VALUE"""),35923.666666666664)</f>
        <v>35923.66667</v>
      </c>
      <c r="B90" s="1">
        <f>IFERROR(__xludf.DUMMYFUNCTION("""COMPUTED_VALUE"""),1490.48)</f>
        <v>1490.48</v>
      </c>
    </row>
    <row r="91">
      <c r="A91" s="2">
        <f>IFERROR(__xludf.DUMMYFUNCTION("""COMPUTED_VALUE"""),35926.666666666664)</f>
        <v>35926.66667</v>
      </c>
      <c r="B91" s="1">
        <f>IFERROR(__xludf.DUMMYFUNCTION("""COMPUTED_VALUE"""),1489.2)</f>
        <v>1489.2</v>
      </c>
    </row>
    <row r="92">
      <c r="A92" s="2">
        <f>IFERROR(__xludf.DUMMYFUNCTION("""COMPUTED_VALUE"""),35927.666666666664)</f>
        <v>35927.66667</v>
      </c>
      <c r="B92" s="1">
        <f>IFERROR(__xludf.DUMMYFUNCTION("""COMPUTED_VALUE"""),1501.58)</f>
        <v>1501.58</v>
      </c>
    </row>
    <row r="93">
      <c r="A93" s="2">
        <f>IFERROR(__xludf.DUMMYFUNCTION("""COMPUTED_VALUE"""),35928.666666666664)</f>
        <v>35928.66667</v>
      </c>
      <c r="B93" s="1">
        <f>IFERROR(__xludf.DUMMYFUNCTION("""COMPUTED_VALUE"""),1506.0)</f>
        <v>1506</v>
      </c>
    </row>
    <row r="94">
      <c r="A94" s="2">
        <f>IFERROR(__xludf.DUMMYFUNCTION("""COMPUTED_VALUE"""),35929.666666666664)</f>
        <v>35929.66667</v>
      </c>
      <c r="B94" s="1">
        <f>IFERROR(__xludf.DUMMYFUNCTION("""COMPUTED_VALUE"""),1504.03)</f>
        <v>1504.03</v>
      </c>
    </row>
    <row r="95">
      <c r="A95" s="2">
        <f>IFERROR(__xludf.DUMMYFUNCTION("""COMPUTED_VALUE"""),35930.666666666664)</f>
        <v>35930.66667</v>
      </c>
      <c r="B95" s="1">
        <f>IFERROR(__xludf.DUMMYFUNCTION("""COMPUTED_VALUE"""),1492.46)</f>
        <v>1492.46</v>
      </c>
    </row>
    <row r="96">
      <c r="A96" s="2">
        <f>IFERROR(__xludf.DUMMYFUNCTION("""COMPUTED_VALUE"""),35933.666666666664)</f>
        <v>35933.66667</v>
      </c>
      <c r="B96" s="1">
        <f>IFERROR(__xludf.DUMMYFUNCTION("""COMPUTED_VALUE"""),1488.71)</f>
        <v>1488.71</v>
      </c>
    </row>
    <row r="97">
      <c r="A97" s="2">
        <f>IFERROR(__xludf.DUMMYFUNCTION("""COMPUTED_VALUE"""),35934.666666666664)</f>
        <v>35934.66667</v>
      </c>
      <c r="B97" s="1">
        <f>IFERROR(__xludf.DUMMYFUNCTION("""COMPUTED_VALUE"""),1493.7)</f>
        <v>1493.7</v>
      </c>
    </row>
    <row r="98">
      <c r="A98" s="2">
        <f>IFERROR(__xludf.DUMMYFUNCTION("""COMPUTED_VALUE"""),35935.666666666664)</f>
        <v>35935.66667</v>
      </c>
      <c r="B98" s="1">
        <f>IFERROR(__xludf.DUMMYFUNCTION("""COMPUTED_VALUE"""),1506.75)</f>
        <v>1506.75</v>
      </c>
    </row>
    <row r="99">
      <c r="A99" s="2">
        <f>IFERROR(__xludf.DUMMYFUNCTION("""COMPUTED_VALUE"""),35936.666666666664)</f>
        <v>35936.66667</v>
      </c>
      <c r="B99" s="1">
        <f>IFERROR(__xludf.DUMMYFUNCTION("""COMPUTED_VALUE"""),1500.8)</f>
        <v>1500.8</v>
      </c>
    </row>
    <row r="100">
      <c r="A100" s="2">
        <f>IFERROR(__xludf.DUMMYFUNCTION("""COMPUTED_VALUE"""),35937.666666666664)</f>
        <v>35937.66667</v>
      </c>
      <c r="B100" s="1">
        <f>IFERROR(__xludf.DUMMYFUNCTION("""COMPUTED_VALUE"""),1495.19)</f>
        <v>1495.19</v>
      </c>
    </row>
    <row r="101">
      <c r="A101" s="2">
        <f>IFERROR(__xludf.DUMMYFUNCTION("""COMPUTED_VALUE"""),35941.666666666664)</f>
        <v>35941.66667</v>
      </c>
      <c r="B101" s="1">
        <f>IFERROR(__xludf.DUMMYFUNCTION("""COMPUTED_VALUE"""),1473.06)</f>
        <v>1473.06</v>
      </c>
    </row>
    <row r="102">
      <c r="A102" s="2">
        <f>IFERROR(__xludf.DUMMYFUNCTION("""COMPUTED_VALUE"""),35942.666666666664)</f>
        <v>35942.66667</v>
      </c>
      <c r="B102" s="1">
        <f>IFERROR(__xludf.DUMMYFUNCTION("""COMPUTED_VALUE"""),1470.84)</f>
        <v>1470.84</v>
      </c>
    </row>
    <row r="103">
      <c r="A103" s="2">
        <f>IFERROR(__xludf.DUMMYFUNCTION("""COMPUTED_VALUE"""),35943.666666666664)</f>
        <v>35943.66667</v>
      </c>
      <c r="B103" s="1">
        <f>IFERROR(__xludf.DUMMYFUNCTION("""COMPUTED_VALUE"""),1478.28)</f>
        <v>1478.28</v>
      </c>
    </row>
    <row r="104">
      <c r="A104" s="2">
        <f>IFERROR(__xludf.DUMMYFUNCTION("""COMPUTED_VALUE"""),35944.666666666664)</f>
        <v>35944.66667</v>
      </c>
      <c r="B104" s="1">
        <f>IFERROR(__xludf.DUMMYFUNCTION("""COMPUTED_VALUE"""),1469.19)</f>
        <v>1469.19</v>
      </c>
    </row>
    <row r="105">
      <c r="A105" s="2">
        <f>IFERROR(__xludf.DUMMYFUNCTION("""COMPUTED_VALUE"""),35947.666666666664)</f>
        <v>35947.66667</v>
      </c>
      <c r="B105" s="1">
        <f>IFERROR(__xludf.DUMMYFUNCTION("""COMPUTED_VALUE"""),1469.46)</f>
        <v>1469.46</v>
      </c>
    </row>
    <row r="106">
      <c r="A106" s="2">
        <f>IFERROR(__xludf.DUMMYFUNCTION("""COMPUTED_VALUE"""),35948.666666666664)</f>
        <v>35948.66667</v>
      </c>
      <c r="B106" s="1">
        <f>IFERROR(__xludf.DUMMYFUNCTION("""COMPUTED_VALUE"""),1472.48)</f>
        <v>1472.48</v>
      </c>
    </row>
    <row r="107">
      <c r="A107" s="2">
        <f>IFERROR(__xludf.DUMMYFUNCTION("""COMPUTED_VALUE"""),35949.666666666664)</f>
        <v>35949.66667</v>
      </c>
      <c r="B107" s="1">
        <f>IFERROR(__xludf.DUMMYFUNCTION("""COMPUTED_VALUE"""),1458.68)</f>
        <v>1458.68</v>
      </c>
    </row>
    <row r="108">
      <c r="A108" s="2">
        <f>IFERROR(__xludf.DUMMYFUNCTION("""COMPUTED_VALUE"""),35950.666666666664)</f>
        <v>35950.66667</v>
      </c>
      <c r="B108" s="1">
        <f>IFERROR(__xludf.DUMMYFUNCTION("""COMPUTED_VALUE"""),1474.99)</f>
        <v>1474.99</v>
      </c>
    </row>
    <row r="109">
      <c r="A109" s="2">
        <f>IFERROR(__xludf.DUMMYFUNCTION("""COMPUTED_VALUE"""),35951.666666666664)</f>
        <v>35951.66667</v>
      </c>
      <c r="B109" s="1">
        <f>IFERROR(__xludf.DUMMYFUNCTION("""COMPUTED_VALUE"""),1500.68)</f>
        <v>1500.68</v>
      </c>
    </row>
    <row r="110">
      <c r="A110" s="2">
        <f>IFERROR(__xludf.DUMMYFUNCTION("""COMPUTED_VALUE"""),35954.666666666664)</f>
        <v>35954.66667</v>
      </c>
      <c r="B110" s="1">
        <f>IFERROR(__xludf.DUMMYFUNCTION("""COMPUTED_VALUE"""),1503.27)</f>
        <v>1503.27</v>
      </c>
    </row>
    <row r="111">
      <c r="A111" s="2">
        <f>IFERROR(__xludf.DUMMYFUNCTION("""COMPUTED_VALUE"""),35955.666666666664)</f>
        <v>35955.66667</v>
      </c>
      <c r="B111" s="1">
        <f>IFERROR(__xludf.DUMMYFUNCTION("""COMPUTED_VALUE"""),1506.93)</f>
        <v>1506.93</v>
      </c>
    </row>
    <row r="112">
      <c r="A112" s="2">
        <f>IFERROR(__xludf.DUMMYFUNCTION("""COMPUTED_VALUE"""),35956.666666666664)</f>
        <v>35956.66667</v>
      </c>
      <c r="B112" s="1">
        <f>IFERROR(__xludf.DUMMYFUNCTION("""COMPUTED_VALUE"""),1498.75)</f>
        <v>1498.75</v>
      </c>
    </row>
    <row r="113">
      <c r="A113" s="2">
        <f>IFERROR(__xludf.DUMMYFUNCTION("""COMPUTED_VALUE"""),35957.666666666664)</f>
        <v>35957.66667</v>
      </c>
      <c r="B113" s="1">
        <f>IFERROR(__xludf.DUMMYFUNCTION("""COMPUTED_VALUE"""),1475.29)</f>
        <v>1475.29</v>
      </c>
    </row>
    <row r="114">
      <c r="A114" s="2">
        <f>IFERROR(__xludf.DUMMYFUNCTION("""COMPUTED_VALUE"""),35958.666666666664)</f>
        <v>35958.66667</v>
      </c>
      <c r="B114" s="1">
        <f>IFERROR(__xludf.DUMMYFUNCTION("""COMPUTED_VALUE"""),1481.06)</f>
        <v>1481.06</v>
      </c>
    </row>
    <row r="115">
      <c r="A115" s="2">
        <f>IFERROR(__xludf.DUMMYFUNCTION("""COMPUTED_VALUE"""),35961.666666666664)</f>
        <v>35961.66667</v>
      </c>
      <c r="B115" s="1">
        <f>IFERROR(__xludf.DUMMYFUNCTION("""COMPUTED_VALUE"""),1451.65)</f>
        <v>1451.65</v>
      </c>
    </row>
    <row r="116">
      <c r="A116" s="2">
        <f>IFERROR(__xludf.DUMMYFUNCTION("""COMPUTED_VALUE"""),35962.666666666664)</f>
        <v>35962.66667</v>
      </c>
      <c r="B116" s="1">
        <f>IFERROR(__xludf.DUMMYFUNCTION("""COMPUTED_VALUE"""),1465.91)</f>
        <v>1465.91</v>
      </c>
    </row>
    <row r="117">
      <c r="A117" s="2">
        <f>IFERROR(__xludf.DUMMYFUNCTION("""COMPUTED_VALUE"""),35963.666666666664)</f>
        <v>35963.66667</v>
      </c>
      <c r="B117" s="1">
        <f>IFERROR(__xludf.DUMMYFUNCTION("""COMPUTED_VALUE"""),1492.28)</f>
        <v>1492.28</v>
      </c>
    </row>
    <row r="118">
      <c r="A118" s="2">
        <f>IFERROR(__xludf.DUMMYFUNCTION("""COMPUTED_VALUE"""),35964.666666666664)</f>
        <v>35964.66667</v>
      </c>
      <c r="B118" s="1">
        <f>IFERROR(__xludf.DUMMYFUNCTION("""COMPUTED_VALUE"""),1491.35)</f>
        <v>1491.35</v>
      </c>
    </row>
    <row r="119">
      <c r="A119" s="2">
        <f>IFERROR(__xludf.DUMMYFUNCTION("""COMPUTED_VALUE"""),35965.666666666664)</f>
        <v>35965.66667</v>
      </c>
      <c r="B119" s="1">
        <f>IFERROR(__xludf.DUMMYFUNCTION("""COMPUTED_VALUE"""),1483.65)</f>
        <v>1483.65</v>
      </c>
    </row>
    <row r="120">
      <c r="A120" s="2">
        <f>IFERROR(__xludf.DUMMYFUNCTION("""COMPUTED_VALUE"""),35968.666666666664)</f>
        <v>35968.66667</v>
      </c>
      <c r="B120" s="1">
        <f>IFERROR(__xludf.DUMMYFUNCTION("""COMPUTED_VALUE"""),1487.12)</f>
        <v>1487.12</v>
      </c>
    </row>
    <row r="121">
      <c r="A121" s="2">
        <f>IFERROR(__xludf.DUMMYFUNCTION("""COMPUTED_VALUE"""),35969.666666666664)</f>
        <v>35969.66667</v>
      </c>
      <c r="B121" s="1">
        <f>IFERROR(__xludf.DUMMYFUNCTION("""COMPUTED_VALUE"""),1509.07)</f>
        <v>1509.07</v>
      </c>
    </row>
    <row r="122">
      <c r="A122" s="2">
        <f>IFERROR(__xludf.DUMMYFUNCTION("""COMPUTED_VALUE"""),35970.666666666664)</f>
        <v>35970.66667</v>
      </c>
      <c r="B122" s="1">
        <f>IFERROR(__xludf.DUMMYFUNCTION("""COMPUTED_VALUE"""),1527.18)</f>
        <v>1527.18</v>
      </c>
    </row>
    <row r="123">
      <c r="A123" s="2">
        <f>IFERROR(__xludf.DUMMYFUNCTION("""COMPUTED_VALUE"""),35971.666666666664)</f>
        <v>35971.66667</v>
      </c>
      <c r="B123" s="1">
        <f>IFERROR(__xludf.DUMMYFUNCTION("""COMPUTED_VALUE"""),1522.32)</f>
        <v>1522.32</v>
      </c>
    </row>
    <row r="124">
      <c r="A124" s="2">
        <f>IFERROR(__xludf.DUMMYFUNCTION("""COMPUTED_VALUE"""),35972.666666666664)</f>
        <v>35972.66667</v>
      </c>
      <c r="B124" s="1">
        <f>IFERROR(__xludf.DUMMYFUNCTION("""COMPUTED_VALUE"""),1527.86)</f>
        <v>1527.86</v>
      </c>
    </row>
    <row r="125">
      <c r="A125" s="2">
        <f>IFERROR(__xludf.DUMMYFUNCTION("""COMPUTED_VALUE"""),35975.666666666664)</f>
        <v>35975.66667</v>
      </c>
      <c r="B125" s="1">
        <f>IFERROR(__xludf.DUMMYFUNCTION("""COMPUTED_VALUE"""),1535.01)</f>
        <v>1535.01</v>
      </c>
    </row>
    <row r="126">
      <c r="A126" s="2">
        <f>IFERROR(__xludf.DUMMYFUNCTION("""COMPUTED_VALUE"""),35976.666666666664)</f>
        <v>35976.66667</v>
      </c>
      <c r="B126" s="1">
        <f>IFERROR(__xludf.DUMMYFUNCTION("""COMPUTED_VALUE"""),1528.87)</f>
        <v>1528.87</v>
      </c>
    </row>
    <row r="127">
      <c r="A127" s="2">
        <f>IFERROR(__xludf.DUMMYFUNCTION("""COMPUTED_VALUE"""),35977.666666666664)</f>
        <v>35977.66667</v>
      </c>
      <c r="B127" s="1">
        <f>IFERROR(__xludf.DUMMYFUNCTION("""COMPUTED_VALUE"""),1548.77)</f>
        <v>1548.77</v>
      </c>
    </row>
    <row r="128">
      <c r="A128" s="2">
        <f>IFERROR(__xludf.DUMMYFUNCTION("""COMPUTED_VALUE"""),35978.666666666664)</f>
        <v>35978.66667</v>
      </c>
      <c r="B128" s="1">
        <f>IFERROR(__xludf.DUMMYFUNCTION("""COMPUTED_VALUE"""),1545.89)</f>
        <v>1545.89</v>
      </c>
    </row>
    <row r="129">
      <c r="A129" s="2">
        <f>IFERROR(__xludf.DUMMYFUNCTION("""COMPUTED_VALUE"""),35982.666666666664)</f>
        <v>35982.66667</v>
      </c>
      <c r="B129" s="1">
        <f>IFERROR(__xludf.DUMMYFUNCTION("""COMPUTED_VALUE"""),1560.83)</f>
        <v>1560.83</v>
      </c>
    </row>
    <row r="130">
      <c r="A130" s="2">
        <f>IFERROR(__xludf.DUMMYFUNCTION("""COMPUTED_VALUE"""),35983.666666666664)</f>
        <v>35983.66667</v>
      </c>
      <c r="B130" s="1">
        <f>IFERROR(__xludf.DUMMYFUNCTION("""COMPUTED_VALUE"""),1557.25)</f>
        <v>1557.25</v>
      </c>
    </row>
    <row r="131">
      <c r="A131" s="2">
        <f>IFERROR(__xludf.DUMMYFUNCTION("""COMPUTED_VALUE"""),35984.666666666664)</f>
        <v>35984.66667</v>
      </c>
      <c r="B131" s="1">
        <f>IFERROR(__xludf.DUMMYFUNCTION("""COMPUTED_VALUE"""),1573.45)</f>
        <v>1573.45</v>
      </c>
    </row>
    <row r="132">
      <c r="A132" s="2">
        <f>IFERROR(__xludf.DUMMYFUNCTION("""COMPUTED_VALUE"""),35985.666666666664)</f>
        <v>35985.66667</v>
      </c>
      <c r="B132" s="1">
        <f>IFERROR(__xludf.DUMMYFUNCTION("""COMPUTED_VALUE"""),1562.92)</f>
        <v>1562.92</v>
      </c>
    </row>
    <row r="133">
      <c r="A133" s="2">
        <f>IFERROR(__xludf.DUMMYFUNCTION("""COMPUTED_VALUE"""),35986.666666666664)</f>
        <v>35986.66667</v>
      </c>
      <c r="B133" s="1">
        <f>IFERROR(__xludf.DUMMYFUNCTION("""COMPUTED_VALUE"""),1570.71)</f>
        <v>1570.71</v>
      </c>
    </row>
    <row r="134">
      <c r="A134" s="2">
        <f>IFERROR(__xludf.DUMMYFUNCTION("""COMPUTED_VALUE"""),35989.666666666664)</f>
        <v>35989.66667</v>
      </c>
      <c r="B134" s="1">
        <f>IFERROR(__xludf.DUMMYFUNCTION("""COMPUTED_VALUE"""),1571.93)</f>
        <v>1571.93</v>
      </c>
    </row>
    <row r="135">
      <c r="A135" s="2">
        <f>IFERROR(__xludf.DUMMYFUNCTION("""COMPUTED_VALUE"""),35990.666666666664)</f>
        <v>35990.66667</v>
      </c>
      <c r="B135" s="1">
        <f>IFERROR(__xludf.DUMMYFUNCTION("""COMPUTED_VALUE"""),1588.67)</f>
        <v>1588.67</v>
      </c>
    </row>
    <row r="136">
      <c r="A136" s="2">
        <f>IFERROR(__xludf.DUMMYFUNCTION("""COMPUTED_VALUE"""),35991.666666666664)</f>
        <v>35991.66667</v>
      </c>
      <c r="B136" s="1">
        <f>IFERROR(__xludf.DUMMYFUNCTION("""COMPUTED_VALUE"""),1584.94)</f>
        <v>1584.94</v>
      </c>
    </row>
    <row r="137">
      <c r="A137" s="2">
        <f>IFERROR(__xludf.DUMMYFUNCTION("""COMPUTED_VALUE"""),35992.666666666664)</f>
        <v>35992.66667</v>
      </c>
      <c r="B137" s="1">
        <f>IFERROR(__xludf.DUMMYFUNCTION("""COMPUTED_VALUE"""),1597.36)</f>
        <v>1597.36</v>
      </c>
    </row>
    <row r="138">
      <c r="A138" s="2">
        <f>IFERROR(__xludf.DUMMYFUNCTION("""COMPUTED_VALUE"""),35993.666666666664)</f>
        <v>35993.66667</v>
      </c>
      <c r="B138" s="1">
        <f>IFERROR(__xludf.DUMMYFUNCTION("""COMPUTED_VALUE"""),1601.08)</f>
        <v>1601.08</v>
      </c>
    </row>
    <row r="139">
      <c r="A139" s="2">
        <f>IFERROR(__xludf.DUMMYFUNCTION("""COMPUTED_VALUE"""),35996.666666666664)</f>
        <v>35996.66667</v>
      </c>
      <c r="B139" s="1">
        <f>IFERROR(__xludf.DUMMYFUNCTION("""COMPUTED_VALUE"""),1597.52)</f>
        <v>1597.52</v>
      </c>
    </row>
    <row r="140">
      <c r="A140" s="2">
        <f>IFERROR(__xludf.DUMMYFUNCTION("""COMPUTED_VALUE"""),35997.666666666664)</f>
        <v>35997.66667</v>
      </c>
      <c r="B140" s="1">
        <f>IFERROR(__xludf.DUMMYFUNCTION("""COMPUTED_VALUE"""),1571.85)</f>
        <v>1571.85</v>
      </c>
    </row>
    <row r="141">
      <c r="A141" s="2">
        <f>IFERROR(__xludf.DUMMYFUNCTION("""COMPUTED_VALUE"""),35998.666666666664)</f>
        <v>35998.66667</v>
      </c>
      <c r="B141" s="1">
        <f>IFERROR(__xludf.DUMMYFUNCTION("""COMPUTED_VALUE"""),1570.63)</f>
        <v>1570.63</v>
      </c>
    </row>
    <row r="142">
      <c r="A142" s="2">
        <f>IFERROR(__xludf.DUMMYFUNCTION("""COMPUTED_VALUE"""),35999.666666666664)</f>
        <v>35999.66667</v>
      </c>
      <c r="B142" s="1">
        <f>IFERROR(__xludf.DUMMYFUNCTION("""COMPUTED_VALUE"""),1537.82)</f>
        <v>1537.82</v>
      </c>
    </row>
    <row r="143">
      <c r="A143" s="2">
        <f>IFERROR(__xludf.DUMMYFUNCTION("""COMPUTED_VALUE"""),36000.666666666664)</f>
        <v>36000.66667</v>
      </c>
      <c r="B143" s="1">
        <f>IFERROR(__xludf.DUMMYFUNCTION("""COMPUTED_VALUE"""),1539.23)</f>
        <v>1539.23</v>
      </c>
    </row>
    <row r="144">
      <c r="A144" s="2">
        <f>IFERROR(__xludf.DUMMYFUNCTION("""COMPUTED_VALUE"""),36003.666666666664)</f>
        <v>36003.66667</v>
      </c>
      <c r="B144" s="1">
        <f>IFERROR(__xludf.DUMMYFUNCTION("""COMPUTED_VALUE"""),1547.97)</f>
        <v>1547.97</v>
      </c>
    </row>
    <row r="145">
      <c r="A145" s="2">
        <f>IFERROR(__xludf.DUMMYFUNCTION("""COMPUTED_VALUE"""),36004.666666666664)</f>
        <v>36004.66667</v>
      </c>
      <c r="B145" s="1">
        <f>IFERROR(__xludf.DUMMYFUNCTION("""COMPUTED_VALUE"""),1524.99)</f>
        <v>1524.99</v>
      </c>
    </row>
    <row r="146">
      <c r="A146" s="2">
        <f>IFERROR(__xludf.DUMMYFUNCTION("""COMPUTED_VALUE"""),36005.666666666664)</f>
        <v>36005.66667</v>
      </c>
      <c r="B146" s="1">
        <f>IFERROR(__xludf.DUMMYFUNCTION("""COMPUTED_VALUE"""),1518.5)</f>
        <v>1518.5</v>
      </c>
    </row>
    <row r="147">
      <c r="A147" s="2">
        <f>IFERROR(__xludf.DUMMYFUNCTION("""COMPUTED_VALUE"""),36006.666666666664)</f>
        <v>36006.66667</v>
      </c>
      <c r="B147" s="1">
        <f>IFERROR(__xludf.DUMMYFUNCTION("""COMPUTED_VALUE"""),1542.66)</f>
        <v>1542.66</v>
      </c>
    </row>
    <row r="148">
      <c r="A148" s="2">
        <f>IFERROR(__xludf.DUMMYFUNCTION("""COMPUTED_VALUE"""),36007.666666666664)</f>
        <v>36007.66667</v>
      </c>
      <c r="B148" s="1">
        <f>IFERROR(__xludf.DUMMYFUNCTION("""COMPUTED_VALUE"""),1512.59)</f>
        <v>1512.59</v>
      </c>
    </row>
    <row r="149">
      <c r="A149" s="2">
        <f>IFERROR(__xludf.DUMMYFUNCTION("""COMPUTED_VALUE"""),36010.666666666664)</f>
        <v>36010.66667</v>
      </c>
      <c r="B149" s="1">
        <f>IFERROR(__xludf.DUMMYFUNCTION("""COMPUTED_VALUE"""),1501.53)</f>
        <v>1501.53</v>
      </c>
    </row>
    <row r="150">
      <c r="A150" s="2">
        <f>IFERROR(__xludf.DUMMYFUNCTION("""COMPUTED_VALUE"""),36011.666666666664)</f>
        <v>36011.66667</v>
      </c>
      <c r="B150" s="1">
        <f>IFERROR(__xludf.DUMMYFUNCTION("""COMPUTED_VALUE"""),1447.15)</f>
        <v>1447.15</v>
      </c>
    </row>
    <row r="151">
      <c r="A151" s="2">
        <f>IFERROR(__xludf.DUMMYFUNCTION("""COMPUTED_VALUE"""),36012.666666666664)</f>
        <v>36012.66667</v>
      </c>
      <c r="B151" s="1">
        <f>IFERROR(__xludf.DUMMYFUNCTION("""COMPUTED_VALUE"""),1459.92)</f>
        <v>1459.92</v>
      </c>
    </row>
    <row r="152">
      <c r="A152" s="2">
        <f>IFERROR(__xludf.DUMMYFUNCTION("""COMPUTED_VALUE"""),36013.666666666664)</f>
        <v>36013.66667</v>
      </c>
      <c r="B152" s="1">
        <f>IFERROR(__xludf.DUMMYFUNCTION("""COMPUTED_VALUE"""),1471.12)</f>
        <v>1471.12</v>
      </c>
    </row>
    <row r="153">
      <c r="A153" s="2">
        <f>IFERROR(__xludf.DUMMYFUNCTION("""COMPUTED_VALUE"""),36014.666666666664)</f>
        <v>36014.66667</v>
      </c>
      <c r="B153" s="1">
        <f>IFERROR(__xludf.DUMMYFUNCTION("""COMPUTED_VALUE"""),1470.88)</f>
        <v>1470.88</v>
      </c>
    </row>
    <row r="154">
      <c r="A154" s="2">
        <f>IFERROR(__xludf.DUMMYFUNCTION("""COMPUTED_VALUE"""),36017.666666666664)</f>
        <v>36017.66667</v>
      </c>
      <c r="B154" s="1">
        <f>IFERROR(__xludf.DUMMYFUNCTION("""COMPUTED_VALUE"""),1462.45)</f>
        <v>1462.45</v>
      </c>
    </row>
    <row r="155">
      <c r="A155" s="2">
        <f>IFERROR(__xludf.DUMMYFUNCTION("""COMPUTED_VALUE"""),36018.666666666664)</f>
        <v>36018.66667</v>
      </c>
      <c r="B155" s="1">
        <f>IFERROR(__xludf.DUMMYFUNCTION("""COMPUTED_VALUE"""),1443.61)</f>
        <v>1443.61</v>
      </c>
    </row>
    <row r="156">
      <c r="A156" s="2">
        <f>IFERROR(__xludf.DUMMYFUNCTION("""COMPUTED_VALUE"""),36019.666666666664)</f>
        <v>36019.66667</v>
      </c>
      <c r="B156" s="1">
        <f>IFERROR(__xludf.DUMMYFUNCTION("""COMPUTED_VALUE"""),1464.47)</f>
        <v>1464.47</v>
      </c>
    </row>
    <row r="157">
      <c r="A157" s="2">
        <f>IFERROR(__xludf.DUMMYFUNCTION("""COMPUTED_VALUE"""),36020.666666666664)</f>
        <v>36020.66667</v>
      </c>
      <c r="B157" s="1">
        <f>IFERROR(__xludf.DUMMYFUNCTION("""COMPUTED_VALUE"""),1451.93)</f>
        <v>1451.93</v>
      </c>
    </row>
    <row r="158">
      <c r="A158" s="2">
        <f>IFERROR(__xludf.DUMMYFUNCTION("""COMPUTED_VALUE"""),36021.666666666664)</f>
        <v>36021.66667</v>
      </c>
      <c r="B158" s="1">
        <f>IFERROR(__xludf.DUMMYFUNCTION("""COMPUTED_VALUE"""),1435.58)</f>
        <v>1435.58</v>
      </c>
    </row>
    <row r="159">
      <c r="A159" s="2">
        <f>IFERROR(__xludf.DUMMYFUNCTION("""COMPUTED_VALUE"""),36024.666666666664)</f>
        <v>36024.66667</v>
      </c>
      <c r="B159" s="1">
        <f>IFERROR(__xludf.DUMMYFUNCTION("""COMPUTED_VALUE"""),1463.88)</f>
        <v>1463.88</v>
      </c>
    </row>
    <row r="160">
      <c r="A160" s="2">
        <f>IFERROR(__xludf.DUMMYFUNCTION("""COMPUTED_VALUE"""),36025.666666666664)</f>
        <v>36025.66667</v>
      </c>
      <c r="B160" s="1">
        <f>IFERROR(__xludf.DUMMYFUNCTION("""COMPUTED_VALUE"""),1487.71)</f>
        <v>1487.71</v>
      </c>
    </row>
    <row r="161">
      <c r="A161" s="2">
        <f>IFERROR(__xludf.DUMMYFUNCTION("""COMPUTED_VALUE"""),36026.666666666664)</f>
        <v>36026.66667</v>
      </c>
      <c r="B161" s="1">
        <f>IFERROR(__xludf.DUMMYFUNCTION("""COMPUTED_VALUE"""),1483.56)</f>
        <v>1483.56</v>
      </c>
    </row>
    <row r="162">
      <c r="A162" s="2">
        <f>IFERROR(__xludf.DUMMYFUNCTION("""COMPUTED_VALUE"""),36027.666666666664)</f>
        <v>36027.66667</v>
      </c>
      <c r="B162" s="1">
        <f>IFERROR(__xludf.DUMMYFUNCTION("""COMPUTED_VALUE"""),1474.92)</f>
        <v>1474.92</v>
      </c>
    </row>
    <row r="163">
      <c r="A163" s="2">
        <f>IFERROR(__xludf.DUMMYFUNCTION("""COMPUTED_VALUE"""),36028.666666666664)</f>
        <v>36028.66667</v>
      </c>
      <c r="B163" s="1">
        <f>IFERROR(__xludf.DUMMYFUNCTION("""COMPUTED_VALUE"""),1460.95)</f>
        <v>1460.95</v>
      </c>
    </row>
    <row r="164">
      <c r="A164" s="2">
        <f>IFERROR(__xludf.DUMMYFUNCTION("""COMPUTED_VALUE"""),36031.666666666664)</f>
        <v>36031.66667</v>
      </c>
      <c r="B164" s="1">
        <f>IFERROR(__xludf.DUMMYFUNCTION("""COMPUTED_VALUE"""),1470.28)</f>
        <v>1470.28</v>
      </c>
    </row>
    <row r="165">
      <c r="A165" s="2">
        <f>IFERROR(__xludf.DUMMYFUNCTION("""COMPUTED_VALUE"""),36032.666666666664)</f>
        <v>36032.66667</v>
      </c>
      <c r="B165" s="1">
        <f>IFERROR(__xludf.DUMMYFUNCTION("""COMPUTED_VALUE"""),1476.64)</f>
        <v>1476.64</v>
      </c>
    </row>
    <row r="166">
      <c r="A166" s="2">
        <f>IFERROR(__xludf.DUMMYFUNCTION("""COMPUTED_VALUE"""),36033.666666666664)</f>
        <v>36033.66667</v>
      </c>
      <c r="B166" s="1">
        <f>IFERROR(__xludf.DUMMYFUNCTION("""COMPUTED_VALUE"""),1465.06)</f>
        <v>1465.06</v>
      </c>
    </row>
    <row r="167">
      <c r="A167" s="2">
        <f>IFERROR(__xludf.DUMMYFUNCTION("""COMPUTED_VALUE"""),36034.666666666664)</f>
        <v>36034.66667</v>
      </c>
      <c r="B167" s="1">
        <f>IFERROR(__xludf.DUMMYFUNCTION("""COMPUTED_VALUE"""),1408.98)</f>
        <v>1408.98</v>
      </c>
    </row>
    <row r="168">
      <c r="A168" s="2">
        <f>IFERROR(__xludf.DUMMYFUNCTION("""COMPUTED_VALUE"""),36035.666666666664)</f>
        <v>36035.66667</v>
      </c>
      <c r="B168" s="1">
        <f>IFERROR(__xludf.DUMMYFUNCTION("""COMPUTED_VALUE"""),1388.3)</f>
        <v>1388.3</v>
      </c>
    </row>
    <row r="169">
      <c r="A169" s="2">
        <f>IFERROR(__xludf.DUMMYFUNCTION("""COMPUTED_VALUE"""),36038.666666666664)</f>
        <v>36038.66667</v>
      </c>
      <c r="B169" s="1">
        <f>IFERROR(__xludf.DUMMYFUNCTION("""COMPUTED_VALUE"""),1293.9)</f>
        <v>1293.9</v>
      </c>
    </row>
    <row r="170">
      <c r="A170" s="2">
        <f>IFERROR(__xludf.DUMMYFUNCTION("""COMPUTED_VALUE"""),36039.666666666664)</f>
        <v>36039.66667</v>
      </c>
      <c r="B170" s="1">
        <f>IFERROR(__xludf.DUMMYFUNCTION("""COMPUTED_VALUE"""),1343.94)</f>
        <v>1343.94</v>
      </c>
    </row>
    <row r="171">
      <c r="A171" s="2">
        <f>IFERROR(__xludf.DUMMYFUNCTION("""COMPUTED_VALUE"""),36040.666666666664)</f>
        <v>36040.66667</v>
      </c>
      <c r="B171" s="1">
        <f>IFERROR(__xludf.DUMMYFUNCTION("""COMPUTED_VALUE"""),1339.14)</f>
        <v>1339.14</v>
      </c>
    </row>
    <row r="172">
      <c r="A172" s="2">
        <f>IFERROR(__xludf.DUMMYFUNCTION("""COMPUTED_VALUE"""),36041.666666666664)</f>
        <v>36041.66667</v>
      </c>
      <c r="B172" s="1">
        <f>IFERROR(__xludf.DUMMYFUNCTION("""COMPUTED_VALUE"""),1328.07)</f>
        <v>1328.07</v>
      </c>
    </row>
    <row r="173">
      <c r="A173" s="2">
        <f>IFERROR(__xludf.DUMMYFUNCTION("""COMPUTED_VALUE"""),36042.666666666664)</f>
        <v>36042.66667</v>
      </c>
      <c r="B173" s="1">
        <f>IFERROR(__xludf.DUMMYFUNCTION("""COMPUTED_VALUE"""),1316.81)</f>
        <v>1316.81</v>
      </c>
    </row>
    <row r="174">
      <c r="A174" s="2">
        <f>IFERROR(__xludf.DUMMYFUNCTION("""COMPUTED_VALUE"""),36046.666666666664)</f>
        <v>36046.66667</v>
      </c>
      <c r="B174" s="1">
        <f>IFERROR(__xludf.DUMMYFUNCTION("""COMPUTED_VALUE"""),1383.92)</f>
        <v>1383.92</v>
      </c>
    </row>
    <row r="175">
      <c r="A175" s="2">
        <f>IFERROR(__xludf.DUMMYFUNCTION("""COMPUTED_VALUE"""),36047.666666666664)</f>
        <v>36047.66667</v>
      </c>
      <c r="B175" s="1">
        <f>IFERROR(__xludf.DUMMYFUNCTION("""COMPUTED_VALUE"""),1360.66)</f>
        <v>1360.66</v>
      </c>
    </row>
    <row r="176">
      <c r="A176" s="2">
        <f>IFERROR(__xludf.DUMMYFUNCTION("""COMPUTED_VALUE"""),36048.666666666664)</f>
        <v>36048.66667</v>
      </c>
      <c r="B176" s="1">
        <f>IFERROR(__xludf.DUMMYFUNCTION("""COMPUTED_VALUE"""),1325.51)</f>
        <v>1325.51</v>
      </c>
    </row>
    <row r="177">
      <c r="A177" s="2">
        <f>IFERROR(__xludf.DUMMYFUNCTION("""COMPUTED_VALUE"""),36049.666666666664)</f>
        <v>36049.66667</v>
      </c>
      <c r="B177" s="1">
        <f>IFERROR(__xludf.DUMMYFUNCTION("""COMPUTED_VALUE"""),1364.95)</f>
        <v>1364.95</v>
      </c>
    </row>
    <row r="178">
      <c r="A178" s="2">
        <f>IFERROR(__xludf.DUMMYFUNCTION("""COMPUTED_VALUE"""),36052.666666666664)</f>
        <v>36052.66667</v>
      </c>
      <c r="B178" s="1">
        <f>IFERROR(__xludf.DUMMYFUNCTION("""COMPUTED_VALUE"""),1393.17)</f>
        <v>1393.17</v>
      </c>
    </row>
    <row r="179">
      <c r="A179" s="2">
        <f>IFERROR(__xludf.DUMMYFUNCTION("""COMPUTED_VALUE"""),36053.666666666664)</f>
        <v>36053.66667</v>
      </c>
      <c r="B179" s="1">
        <f>IFERROR(__xludf.DUMMYFUNCTION("""COMPUTED_VALUE"""),1403.94)</f>
        <v>1403.94</v>
      </c>
    </row>
    <row r="180">
      <c r="A180" s="2">
        <f>IFERROR(__xludf.DUMMYFUNCTION("""COMPUTED_VALUE"""),36054.666666666664)</f>
        <v>36054.66667</v>
      </c>
      <c r="B180" s="1">
        <f>IFERROR(__xludf.DUMMYFUNCTION("""COMPUTED_VALUE"""),1414.59)</f>
        <v>1414.59</v>
      </c>
    </row>
    <row r="181">
      <c r="A181" s="2">
        <f>IFERROR(__xludf.DUMMYFUNCTION("""COMPUTED_VALUE"""),36055.666666666664)</f>
        <v>36055.66667</v>
      </c>
      <c r="B181" s="1">
        <f>IFERROR(__xludf.DUMMYFUNCTION("""COMPUTED_VALUE"""),1378.68)</f>
        <v>1378.68</v>
      </c>
    </row>
    <row r="182">
      <c r="A182" s="2">
        <f>IFERROR(__xludf.DUMMYFUNCTION("""COMPUTED_VALUE"""),36056.666666666664)</f>
        <v>36056.66667</v>
      </c>
      <c r="B182" s="1">
        <f>IFERROR(__xludf.DUMMYFUNCTION("""COMPUTED_VALUE"""),1380.34)</f>
        <v>1380.34</v>
      </c>
    </row>
    <row r="183">
      <c r="A183" s="2">
        <f>IFERROR(__xludf.DUMMYFUNCTION("""COMPUTED_VALUE"""),36059.666666666664)</f>
        <v>36059.66667</v>
      </c>
      <c r="B183" s="1">
        <f>IFERROR(__xludf.DUMMYFUNCTION("""COMPUTED_VALUE"""),1385.51)</f>
        <v>1385.51</v>
      </c>
    </row>
    <row r="184">
      <c r="A184" s="2">
        <f>IFERROR(__xludf.DUMMYFUNCTION("""COMPUTED_VALUE"""),36060.666666666664)</f>
        <v>36060.66667</v>
      </c>
      <c r="B184" s="1">
        <f>IFERROR(__xludf.DUMMYFUNCTION("""COMPUTED_VALUE"""),1393.28)</f>
        <v>1393.28</v>
      </c>
    </row>
    <row r="185">
      <c r="A185" s="2">
        <f>IFERROR(__xludf.DUMMYFUNCTION("""COMPUTED_VALUE"""),36061.666666666664)</f>
        <v>36061.66667</v>
      </c>
      <c r="B185" s="1">
        <f>IFERROR(__xludf.DUMMYFUNCTION("""COMPUTED_VALUE"""),1442.66)</f>
        <v>1442.66</v>
      </c>
    </row>
    <row r="186">
      <c r="A186" s="2">
        <f>IFERROR(__xludf.DUMMYFUNCTION("""COMPUTED_VALUE"""),36062.666666666664)</f>
        <v>36062.66667</v>
      </c>
      <c r="B186" s="1">
        <f>IFERROR(__xludf.DUMMYFUNCTION("""COMPUTED_VALUE"""),1411.04)</f>
        <v>1411.04</v>
      </c>
    </row>
    <row r="187">
      <c r="A187" s="2">
        <f>IFERROR(__xludf.DUMMYFUNCTION("""COMPUTED_VALUE"""),36063.666666666664)</f>
        <v>36063.66667</v>
      </c>
      <c r="B187" s="1">
        <f>IFERROR(__xludf.DUMMYFUNCTION("""COMPUTED_VALUE"""),1413.79)</f>
        <v>1413.79</v>
      </c>
    </row>
    <row r="188">
      <c r="A188" s="2">
        <f>IFERROR(__xludf.DUMMYFUNCTION("""COMPUTED_VALUE"""),36066.666666666664)</f>
        <v>36066.66667</v>
      </c>
      <c r="B188" s="1">
        <f>IFERROR(__xludf.DUMMYFUNCTION("""COMPUTED_VALUE"""),1419.57)</f>
        <v>1419.57</v>
      </c>
    </row>
    <row r="189">
      <c r="A189" s="2">
        <f>IFERROR(__xludf.DUMMYFUNCTION("""COMPUTED_VALUE"""),36067.666666666664)</f>
        <v>36067.66667</v>
      </c>
      <c r="B189" s="1">
        <f>IFERROR(__xludf.DUMMYFUNCTION("""COMPUTED_VALUE"""),1420.04)</f>
        <v>1420.04</v>
      </c>
    </row>
    <row r="190">
      <c r="A190" s="2">
        <f>IFERROR(__xludf.DUMMYFUNCTION("""COMPUTED_VALUE"""),36068.666666666664)</f>
        <v>36068.66667</v>
      </c>
      <c r="B190" s="1">
        <f>IFERROR(__xludf.DUMMYFUNCTION("""COMPUTED_VALUE"""),1376.79)</f>
        <v>1376.79</v>
      </c>
    </row>
    <row r="191">
      <c r="A191" s="2">
        <f>IFERROR(__xludf.DUMMYFUNCTION("""COMPUTED_VALUE"""),36069.666666666664)</f>
        <v>36069.66667</v>
      </c>
      <c r="B191" s="1">
        <f>IFERROR(__xludf.DUMMYFUNCTION("""COMPUTED_VALUE"""),1335.36)</f>
        <v>1335.36</v>
      </c>
    </row>
    <row r="192">
      <c r="A192" s="2">
        <f>IFERROR(__xludf.DUMMYFUNCTION("""COMPUTED_VALUE"""),36070.666666666664)</f>
        <v>36070.66667</v>
      </c>
      <c r="B192" s="1">
        <f>IFERROR(__xludf.DUMMYFUNCTION("""COMPUTED_VALUE"""),1357.38)</f>
        <v>1357.38</v>
      </c>
    </row>
    <row r="193">
      <c r="A193" s="2">
        <f>IFERROR(__xludf.DUMMYFUNCTION("""COMPUTED_VALUE"""),36073.666666666664)</f>
        <v>36073.66667</v>
      </c>
      <c r="B193" s="1">
        <f>IFERROR(__xludf.DUMMYFUNCTION("""COMPUTED_VALUE"""),1338.37)</f>
        <v>1338.37</v>
      </c>
    </row>
    <row r="194">
      <c r="A194" s="2">
        <f>IFERROR(__xludf.DUMMYFUNCTION("""COMPUTED_VALUE"""),36074.666666666664)</f>
        <v>36074.66667</v>
      </c>
      <c r="B194" s="1">
        <f>IFERROR(__xludf.DUMMYFUNCTION("""COMPUTED_VALUE"""),1333.07)</f>
        <v>1333.07</v>
      </c>
    </row>
    <row r="195">
      <c r="A195" s="2">
        <f>IFERROR(__xludf.DUMMYFUNCTION("""COMPUTED_VALUE"""),36075.666666666664)</f>
        <v>36075.66667</v>
      </c>
      <c r="B195" s="1">
        <f>IFERROR(__xludf.DUMMYFUNCTION("""COMPUTED_VALUE"""),1314.63)</f>
        <v>1314.63</v>
      </c>
    </row>
    <row r="196">
      <c r="A196" s="2">
        <f>IFERROR(__xludf.DUMMYFUNCTION("""COMPUTED_VALUE"""),36076.666666666664)</f>
        <v>36076.66667</v>
      </c>
      <c r="B196" s="1">
        <f>IFERROR(__xludf.DUMMYFUNCTION("""COMPUTED_VALUE"""),1299.44)</f>
        <v>1299.44</v>
      </c>
    </row>
    <row r="197">
      <c r="A197" s="2">
        <f>IFERROR(__xludf.DUMMYFUNCTION("""COMPUTED_VALUE"""),36077.666666666664)</f>
        <v>36077.66667</v>
      </c>
      <c r="B197" s="1">
        <f>IFERROR(__xludf.DUMMYFUNCTION("""COMPUTED_VALUE"""),1333.23)</f>
        <v>1333.23</v>
      </c>
    </row>
    <row r="198">
      <c r="A198" s="2">
        <f>IFERROR(__xludf.DUMMYFUNCTION("""COMPUTED_VALUE"""),36080.666666666664)</f>
        <v>36080.66667</v>
      </c>
      <c r="B198" s="1">
        <f>IFERROR(__xludf.DUMMYFUNCTION("""COMPUTED_VALUE"""),1351.27)</f>
        <v>1351.27</v>
      </c>
    </row>
    <row r="199">
      <c r="A199" s="2">
        <f>IFERROR(__xludf.DUMMYFUNCTION("""COMPUTED_VALUE"""),36081.666666666664)</f>
        <v>36081.66667</v>
      </c>
      <c r="B199" s="1">
        <f>IFERROR(__xludf.DUMMYFUNCTION("""COMPUTED_VALUE"""),1347.41)</f>
        <v>1347.41</v>
      </c>
    </row>
    <row r="200">
      <c r="A200" s="2">
        <f>IFERROR(__xludf.DUMMYFUNCTION("""COMPUTED_VALUE"""),36082.666666666664)</f>
        <v>36082.66667</v>
      </c>
      <c r="B200" s="1">
        <f>IFERROR(__xludf.DUMMYFUNCTION("""COMPUTED_VALUE"""),1361.97)</f>
        <v>1361.97</v>
      </c>
    </row>
    <row r="201">
      <c r="A201" s="2">
        <f>IFERROR(__xludf.DUMMYFUNCTION("""COMPUTED_VALUE"""),36083.666666666664)</f>
        <v>36083.66667</v>
      </c>
      <c r="B201" s="1">
        <f>IFERROR(__xludf.DUMMYFUNCTION("""COMPUTED_VALUE"""),1418.81)</f>
        <v>1418.81</v>
      </c>
    </row>
    <row r="202">
      <c r="A202" s="2">
        <f>IFERROR(__xludf.DUMMYFUNCTION("""COMPUTED_VALUE"""),36084.666666666664)</f>
        <v>36084.66667</v>
      </c>
      <c r="B202" s="1">
        <f>IFERROR(__xludf.DUMMYFUNCTION("""COMPUTED_VALUE"""),1430.92)</f>
        <v>1430.92</v>
      </c>
    </row>
    <row r="203">
      <c r="A203" s="2">
        <f>IFERROR(__xludf.DUMMYFUNCTION("""COMPUTED_VALUE"""),36087.666666666664)</f>
        <v>36087.66667</v>
      </c>
      <c r="B203" s="1">
        <f>IFERROR(__xludf.DUMMYFUNCTION("""COMPUTED_VALUE"""),1439.0)</f>
        <v>1439</v>
      </c>
    </row>
    <row r="204">
      <c r="A204" s="2">
        <f>IFERROR(__xludf.DUMMYFUNCTION("""COMPUTED_VALUE"""),36088.666666666664)</f>
        <v>36088.66667</v>
      </c>
      <c r="B204" s="1">
        <f>IFERROR(__xludf.DUMMYFUNCTION("""COMPUTED_VALUE"""),1441.09)</f>
        <v>1441.09</v>
      </c>
    </row>
    <row r="205">
      <c r="A205" s="2">
        <f>IFERROR(__xludf.DUMMYFUNCTION("""COMPUTED_VALUE"""),36089.666666666664)</f>
        <v>36089.66667</v>
      </c>
      <c r="B205" s="1">
        <f>IFERROR(__xludf.DUMMYFUNCTION("""COMPUTED_VALUE"""),1449.3)</f>
        <v>1449.3</v>
      </c>
    </row>
    <row r="206">
      <c r="A206" s="2">
        <f>IFERROR(__xludf.DUMMYFUNCTION("""COMPUTED_VALUE"""),36090.666666666664)</f>
        <v>36090.66667</v>
      </c>
      <c r="B206" s="1">
        <f>IFERROR(__xludf.DUMMYFUNCTION("""COMPUTED_VALUE"""),1460.93)</f>
        <v>1460.93</v>
      </c>
    </row>
    <row r="207">
      <c r="A207" s="2">
        <f>IFERROR(__xludf.DUMMYFUNCTION("""COMPUTED_VALUE"""),36091.666666666664)</f>
        <v>36091.66667</v>
      </c>
      <c r="B207" s="1">
        <f>IFERROR(__xludf.DUMMYFUNCTION("""COMPUTED_VALUE"""),1450.37)</f>
        <v>1450.37</v>
      </c>
    </row>
    <row r="208">
      <c r="A208" s="2">
        <f>IFERROR(__xludf.DUMMYFUNCTION("""COMPUTED_VALUE"""),36094.666666666664)</f>
        <v>36094.66667</v>
      </c>
      <c r="B208" s="1">
        <f>IFERROR(__xludf.DUMMYFUNCTION("""COMPUTED_VALUE"""),1452.6)</f>
        <v>1452.6</v>
      </c>
    </row>
    <row r="209">
      <c r="A209" s="2">
        <f>IFERROR(__xludf.DUMMYFUNCTION("""COMPUTED_VALUE"""),36095.666666666664)</f>
        <v>36095.66667</v>
      </c>
      <c r="B209" s="1">
        <f>IFERROR(__xludf.DUMMYFUNCTION("""COMPUTED_VALUE"""),1443.15)</f>
        <v>1443.15</v>
      </c>
    </row>
    <row r="210">
      <c r="A210" s="2">
        <f>IFERROR(__xludf.DUMMYFUNCTION("""COMPUTED_VALUE"""),36096.666666666664)</f>
        <v>36096.66667</v>
      </c>
      <c r="B210" s="1">
        <f>IFERROR(__xludf.DUMMYFUNCTION("""COMPUTED_VALUE"""),1447.15)</f>
        <v>1447.15</v>
      </c>
    </row>
    <row r="211">
      <c r="A211" s="2">
        <f>IFERROR(__xludf.DUMMYFUNCTION("""COMPUTED_VALUE"""),36097.666666666664)</f>
        <v>36097.66667</v>
      </c>
      <c r="B211" s="1">
        <f>IFERROR(__xludf.DUMMYFUNCTION("""COMPUTED_VALUE"""),1471.51)</f>
        <v>1471.51</v>
      </c>
    </row>
    <row r="212">
      <c r="A212" s="2">
        <f>IFERROR(__xludf.DUMMYFUNCTION("""COMPUTED_VALUE"""),36098.666666666664)</f>
        <v>36098.66667</v>
      </c>
      <c r="B212" s="1">
        <f>IFERROR(__xludf.DUMMYFUNCTION("""COMPUTED_VALUE"""),1488.78)</f>
        <v>1488.78</v>
      </c>
    </row>
    <row r="213">
      <c r="A213" s="2">
        <f>IFERROR(__xludf.DUMMYFUNCTION("""COMPUTED_VALUE"""),36101.666666666664)</f>
        <v>36101.66667</v>
      </c>
      <c r="B213" s="1">
        <f>IFERROR(__xludf.DUMMYFUNCTION("""COMPUTED_VALUE"""),1506.31)</f>
        <v>1506.31</v>
      </c>
    </row>
    <row r="214">
      <c r="A214" s="2">
        <f>IFERROR(__xludf.DUMMYFUNCTION("""COMPUTED_VALUE"""),36102.666666666664)</f>
        <v>36102.66667</v>
      </c>
      <c r="B214" s="1">
        <f>IFERROR(__xludf.DUMMYFUNCTION("""COMPUTED_VALUE"""),1505.32)</f>
        <v>1505.32</v>
      </c>
    </row>
    <row r="215">
      <c r="A215" s="2">
        <f>IFERROR(__xludf.DUMMYFUNCTION("""COMPUTED_VALUE"""),36103.666666666664)</f>
        <v>36103.66667</v>
      </c>
      <c r="B215" s="1">
        <f>IFERROR(__xludf.DUMMYFUNCTION("""COMPUTED_VALUE"""),1516.15)</f>
        <v>1516.15</v>
      </c>
    </row>
    <row r="216">
      <c r="A216" s="2">
        <f>IFERROR(__xludf.DUMMYFUNCTION("""COMPUTED_VALUE"""),36104.666666666664)</f>
        <v>36104.66667</v>
      </c>
      <c r="B216" s="1">
        <f>IFERROR(__xludf.DUMMYFUNCTION("""COMPUTED_VALUE"""),1536.85)</f>
        <v>1536.85</v>
      </c>
    </row>
    <row r="217">
      <c r="A217" s="2">
        <f>IFERROR(__xludf.DUMMYFUNCTION("""COMPUTED_VALUE"""),36105.666666666664)</f>
        <v>36105.66667</v>
      </c>
      <c r="B217" s="1">
        <f>IFERROR(__xludf.DUMMYFUNCTION("""COMPUTED_VALUE"""),1546.7)</f>
        <v>1546.7</v>
      </c>
    </row>
    <row r="218">
      <c r="A218" s="2">
        <f>IFERROR(__xludf.DUMMYFUNCTION("""COMPUTED_VALUE"""),36108.666666666664)</f>
        <v>36108.66667</v>
      </c>
      <c r="B218" s="1">
        <f>IFERROR(__xludf.DUMMYFUNCTION("""COMPUTED_VALUE"""),1532.29)</f>
        <v>1532.29</v>
      </c>
    </row>
    <row r="219">
      <c r="A219" s="2">
        <f>IFERROR(__xludf.DUMMYFUNCTION("""COMPUTED_VALUE"""),36109.666666666664)</f>
        <v>36109.66667</v>
      </c>
      <c r="B219" s="1">
        <f>IFERROR(__xludf.DUMMYFUNCTION("""COMPUTED_VALUE"""),1529.92)</f>
        <v>1529.92</v>
      </c>
    </row>
    <row r="220">
      <c r="A220" s="2">
        <f>IFERROR(__xludf.DUMMYFUNCTION("""COMPUTED_VALUE"""),36110.666666666664)</f>
        <v>36110.66667</v>
      </c>
      <c r="B220" s="1">
        <f>IFERROR(__xludf.DUMMYFUNCTION("""COMPUTED_VALUE"""),1520.04)</f>
        <v>1520.04</v>
      </c>
    </row>
    <row r="221">
      <c r="A221" s="2">
        <f>IFERROR(__xludf.DUMMYFUNCTION("""COMPUTED_VALUE"""),36111.666666666664)</f>
        <v>36111.66667</v>
      </c>
      <c r="B221" s="1">
        <f>IFERROR(__xludf.DUMMYFUNCTION("""COMPUTED_VALUE"""),1515.75)</f>
        <v>1515.75</v>
      </c>
    </row>
    <row r="222">
      <c r="A222" s="2">
        <f>IFERROR(__xludf.DUMMYFUNCTION("""COMPUTED_VALUE"""),36112.666666666664)</f>
        <v>36112.66667</v>
      </c>
      <c r="B222" s="1">
        <f>IFERROR(__xludf.DUMMYFUNCTION("""COMPUTED_VALUE"""),1526.71)</f>
        <v>1526.71</v>
      </c>
    </row>
    <row r="223">
      <c r="A223" s="2">
        <f>IFERROR(__xludf.DUMMYFUNCTION("""COMPUTED_VALUE"""),36115.666666666664)</f>
        <v>36115.66667</v>
      </c>
      <c r="B223" s="1">
        <f>IFERROR(__xludf.DUMMYFUNCTION("""COMPUTED_VALUE"""),1540.51)</f>
        <v>1540.51</v>
      </c>
    </row>
    <row r="224">
      <c r="A224" s="2">
        <f>IFERROR(__xludf.DUMMYFUNCTION("""COMPUTED_VALUE"""),36116.666666666664)</f>
        <v>36116.66667</v>
      </c>
      <c r="B224" s="1">
        <f>IFERROR(__xludf.DUMMYFUNCTION("""COMPUTED_VALUE"""),1545.21)</f>
        <v>1545.21</v>
      </c>
    </row>
    <row r="225">
      <c r="A225" s="2">
        <f>IFERROR(__xludf.DUMMYFUNCTION("""COMPUTED_VALUE"""),36117.666666666664)</f>
        <v>36117.66667</v>
      </c>
      <c r="B225" s="1">
        <f>IFERROR(__xludf.DUMMYFUNCTION("""COMPUTED_VALUE"""),1552.4)</f>
        <v>1552.4</v>
      </c>
    </row>
    <row r="226">
      <c r="A226" s="2">
        <f>IFERROR(__xludf.DUMMYFUNCTION("""COMPUTED_VALUE"""),36118.666666666664)</f>
        <v>36118.66667</v>
      </c>
      <c r="B226" s="1">
        <f>IFERROR(__xludf.DUMMYFUNCTION("""COMPUTED_VALUE"""),1563.52)</f>
        <v>1563.52</v>
      </c>
    </row>
    <row r="227">
      <c r="A227" s="2">
        <f>IFERROR(__xludf.DUMMYFUNCTION("""COMPUTED_VALUE"""),36119.666666666664)</f>
        <v>36119.66667</v>
      </c>
      <c r="B227" s="1">
        <f>IFERROR(__xludf.DUMMYFUNCTION("""COMPUTED_VALUE"""),1578.37)</f>
        <v>1578.37</v>
      </c>
    </row>
    <row r="228">
      <c r="A228" s="2">
        <f>IFERROR(__xludf.DUMMYFUNCTION("""COMPUTED_VALUE"""),36122.666666666664)</f>
        <v>36122.66667</v>
      </c>
      <c r="B228" s="1">
        <f>IFERROR(__xludf.DUMMYFUNCTION("""COMPUTED_VALUE"""),1611.84)</f>
        <v>1611.84</v>
      </c>
    </row>
    <row r="229">
      <c r="A229" s="2">
        <f>IFERROR(__xludf.DUMMYFUNCTION("""COMPUTED_VALUE"""),36123.666666666664)</f>
        <v>36123.66667</v>
      </c>
      <c r="B229" s="1">
        <f>IFERROR(__xludf.DUMMYFUNCTION("""COMPUTED_VALUE"""),1604.87)</f>
        <v>1604.87</v>
      </c>
    </row>
    <row r="230">
      <c r="A230" s="2">
        <f>IFERROR(__xludf.DUMMYFUNCTION("""COMPUTED_VALUE"""),36124.666666666664)</f>
        <v>36124.66667</v>
      </c>
      <c r="B230" s="1">
        <f>IFERROR(__xludf.DUMMYFUNCTION("""COMPUTED_VALUE"""),1610.28)</f>
        <v>1610.28</v>
      </c>
    </row>
    <row r="231">
      <c r="A231" s="2">
        <f>IFERROR(__xludf.DUMMYFUNCTION("""COMPUTED_VALUE"""),36126.666666666664)</f>
        <v>36126.66667</v>
      </c>
      <c r="B231" s="1">
        <f>IFERROR(__xludf.DUMMYFUNCTION("""COMPUTED_VALUE"""),1617.95)</f>
        <v>1617.95</v>
      </c>
    </row>
    <row r="232">
      <c r="A232" s="2">
        <f>IFERROR(__xludf.DUMMYFUNCTION("""COMPUTED_VALUE"""),36129.666666666664)</f>
        <v>36129.66667</v>
      </c>
      <c r="B232" s="1">
        <f>IFERROR(__xludf.DUMMYFUNCTION("""COMPUTED_VALUE"""),1579.02)</f>
        <v>1579.02</v>
      </c>
    </row>
    <row r="233">
      <c r="A233" s="2">
        <f>IFERROR(__xludf.DUMMYFUNCTION("""COMPUTED_VALUE"""),36130.666666666664)</f>
        <v>36130.66667</v>
      </c>
      <c r="B233" s="1">
        <f>IFERROR(__xludf.DUMMYFUNCTION("""COMPUTED_VALUE"""),1594.87)</f>
        <v>1594.87</v>
      </c>
    </row>
    <row r="234">
      <c r="A234" s="2">
        <f>IFERROR(__xludf.DUMMYFUNCTION("""COMPUTED_VALUE"""),36131.666666666664)</f>
        <v>36131.66667</v>
      </c>
      <c r="B234" s="1">
        <f>IFERROR(__xludf.DUMMYFUNCTION("""COMPUTED_VALUE"""),1589.77)</f>
        <v>1589.77</v>
      </c>
    </row>
    <row r="235">
      <c r="A235" s="2">
        <f>IFERROR(__xludf.DUMMYFUNCTION("""COMPUTED_VALUE"""),36132.666666666664)</f>
        <v>36132.66667</v>
      </c>
      <c r="B235" s="1">
        <f>IFERROR(__xludf.DUMMYFUNCTION("""COMPUTED_VALUE"""),1561.16)</f>
        <v>1561.16</v>
      </c>
    </row>
    <row r="236">
      <c r="A236" s="2">
        <f>IFERROR(__xludf.DUMMYFUNCTION("""COMPUTED_VALUE"""),36133.666666666664)</f>
        <v>36133.66667</v>
      </c>
      <c r="B236" s="1">
        <f>IFERROR(__xludf.DUMMYFUNCTION("""COMPUTED_VALUE"""),1597.27)</f>
        <v>1597.27</v>
      </c>
    </row>
    <row r="237">
      <c r="A237" s="2">
        <f>IFERROR(__xludf.DUMMYFUNCTION("""COMPUTED_VALUE"""),36136.666666666664)</f>
        <v>36136.66667</v>
      </c>
      <c r="B237" s="1">
        <f>IFERROR(__xludf.DUMMYFUNCTION("""COMPUTED_VALUE"""),1612.18)</f>
        <v>1612.18</v>
      </c>
    </row>
    <row r="238">
      <c r="A238" s="2">
        <f>IFERROR(__xludf.DUMMYFUNCTION("""COMPUTED_VALUE"""),36137.666666666664)</f>
        <v>36137.66667</v>
      </c>
      <c r="B238" s="1">
        <f>IFERROR(__xludf.DUMMYFUNCTION("""COMPUTED_VALUE"""),1603.69)</f>
        <v>1603.69</v>
      </c>
    </row>
    <row r="239">
      <c r="A239" s="2">
        <f>IFERROR(__xludf.DUMMYFUNCTION("""COMPUTED_VALUE"""),36138.666666666664)</f>
        <v>36138.66667</v>
      </c>
      <c r="B239" s="1">
        <f>IFERROR(__xludf.DUMMYFUNCTION("""COMPUTED_VALUE"""),1606.68)</f>
        <v>1606.68</v>
      </c>
    </row>
    <row r="240">
      <c r="A240" s="2">
        <f>IFERROR(__xludf.DUMMYFUNCTION("""COMPUTED_VALUE"""),36139.666666666664)</f>
        <v>36139.66667</v>
      </c>
      <c r="B240" s="1">
        <f>IFERROR(__xludf.DUMMYFUNCTION("""COMPUTED_VALUE"""),1581.65)</f>
        <v>1581.65</v>
      </c>
    </row>
    <row r="241">
      <c r="A241" s="2">
        <f>IFERROR(__xludf.DUMMYFUNCTION("""COMPUTED_VALUE"""),36140.666666666664)</f>
        <v>36140.66667</v>
      </c>
      <c r="B241" s="1">
        <f>IFERROR(__xludf.DUMMYFUNCTION("""COMPUTED_VALUE"""),1583.93)</f>
        <v>1583.93</v>
      </c>
    </row>
    <row r="242">
      <c r="A242" s="2">
        <f>IFERROR(__xludf.DUMMYFUNCTION("""COMPUTED_VALUE"""),36143.666666666664)</f>
        <v>36143.66667</v>
      </c>
      <c r="B242" s="1">
        <f>IFERROR(__xludf.DUMMYFUNCTION("""COMPUTED_VALUE"""),1549.63)</f>
        <v>1549.63</v>
      </c>
    </row>
    <row r="243">
      <c r="A243" s="2">
        <f>IFERROR(__xludf.DUMMYFUNCTION("""COMPUTED_VALUE"""),36144.666666666664)</f>
        <v>36144.66667</v>
      </c>
      <c r="B243" s="1">
        <f>IFERROR(__xludf.DUMMYFUNCTION("""COMPUTED_VALUE"""),1579.02)</f>
        <v>1579.02</v>
      </c>
    </row>
    <row r="244">
      <c r="A244" s="2">
        <f>IFERROR(__xludf.DUMMYFUNCTION("""COMPUTED_VALUE"""),36145.666666666664)</f>
        <v>36145.66667</v>
      </c>
      <c r="B244" s="1">
        <f>IFERROR(__xludf.DUMMYFUNCTION("""COMPUTED_VALUE"""),1577.87)</f>
        <v>1577.87</v>
      </c>
    </row>
    <row r="245">
      <c r="A245" s="2">
        <f>IFERROR(__xludf.DUMMYFUNCTION("""COMPUTED_VALUE"""),36146.666666666664)</f>
        <v>36146.66667</v>
      </c>
      <c r="B245" s="1">
        <f>IFERROR(__xludf.DUMMYFUNCTION("""COMPUTED_VALUE"""),1602.47)</f>
        <v>1602.47</v>
      </c>
    </row>
    <row r="246">
      <c r="A246" s="2">
        <f>IFERROR(__xludf.DUMMYFUNCTION("""COMPUTED_VALUE"""),36147.666666666664)</f>
        <v>36147.66667</v>
      </c>
      <c r="B246" s="1">
        <f>IFERROR(__xludf.DUMMYFUNCTION("""COMPUTED_VALUE"""),1613.41)</f>
        <v>1613.41</v>
      </c>
    </row>
    <row r="247">
      <c r="A247" s="2">
        <f>IFERROR(__xludf.DUMMYFUNCTION("""COMPUTED_VALUE"""),36150.666666666664)</f>
        <v>36150.66667</v>
      </c>
      <c r="B247" s="1">
        <f>IFERROR(__xludf.DUMMYFUNCTION("""COMPUTED_VALUE"""),1633.56)</f>
        <v>1633.56</v>
      </c>
    </row>
    <row r="248">
      <c r="A248" s="2">
        <f>IFERROR(__xludf.DUMMYFUNCTION("""COMPUTED_VALUE"""),36151.666666666664)</f>
        <v>36151.66667</v>
      </c>
      <c r="B248" s="1">
        <f>IFERROR(__xludf.DUMMYFUNCTION("""COMPUTED_VALUE"""),1634.58)</f>
        <v>1634.58</v>
      </c>
    </row>
    <row r="249">
      <c r="A249" s="2">
        <f>IFERROR(__xludf.DUMMYFUNCTION("""COMPUTED_VALUE"""),36152.666666666664)</f>
        <v>36152.66667</v>
      </c>
      <c r="B249" s="1">
        <f>IFERROR(__xludf.DUMMYFUNCTION("""COMPUTED_VALUE"""),1668.5)</f>
        <v>1668.5</v>
      </c>
    </row>
    <row r="250">
      <c r="A250" s="2">
        <f>IFERROR(__xludf.DUMMYFUNCTION("""COMPUTED_VALUE"""),36153.666666666664)</f>
        <v>36153.66667</v>
      </c>
      <c r="B250" s="1">
        <f>IFERROR(__xludf.DUMMYFUNCTION("""COMPUTED_VALUE"""),1665.45)</f>
        <v>1665.45</v>
      </c>
    </row>
    <row r="251">
      <c r="A251" s="2">
        <f>IFERROR(__xludf.DUMMYFUNCTION("""COMPUTED_VALUE"""),36157.666666666664)</f>
        <v>36157.66667</v>
      </c>
      <c r="B251" s="1">
        <f>IFERROR(__xludf.DUMMYFUNCTION("""COMPUTED_VALUE"""),1664.39)</f>
        <v>1664.39</v>
      </c>
    </row>
    <row r="252">
      <c r="A252" s="2">
        <f>IFERROR(__xludf.DUMMYFUNCTION("""COMPUTED_VALUE"""),36158.666666666664)</f>
        <v>36158.66667</v>
      </c>
      <c r="B252" s="1">
        <f>IFERROR(__xludf.DUMMYFUNCTION("""COMPUTED_VALUE"""),1687.03)</f>
        <v>1687.03</v>
      </c>
    </row>
    <row r="253">
      <c r="A253" s="2">
        <f>IFERROR(__xludf.DUMMYFUNCTION("""COMPUTED_VALUE"""),36159.666666666664)</f>
        <v>36159.66667</v>
      </c>
      <c r="B253" s="1">
        <f>IFERROR(__xludf.DUMMYFUNCTION("""COMPUTED_VALUE"""),1673.66)</f>
        <v>1673.66</v>
      </c>
    </row>
    <row r="254">
      <c r="A254" s="2">
        <f>IFERROR(__xludf.DUMMYFUNCTION("""COMPUTED_VALUE"""),36160.666666666664)</f>
        <v>36160.66667</v>
      </c>
      <c r="B254" s="1">
        <f>IFERROR(__xludf.DUMMYFUNCTION("""COMPUTED_VALUE"""),1670.01)</f>
        <v>1670.01</v>
      </c>
    </row>
    <row r="255">
      <c r="A255" s="2">
        <f>IFERROR(__xludf.DUMMYFUNCTION("""COMPUTED_VALUE"""),36164.666666666664)</f>
        <v>36164.66667</v>
      </c>
      <c r="B255" s="1">
        <f>IFERROR(__xludf.DUMMYFUNCTION("""COMPUTED_VALUE"""),1668.52)</f>
        <v>1668.52</v>
      </c>
    </row>
    <row r="256">
      <c r="A256" s="2">
        <f>IFERROR(__xludf.DUMMYFUNCTION("""COMPUTED_VALUE"""),36165.666666666664)</f>
        <v>36165.66667</v>
      </c>
      <c r="B256" s="1">
        <f>IFERROR(__xludf.DUMMYFUNCTION("""COMPUTED_VALUE"""),1691.25)</f>
        <v>1691.25</v>
      </c>
    </row>
    <row r="257">
      <c r="A257" s="2">
        <f>IFERROR(__xludf.DUMMYFUNCTION("""COMPUTED_VALUE"""),36166.666666666664)</f>
        <v>36166.66667</v>
      </c>
      <c r="B257" s="1">
        <f>IFERROR(__xludf.DUMMYFUNCTION("""COMPUTED_VALUE"""),1729.08)</f>
        <v>1729.08</v>
      </c>
    </row>
    <row r="258">
      <c r="A258" s="2">
        <f>IFERROR(__xludf.DUMMYFUNCTION("""COMPUTED_VALUE"""),36167.666666666664)</f>
        <v>36167.66667</v>
      </c>
      <c r="B258" s="1">
        <f>IFERROR(__xludf.DUMMYFUNCTION("""COMPUTED_VALUE"""),1725.64)</f>
        <v>1725.64</v>
      </c>
    </row>
    <row r="259">
      <c r="A259" s="2">
        <f>IFERROR(__xludf.DUMMYFUNCTION("""COMPUTED_VALUE"""),36168.666666666664)</f>
        <v>36168.66667</v>
      </c>
      <c r="B259" s="1">
        <f>IFERROR(__xludf.DUMMYFUNCTION("""COMPUTED_VALUE"""),1732.93)</f>
        <v>1732.93</v>
      </c>
    </row>
    <row r="260">
      <c r="A260" s="2">
        <f>IFERROR(__xludf.DUMMYFUNCTION("""COMPUTED_VALUE"""),36171.666666666664)</f>
        <v>36171.66667</v>
      </c>
      <c r="B260" s="1">
        <f>IFERROR(__xludf.DUMMYFUNCTION("""COMPUTED_VALUE"""),1717.69)</f>
        <v>1717.69</v>
      </c>
    </row>
    <row r="261">
      <c r="A261" s="2">
        <f>IFERROR(__xludf.DUMMYFUNCTION("""COMPUTED_VALUE"""),36172.666666666664)</f>
        <v>36172.66667</v>
      </c>
      <c r="B261" s="1">
        <f>IFERROR(__xludf.DUMMYFUNCTION("""COMPUTED_VALUE"""),1684.57)</f>
        <v>1684.57</v>
      </c>
    </row>
    <row r="262">
      <c r="A262" s="2">
        <f>IFERROR(__xludf.DUMMYFUNCTION("""COMPUTED_VALUE"""),36173.666666666664)</f>
        <v>36173.66667</v>
      </c>
      <c r="B262" s="1">
        <f>IFERROR(__xludf.DUMMYFUNCTION("""COMPUTED_VALUE"""),1677.73)</f>
        <v>1677.73</v>
      </c>
    </row>
    <row r="263">
      <c r="A263" s="2">
        <f>IFERROR(__xludf.DUMMYFUNCTION("""COMPUTED_VALUE"""),36174.666666666664)</f>
        <v>36174.66667</v>
      </c>
      <c r="B263" s="1">
        <f>IFERROR(__xludf.DUMMYFUNCTION("""COMPUTED_VALUE"""),1647.57)</f>
        <v>1647.57</v>
      </c>
    </row>
    <row r="264">
      <c r="A264" s="2">
        <f>IFERROR(__xludf.DUMMYFUNCTION("""COMPUTED_VALUE"""),36175.666666666664)</f>
        <v>36175.66667</v>
      </c>
      <c r="B264" s="1">
        <f>IFERROR(__xludf.DUMMYFUNCTION("""COMPUTED_VALUE"""),1689.82)</f>
        <v>1689.82</v>
      </c>
    </row>
    <row r="265">
      <c r="A265" s="2">
        <f>IFERROR(__xludf.DUMMYFUNCTION("""COMPUTED_VALUE"""),36179.666666666664)</f>
        <v>36179.66667</v>
      </c>
      <c r="B265" s="1">
        <f>IFERROR(__xludf.DUMMYFUNCTION("""COMPUTED_VALUE"""),1701.71)</f>
        <v>1701.71</v>
      </c>
    </row>
    <row r="266">
      <c r="A266" s="2">
        <f>IFERROR(__xludf.DUMMYFUNCTION("""COMPUTED_VALUE"""),36180.666666666664)</f>
        <v>36180.66667</v>
      </c>
      <c r="B266" s="1">
        <f>IFERROR(__xludf.DUMMYFUNCTION("""COMPUTED_VALUE"""),1708.09)</f>
        <v>1708.09</v>
      </c>
    </row>
    <row r="267">
      <c r="A267" s="2">
        <f>IFERROR(__xludf.DUMMYFUNCTION("""COMPUTED_VALUE"""),36181.666666666664)</f>
        <v>36181.66667</v>
      </c>
      <c r="B267" s="1">
        <f>IFERROR(__xludf.DUMMYFUNCTION("""COMPUTED_VALUE"""),1678.93)</f>
        <v>1678.93</v>
      </c>
    </row>
    <row r="268">
      <c r="A268" s="2">
        <f>IFERROR(__xludf.DUMMYFUNCTION("""COMPUTED_VALUE"""),36182.666666666664)</f>
        <v>36182.66667</v>
      </c>
      <c r="B268" s="1">
        <f>IFERROR(__xludf.DUMMYFUNCTION("""COMPUTED_VALUE"""),1665.39)</f>
        <v>1665.39</v>
      </c>
    </row>
    <row r="269">
      <c r="A269" s="2">
        <f>IFERROR(__xludf.DUMMYFUNCTION("""COMPUTED_VALUE"""),36185.666666666664)</f>
        <v>36185.66667</v>
      </c>
      <c r="B269" s="1">
        <f>IFERROR(__xludf.DUMMYFUNCTION("""COMPUTED_VALUE"""),1677.34)</f>
        <v>1677.34</v>
      </c>
    </row>
    <row r="270">
      <c r="A270" s="2">
        <f>IFERROR(__xludf.DUMMYFUNCTION("""COMPUTED_VALUE"""),36186.666666666664)</f>
        <v>36186.66667</v>
      </c>
      <c r="B270" s="1">
        <f>IFERROR(__xludf.DUMMYFUNCTION("""COMPUTED_VALUE"""),1702.26)</f>
        <v>1702.26</v>
      </c>
    </row>
    <row r="271">
      <c r="A271" s="2">
        <f>IFERROR(__xludf.DUMMYFUNCTION("""COMPUTED_VALUE"""),36187.666666666664)</f>
        <v>36187.66667</v>
      </c>
      <c r="B271" s="1">
        <f>IFERROR(__xludf.DUMMYFUNCTION("""COMPUTED_VALUE"""),1690.08)</f>
        <v>1690.08</v>
      </c>
    </row>
    <row r="272">
      <c r="A272" s="2">
        <f>IFERROR(__xludf.DUMMYFUNCTION("""COMPUTED_VALUE"""),36188.666666666664)</f>
        <v>36188.66667</v>
      </c>
      <c r="B272" s="1">
        <f>IFERROR(__xludf.DUMMYFUNCTION("""COMPUTED_VALUE"""),1720.44)</f>
        <v>1720.44</v>
      </c>
    </row>
    <row r="273">
      <c r="A273" s="2">
        <f>IFERROR(__xludf.DUMMYFUNCTION("""COMPUTED_VALUE"""),36189.666666666664)</f>
        <v>36189.66667</v>
      </c>
      <c r="B273" s="1">
        <f>IFERROR(__xludf.DUMMYFUNCTION("""COMPUTED_VALUE"""),1739.84)</f>
        <v>1739.84</v>
      </c>
    </row>
    <row r="274">
      <c r="A274" s="2">
        <f>IFERROR(__xludf.DUMMYFUNCTION("""COMPUTED_VALUE"""),36192.666666666664)</f>
        <v>36192.66667</v>
      </c>
      <c r="B274" s="1">
        <f>IFERROR(__xludf.DUMMYFUNCTION("""COMPUTED_VALUE"""),1730.81)</f>
        <v>1730.81</v>
      </c>
    </row>
    <row r="275">
      <c r="A275" s="2">
        <f>IFERROR(__xludf.DUMMYFUNCTION("""COMPUTED_VALUE"""),36193.666666666664)</f>
        <v>36193.66667</v>
      </c>
      <c r="B275" s="1">
        <f>IFERROR(__xludf.DUMMYFUNCTION("""COMPUTED_VALUE"""),1715.91)</f>
        <v>1715.91</v>
      </c>
    </row>
    <row r="276">
      <c r="A276" s="2">
        <f>IFERROR(__xludf.DUMMYFUNCTION("""COMPUTED_VALUE"""),36194.666666666664)</f>
        <v>36194.66667</v>
      </c>
      <c r="B276" s="1">
        <f>IFERROR(__xludf.DUMMYFUNCTION("""COMPUTED_VALUE"""),1729.84)</f>
        <v>1729.84</v>
      </c>
    </row>
    <row r="277">
      <c r="A277" s="2">
        <f>IFERROR(__xludf.DUMMYFUNCTION("""COMPUTED_VALUE"""),36195.666666666664)</f>
        <v>36195.66667</v>
      </c>
      <c r="B277" s="1">
        <f>IFERROR(__xludf.DUMMYFUNCTION("""COMPUTED_VALUE"""),1697.9)</f>
        <v>1697.9</v>
      </c>
    </row>
    <row r="278">
      <c r="A278" s="2">
        <f>IFERROR(__xludf.DUMMYFUNCTION("""COMPUTED_VALUE"""),36196.666666666664)</f>
        <v>36196.66667</v>
      </c>
      <c r="B278" s="1">
        <f>IFERROR(__xludf.DUMMYFUNCTION("""COMPUTED_VALUE"""),1685.58)</f>
        <v>1685.58</v>
      </c>
    </row>
    <row r="279">
      <c r="A279" s="2">
        <f>IFERROR(__xludf.DUMMYFUNCTION("""COMPUTED_VALUE"""),36199.666666666664)</f>
        <v>36199.66667</v>
      </c>
      <c r="B279" s="1">
        <f>IFERROR(__xludf.DUMMYFUNCTION("""COMPUTED_VALUE"""),1691.79)</f>
        <v>1691.79</v>
      </c>
    </row>
    <row r="280">
      <c r="A280" s="2">
        <f>IFERROR(__xludf.DUMMYFUNCTION("""COMPUTED_VALUE"""),36200.666666666664)</f>
        <v>36200.66667</v>
      </c>
      <c r="B280" s="1">
        <f>IFERROR(__xludf.DUMMYFUNCTION("""COMPUTED_VALUE"""),1654.23)</f>
        <v>1654.23</v>
      </c>
    </row>
    <row r="281">
      <c r="A281" s="2">
        <f>IFERROR(__xludf.DUMMYFUNCTION("""COMPUTED_VALUE"""),36201.666666666664)</f>
        <v>36201.66667</v>
      </c>
      <c r="B281" s="1">
        <f>IFERROR(__xludf.DUMMYFUNCTION("""COMPUTED_VALUE"""),1664.64)</f>
        <v>1664.64</v>
      </c>
    </row>
    <row r="282">
      <c r="A282" s="2">
        <f>IFERROR(__xludf.DUMMYFUNCTION("""COMPUTED_VALUE"""),36202.666666666664)</f>
        <v>36202.66667</v>
      </c>
      <c r="B282" s="1">
        <f>IFERROR(__xludf.DUMMYFUNCTION("""COMPUTED_VALUE"""),1706.24)</f>
        <v>1706.24</v>
      </c>
    </row>
    <row r="283">
      <c r="A283" s="2">
        <f>IFERROR(__xludf.DUMMYFUNCTION("""COMPUTED_VALUE"""),36203.666666666664)</f>
        <v>36203.66667</v>
      </c>
      <c r="B283" s="1">
        <f>IFERROR(__xludf.DUMMYFUNCTION("""COMPUTED_VALUE"""),1673.77)</f>
        <v>1673.77</v>
      </c>
    </row>
    <row r="284">
      <c r="A284" s="2">
        <f>IFERROR(__xludf.DUMMYFUNCTION("""COMPUTED_VALUE"""),36207.666666666664)</f>
        <v>36207.66667</v>
      </c>
      <c r="B284" s="1">
        <f>IFERROR(__xludf.DUMMYFUNCTION("""COMPUTED_VALUE"""),1689.75)</f>
        <v>1689.75</v>
      </c>
    </row>
    <row r="285">
      <c r="A285" s="2">
        <f>IFERROR(__xludf.DUMMYFUNCTION("""COMPUTED_VALUE"""),36208.666666666664)</f>
        <v>36208.66667</v>
      </c>
      <c r="B285" s="1">
        <f>IFERROR(__xludf.DUMMYFUNCTION("""COMPUTED_VALUE"""),1665.68)</f>
        <v>1665.68</v>
      </c>
    </row>
    <row r="286">
      <c r="A286" s="2">
        <f>IFERROR(__xludf.DUMMYFUNCTION("""COMPUTED_VALUE"""),36209.666666666664)</f>
        <v>36209.66667</v>
      </c>
      <c r="B286" s="1">
        <f>IFERROR(__xludf.DUMMYFUNCTION("""COMPUTED_VALUE"""),1683.84)</f>
        <v>1683.84</v>
      </c>
    </row>
    <row r="287">
      <c r="A287" s="2">
        <f>IFERROR(__xludf.DUMMYFUNCTION("""COMPUTED_VALUE"""),36210.666666666664)</f>
        <v>36210.66667</v>
      </c>
      <c r="B287" s="1">
        <f>IFERROR(__xludf.DUMMYFUNCTION("""COMPUTED_VALUE"""),1686.48)</f>
        <v>1686.48</v>
      </c>
    </row>
    <row r="288">
      <c r="A288" s="2">
        <f>IFERROR(__xludf.DUMMYFUNCTION("""COMPUTED_VALUE"""),36213.666666666664)</f>
        <v>36213.66667</v>
      </c>
      <c r="B288" s="1">
        <f>IFERROR(__xludf.DUMMYFUNCTION("""COMPUTED_VALUE"""),1731.32)</f>
        <v>1731.32</v>
      </c>
    </row>
    <row r="289">
      <c r="A289" s="2">
        <f>IFERROR(__xludf.DUMMYFUNCTION("""COMPUTED_VALUE"""),36214.666666666664)</f>
        <v>36214.66667</v>
      </c>
      <c r="B289" s="1">
        <f>IFERROR(__xludf.DUMMYFUNCTION("""COMPUTED_VALUE"""),1730.05)</f>
        <v>1730.05</v>
      </c>
    </row>
    <row r="290">
      <c r="A290" s="2">
        <f>IFERROR(__xludf.DUMMYFUNCTION("""COMPUTED_VALUE"""),36215.666666666664)</f>
        <v>36215.66667</v>
      </c>
      <c r="B290" s="1">
        <f>IFERROR(__xludf.DUMMYFUNCTION("""COMPUTED_VALUE"""),1706.03)</f>
        <v>1706.03</v>
      </c>
    </row>
    <row r="291">
      <c r="A291" s="2">
        <f>IFERROR(__xludf.DUMMYFUNCTION("""COMPUTED_VALUE"""),36216.666666666664)</f>
        <v>36216.66667</v>
      </c>
      <c r="B291" s="1">
        <f>IFERROR(__xludf.DUMMYFUNCTION("""COMPUTED_VALUE"""),1694.83)</f>
        <v>1694.83</v>
      </c>
    </row>
    <row r="292">
      <c r="A292" s="2">
        <f>IFERROR(__xludf.DUMMYFUNCTION("""COMPUTED_VALUE"""),36217.666666666664)</f>
        <v>36217.66667</v>
      </c>
      <c r="B292" s="1">
        <f>IFERROR(__xludf.DUMMYFUNCTION("""COMPUTED_VALUE"""),1685.77)</f>
        <v>1685.77</v>
      </c>
    </row>
    <row r="293">
      <c r="A293" s="2">
        <f>IFERROR(__xludf.DUMMYFUNCTION("""COMPUTED_VALUE"""),36220.666666666664)</f>
        <v>36220.66667</v>
      </c>
      <c r="B293" s="1">
        <f>IFERROR(__xludf.DUMMYFUNCTION("""COMPUTED_VALUE"""),1682.86)</f>
        <v>1682.86</v>
      </c>
    </row>
    <row r="294">
      <c r="A294" s="2">
        <f>IFERROR(__xludf.DUMMYFUNCTION("""COMPUTED_VALUE"""),36221.666666666664)</f>
        <v>36221.66667</v>
      </c>
      <c r="B294" s="1">
        <f>IFERROR(__xludf.DUMMYFUNCTION("""COMPUTED_VALUE"""),1668.37)</f>
        <v>1668.37</v>
      </c>
    </row>
    <row r="295">
      <c r="A295" s="2">
        <f>IFERROR(__xludf.DUMMYFUNCTION("""COMPUTED_VALUE"""),36222.666666666664)</f>
        <v>36222.66667</v>
      </c>
      <c r="B295" s="1">
        <f>IFERROR(__xludf.DUMMYFUNCTION("""COMPUTED_VALUE"""),1671.74)</f>
        <v>1671.74</v>
      </c>
    </row>
    <row r="296">
      <c r="A296" s="2">
        <f>IFERROR(__xludf.DUMMYFUNCTION("""COMPUTED_VALUE"""),36223.666666666664)</f>
        <v>36223.66667</v>
      </c>
      <c r="B296" s="1">
        <f>IFERROR(__xludf.DUMMYFUNCTION("""COMPUTED_VALUE"""),1697.76)</f>
        <v>1697.76</v>
      </c>
    </row>
    <row r="297">
      <c r="A297" s="2">
        <f>IFERROR(__xludf.DUMMYFUNCTION("""COMPUTED_VALUE"""),36224.666666666664)</f>
        <v>36224.66667</v>
      </c>
      <c r="B297" s="1">
        <f>IFERROR(__xludf.DUMMYFUNCTION("""COMPUTED_VALUE"""),1737.05)</f>
        <v>1737.05</v>
      </c>
    </row>
    <row r="298">
      <c r="A298" s="2">
        <f>IFERROR(__xludf.DUMMYFUNCTION("""COMPUTED_VALUE"""),36227.666666666664)</f>
        <v>36227.66667</v>
      </c>
      <c r="B298" s="1">
        <f>IFERROR(__xludf.DUMMYFUNCTION("""COMPUTED_VALUE"""),1747.04)</f>
        <v>1747.04</v>
      </c>
    </row>
    <row r="299">
      <c r="A299" s="2">
        <f>IFERROR(__xludf.DUMMYFUNCTION("""COMPUTED_VALUE"""),36228.666666666664)</f>
        <v>36228.66667</v>
      </c>
      <c r="B299" s="1">
        <f>IFERROR(__xludf.DUMMYFUNCTION("""COMPUTED_VALUE"""),1743.11)</f>
        <v>1743.11</v>
      </c>
    </row>
    <row r="300">
      <c r="A300" s="2">
        <f>IFERROR(__xludf.DUMMYFUNCTION("""COMPUTED_VALUE"""),36229.666666666664)</f>
        <v>36229.66667</v>
      </c>
      <c r="B300" s="1">
        <f>IFERROR(__xludf.DUMMYFUNCTION("""COMPUTED_VALUE"""),1752.75)</f>
        <v>1752.75</v>
      </c>
    </row>
    <row r="301">
      <c r="A301" s="2">
        <f>IFERROR(__xludf.DUMMYFUNCTION("""COMPUTED_VALUE"""),36230.666666666664)</f>
        <v>36230.66667</v>
      </c>
      <c r="B301" s="1">
        <f>IFERROR(__xludf.DUMMYFUNCTION("""COMPUTED_VALUE"""),1767.93)</f>
        <v>1767.93</v>
      </c>
    </row>
    <row r="302">
      <c r="A302" s="2">
        <f>IFERROR(__xludf.DUMMYFUNCTION("""COMPUTED_VALUE"""),36231.666666666664)</f>
        <v>36231.66667</v>
      </c>
      <c r="B302" s="1">
        <f>IFERROR(__xludf.DUMMYFUNCTION("""COMPUTED_VALUE"""),1763.74)</f>
        <v>1763.74</v>
      </c>
    </row>
    <row r="303">
      <c r="A303" s="2">
        <f>IFERROR(__xludf.DUMMYFUNCTION("""COMPUTED_VALUE"""),36234.666666666664)</f>
        <v>36234.66667</v>
      </c>
      <c r="B303" s="1">
        <f>IFERROR(__xludf.DUMMYFUNCTION("""COMPUTED_VALUE"""),1781.02)</f>
        <v>1781.02</v>
      </c>
    </row>
    <row r="304">
      <c r="A304" s="2">
        <f>IFERROR(__xludf.DUMMYFUNCTION("""COMPUTED_VALUE"""),36235.666666666664)</f>
        <v>36235.66667</v>
      </c>
      <c r="B304" s="1">
        <f>IFERROR(__xludf.DUMMYFUNCTION("""COMPUTED_VALUE"""),1779.84)</f>
        <v>1779.84</v>
      </c>
    </row>
    <row r="305">
      <c r="A305" s="2">
        <f>IFERROR(__xludf.DUMMYFUNCTION("""COMPUTED_VALUE"""),36236.666666666664)</f>
        <v>36236.66667</v>
      </c>
      <c r="B305" s="1">
        <f>IFERROR(__xludf.DUMMYFUNCTION("""COMPUTED_VALUE"""),1768.27)</f>
        <v>1768.27</v>
      </c>
    </row>
    <row r="306">
      <c r="A306" s="2">
        <f>IFERROR(__xludf.DUMMYFUNCTION("""COMPUTED_VALUE"""),36237.666666666664)</f>
        <v>36237.66667</v>
      </c>
      <c r="B306" s="1">
        <f>IFERROR(__xludf.DUMMYFUNCTION("""COMPUTED_VALUE"""),1793.85)</f>
        <v>1793.85</v>
      </c>
    </row>
    <row r="307">
      <c r="A307" s="2">
        <f>IFERROR(__xludf.DUMMYFUNCTION("""COMPUTED_VALUE"""),36238.666666666664)</f>
        <v>36238.66667</v>
      </c>
      <c r="B307" s="1">
        <f>IFERROR(__xludf.DUMMYFUNCTION("""COMPUTED_VALUE"""),1770.34)</f>
        <v>1770.34</v>
      </c>
    </row>
    <row r="308">
      <c r="A308" s="2">
        <f>IFERROR(__xludf.DUMMYFUNCTION("""COMPUTED_VALUE"""),36241.666666666664)</f>
        <v>36241.66667</v>
      </c>
      <c r="B308" s="1">
        <f>IFERROR(__xludf.DUMMYFUNCTION("""COMPUTED_VALUE"""),1767.26)</f>
        <v>1767.26</v>
      </c>
    </row>
    <row r="309">
      <c r="A309" s="2">
        <f>IFERROR(__xludf.DUMMYFUNCTION("""COMPUTED_VALUE"""),36242.666666666664)</f>
        <v>36242.66667</v>
      </c>
      <c r="B309" s="1">
        <f>IFERROR(__xludf.DUMMYFUNCTION("""COMPUTED_VALUE"""),1719.76)</f>
        <v>1719.76</v>
      </c>
    </row>
    <row r="310">
      <c r="A310" s="2">
        <f>IFERROR(__xludf.DUMMYFUNCTION("""COMPUTED_VALUE"""),36243.666666666664)</f>
        <v>36243.66667</v>
      </c>
      <c r="B310" s="1">
        <f>IFERROR(__xludf.DUMMYFUNCTION("""COMPUTED_VALUE"""),1728.57)</f>
        <v>1728.57</v>
      </c>
    </row>
    <row r="311">
      <c r="A311" s="2">
        <f>IFERROR(__xludf.DUMMYFUNCTION("""COMPUTED_VALUE"""),36244.666666666664)</f>
        <v>36244.66667</v>
      </c>
      <c r="B311" s="1">
        <f>IFERROR(__xludf.DUMMYFUNCTION("""COMPUTED_VALUE"""),1757.75)</f>
        <v>1757.75</v>
      </c>
    </row>
    <row r="312">
      <c r="A312" s="2">
        <f>IFERROR(__xludf.DUMMYFUNCTION("""COMPUTED_VALUE"""),36245.666666666664)</f>
        <v>36245.66667</v>
      </c>
      <c r="B312" s="1">
        <f>IFERROR(__xludf.DUMMYFUNCTION("""COMPUTED_VALUE"""),1747.95)</f>
        <v>1747.95</v>
      </c>
    </row>
    <row r="313">
      <c r="A313" s="2">
        <f>IFERROR(__xludf.DUMMYFUNCTION("""COMPUTED_VALUE"""),36248.666666666664)</f>
        <v>36248.66667</v>
      </c>
      <c r="B313" s="1">
        <f>IFERROR(__xludf.DUMMYFUNCTION("""COMPUTED_VALUE"""),1785.5)</f>
        <v>1785.5</v>
      </c>
    </row>
    <row r="314">
      <c r="A314" s="2">
        <f>IFERROR(__xludf.DUMMYFUNCTION("""COMPUTED_VALUE"""),36249.666666666664)</f>
        <v>36249.66667</v>
      </c>
      <c r="B314" s="1">
        <f>IFERROR(__xludf.DUMMYFUNCTION("""COMPUTED_VALUE"""),1772.79)</f>
        <v>1772.79</v>
      </c>
    </row>
    <row r="315">
      <c r="A315" s="2">
        <f>IFERROR(__xludf.DUMMYFUNCTION("""COMPUTED_VALUE"""),36250.666666666664)</f>
        <v>36250.66667</v>
      </c>
      <c r="B315" s="1">
        <f>IFERROR(__xludf.DUMMYFUNCTION("""COMPUTED_VALUE"""),1753.21)</f>
        <v>1753.21</v>
      </c>
    </row>
    <row r="316">
      <c r="A316" s="2">
        <f>IFERROR(__xludf.DUMMYFUNCTION("""COMPUTED_VALUE"""),36251.666666666664)</f>
        <v>36251.66667</v>
      </c>
      <c r="B316" s="1">
        <f>IFERROR(__xludf.DUMMYFUNCTION("""COMPUTED_VALUE"""),1763.31)</f>
        <v>1763.31</v>
      </c>
    </row>
    <row r="317">
      <c r="A317" s="2">
        <f>IFERROR(__xludf.DUMMYFUNCTION("""COMPUTED_VALUE"""),36255.666666666664)</f>
        <v>36255.66667</v>
      </c>
      <c r="B317" s="1">
        <f>IFERROR(__xludf.DUMMYFUNCTION("""COMPUTED_VALUE"""),1800.67)</f>
        <v>1800.67</v>
      </c>
    </row>
    <row r="318">
      <c r="A318" s="2">
        <f>IFERROR(__xludf.DUMMYFUNCTION("""COMPUTED_VALUE"""),36256.666666666664)</f>
        <v>36256.66667</v>
      </c>
      <c r="B318" s="1">
        <f>IFERROR(__xludf.DUMMYFUNCTION("""COMPUTED_VALUE"""),1796.34)</f>
        <v>1796.34</v>
      </c>
    </row>
    <row r="319">
      <c r="A319" s="2">
        <f>IFERROR(__xludf.DUMMYFUNCTION("""COMPUTED_VALUE"""),36257.666666666664)</f>
        <v>36257.66667</v>
      </c>
      <c r="B319" s="1">
        <f>IFERROR(__xludf.DUMMYFUNCTION("""COMPUTED_VALUE"""),1808.97)</f>
        <v>1808.97</v>
      </c>
    </row>
    <row r="320">
      <c r="A320" s="2">
        <f>IFERROR(__xludf.DUMMYFUNCTION("""COMPUTED_VALUE"""),36258.666666666664)</f>
        <v>36258.66667</v>
      </c>
      <c r="B320" s="1">
        <f>IFERROR(__xludf.DUMMYFUNCTION("""COMPUTED_VALUE"""),1832.34)</f>
        <v>1832.34</v>
      </c>
    </row>
    <row r="321">
      <c r="A321" s="2">
        <f>IFERROR(__xludf.DUMMYFUNCTION("""COMPUTED_VALUE"""),36259.666666666664)</f>
        <v>36259.66667</v>
      </c>
      <c r="B321" s="1">
        <f>IFERROR(__xludf.DUMMYFUNCTION("""COMPUTED_VALUE"""),1838.3)</f>
        <v>1838.3</v>
      </c>
    </row>
    <row r="322">
      <c r="A322" s="2">
        <f>IFERROR(__xludf.DUMMYFUNCTION("""COMPUTED_VALUE"""),36262.666666666664)</f>
        <v>36262.66667</v>
      </c>
      <c r="B322" s="1">
        <f>IFERROR(__xludf.DUMMYFUNCTION("""COMPUTED_VALUE"""),1852.35)</f>
        <v>1852.35</v>
      </c>
    </row>
    <row r="323">
      <c r="A323" s="2">
        <f>IFERROR(__xludf.DUMMYFUNCTION("""COMPUTED_VALUE"""),36263.666666666664)</f>
        <v>36263.66667</v>
      </c>
      <c r="B323" s="1">
        <f>IFERROR(__xludf.DUMMYFUNCTION("""COMPUTED_VALUE"""),1840.4)</f>
        <v>1840.4</v>
      </c>
    </row>
    <row r="324">
      <c r="A324" s="2">
        <f>IFERROR(__xludf.DUMMYFUNCTION("""COMPUTED_VALUE"""),36264.666666666664)</f>
        <v>36264.66667</v>
      </c>
      <c r="B324" s="1">
        <f>IFERROR(__xludf.DUMMYFUNCTION("""COMPUTED_VALUE"""),1811.29)</f>
        <v>1811.29</v>
      </c>
    </row>
    <row r="325">
      <c r="A325" s="2">
        <f>IFERROR(__xludf.DUMMYFUNCTION("""COMPUTED_VALUE"""),36265.666666666664)</f>
        <v>36265.66667</v>
      </c>
      <c r="B325" s="1">
        <f>IFERROR(__xludf.DUMMYFUNCTION("""COMPUTED_VALUE"""),1803.68)</f>
        <v>1803.68</v>
      </c>
    </row>
    <row r="326">
      <c r="A326" s="2">
        <f>IFERROR(__xludf.DUMMYFUNCTION("""COMPUTED_VALUE"""),36266.666666666664)</f>
        <v>36266.66667</v>
      </c>
      <c r="B326" s="1">
        <f>IFERROR(__xludf.DUMMYFUNCTION("""COMPUTED_VALUE"""),1798.42)</f>
        <v>1798.42</v>
      </c>
    </row>
    <row r="327">
      <c r="A327" s="2">
        <f>IFERROR(__xludf.DUMMYFUNCTION("""COMPUTED_VALUE"""),36269.666666666664)</f>
        <v>36269.66667</v>
      </c>
      <c r="B327" s="1">
        <f>IFERROR(__xludf.DUMMYFUNCTION("""COMPUTED_VALUE"""),1758.19)</f>
        <v>1758.19</v>
      </c>
    </row>
    <row r="328">
      <c r="A328" s="2">
        <f>IFERROR(__xludf.DUMMYFUNCTION("""COMPUTED_VALUE"""),36270.666666666664)</f>
        <v>36270.66667</v>
      </c>
      <c r="B328" s="1">
        <f>IFERROR(__xludf.DUMMYFUNCTION("""COMPUTED_VALUE"""),1780.94)</f>
        <v>1780.94</v>
      </c>
    </row>
    <row r="329">
      <c r="A329" s="2">
        <f>IFERROR(__xludf.DUMMYFUNCTION("""COMPUTED_VALUE"""),36271.666666666664)</f>
        <v>36271.66667</v>
      </c>
      <c r="B329" s="1">
        <f>IFERROR(__xludf.DUMMYFUNCTION("""COMPUTED_VALUE"""),1821.88)</f>
        <v>1821.88</v>
      </c>
    </row>
    <row r="330">
      <c r="A330" s="2">
        <f>IFERROR(__xludf.DUMMYFUNCTION("""COMPUTED_VALUE"""),36272.666666666664)</f>
        <v>36272.66667</v>
      </c>
      <c r="B330" s="1">
        <f>IFERROR(__xludf.DUMMYFUNCTION("""COMPUTED_VALUE"""),1852.86)</f>
        <v>1852.86</v>
      </c>
    </row>
    <row r="331">
      <c r="A331" s="2">
        <f>IFERROR(__xludf.DUMMYFUNCTION("""COMPUTED_VALUE"""),36273.666666666664)</f>
        <v>36273.66667</v>
      </c>
      <c r="B331" s="1">
        <f>IFERROR(__xludf.DUMMYFUNCTION("""COMPUTED_VALUE"""),1850.18)</f>
        <v>1850.18</v>
      </c>
    </row>
    <row r="332">
      <c r="A332" s="2">
        <f>IFERROR(__xludf.DUMMYFUNCTION("""COMPUTED_VALUE"""),36276.666666666664)</f>
        <v>36276.66667</v>
      </c>
      <c r="B332" s="1">
        <f>IFERROR(__xludf.DUMMYFUNCTION("""COMPUTED_VALUE"""),1854.53)</f>
        <v>1854.53</v>
      </c>
    </row>
    <row r="333">
      <c r="A333" s="2">
        <f>IFERROR(__xludf.DUMMYFUNCTION("""COMPUTED_VALUE"""),36277.666666666664)</f>
        <v>36277.66667</v>
      </c>
      <c r="B333" s="1">
        <f>IFERROR(__xludf.DUMMYFUNCTION("""COMPUTED_VALUE"""),1858.29)</f>
        <v>1858.29</v>
      </c>
    </row>
    <row r="334">
      <c r="A334" s="2">
        <f>IFERROR(__xludf.DUMMYFUNCTION("""COMPUTED_VALUE"""),36278.666666666664)</f>
        <v>36278.66667</v>
      </c>
      <c r="B334" s="1">
        <f>IFERROR(__xludf.DUMMYFUNCTION("""COMPUTED_VALUE"""),1842.22)</f>
        <v>1842.22</v>
      </c>
    </row>
    <row r="335">
      <c r="A335" s="2">
        <f>IFERROR(__xludf.DUMMYFUNCTION("""COMPUTED_VALUE"""),36279.666666666664)</f>
        <v>36279.66667</v>
      </c>
      <c r="B335" s="1">
        <f>IFERROR(__xludf.DUMMYFUNCTION("""COMPUTED_VALUE"""),1831.53)</f>
        <v>1831.53</v>
      </c>
    </row>
    <row r="336">
      <c r="A336" s="2">
        <f>IFERROR(__xludf.DUMMYFUNCTION("""COMPUTED_VALUE"""),36280.666666666664)</f>
        <v>36280.66667</v>
      </c>
      <c r="B336" s="1">
        <f>IFERROR(__xludf.DUMMYFUNCTION("""COMPUTED_VALUE"""),1821.11)</f>
        <v>1821.11</v>
      </c>
    </row>
    <row r="337">
      <c r="A337" s="2">
        <f>IFERROR(__xludf.DUMMYFUNCTION("""COMPUTED_VALUE"""),36283.666666666664)</f>
        <v>36283.66667</v>
      </c>
      <c r="B337" s="1">
        <f>IFERROR(__xludf.DUMMYFUNCTION("""COMPUTED_VALUE"""),1847.63)</f>
        <v>1847.63</v>
      </c>
    </row>
    <row r="338">
      <c r="A338" s="2">
        <f>IFERROR(__xludf.DUMMYFUNCTION("""COMPUTED_VALUE"""),36284.666666666664)</f>
        <v>36284.66667</v>
      </c>
      <c r="B338" s="1">
        <f>IFERROR(__xludf.DUMMYFUNCTION("""COMPUTED_VALUE"""),1816.79)</f>
        <v>1816.79</v>
      </c>
    </row>
    <row r="339">
      <c r="A339" s="2">
        <f>IFERROR(__xludf.DUMMYFUNCTION("""COMPUTED_VALUE"""),36285.666666666664)</f>
        <v>36285.66667</v>
      </c>
      <c r="B339" s="1">
        <f>IFERROR(__xludf.DUMMYFUNCTION("""COMPUTED_VALUE"""),1838.08)</f>
        <v>1838.08</v>
      </c>
    </row>
    <row r="340">
      <c r="A340" s="2">
        <f>IFERROR(__xludf.DUMMYFUNCTION("""COMPUTED_VALUE"""),36286.666666666664)</f>
        <v>36286.66667</v>
      </c>
      <c r="B340" s="1">
        <f>IFERROR(__xludf.DUMMYFUNCTION("""COMPUTED_VALUE"""),1817.39)</f>
        <v>1817.39</v>
      </c>
    </row>
    <row r="341">
      <c r="A341" s="2">
        <f>IFERROR(__xludf.DUMMYFUNCTION("""COMPUTED_VALUE"""),36287.666666666664)</f>
        <v>36287.66667</v>
      </c>
      <c r="B341" s="1">
        <f>IFERROR(__xludf.DUMMYFUNCTION("""COMPUTED_VALUE"""),1835.06)</f>
        <v>1835.06</v>
      </c>
    </row>
    <row r="342">
      <c r="A342" s="2">
        <f>IFERROR(__xludf.DUMMYFUNCTION("""COMPUTED_VALUE"""),36290.666666666664)</f>
        <v>36290.66667</v>
      </c>
      <c r="B342" s="1">
        <f>IFERROR(__xludf.DUMMYFUNCTION("""COMPUTED_VALUE"""),1829.16)</f>
        <v>1829.16</v>
      </c>
    </row>
    <row r="343">
      <c r="A343" s="2">
        <f>IFERROR(__xludf.DUMMYFUNCTION("""COMPUTED_VALUE"""),36291.666666666664)</f>
        <v>36291.66667</v>
      </c>
      <c r="B343" s="1">
        <f>IFERROR(__xludf.DUMMYFUNCTION("""COMPUTED_VALUE"""),1850.16)</f>
        <v>1850.16</v>
      </c>
    </row>
    <row r="344">
      <c r="A344" s="2">
        <f>IFERROR(__xludf.DUMMYFUNCTION("""COMPUTED_VALUE"""),36292.666666666664)</f>
        <v>36292.66667</v>
      </c>
      <c r="B344" s="1">
        <f>IFERROR(__xludf.DUMMYFUNCTION("""COMPUTED_VALUE"""),1861.97)</f>
        <v>1861.97</v>
      </c>
    </row>
    <row r="345">
      <c r="A345" s="2">
        <f>IFERROR(__xludf.DUMMYFUNCTION("""COMPUTED_VALUE"""),36293.666666666664)</f>
        <v>36293.66667</v>
      </c>
      <c r="B345" s="1">
        <f>IFERROR(__xludf.DUMMYFUNCTION("""COMPUTED_VALUE"""),1866.87)</f>
        <v>1866.87</v>
      </c>
    </row>
    <row r="346">
      <c r="A346" s="2">
        <f>IFERROR(__xludf.DUMMYFUNCTION("""COMPUTED_VALUE"""),36294.666666666664)</f>
        <v>36294.66667</v>
      </c>
      <c r="B346" s="1">
        <f>IFERROR(__xludf.DUMMYFUNCTION("""COMPUTED_VALUE"""),1826.31)</f>
        <v>1826.31</v>
      </c>
    </row>
    <row r="347">
      <c r="A347" s="2">
        <f>IFERROR(__xludf.DUMMYFUNCTION("""COMPUTED_VALUE"""),36297.666666666664)</f>
        <v>36297.66667</v>
      </c>
      <c r="B347" s="1">
        <f>IFERROR(__xludf.DUMMYFUNCTION("""COMPUTED_VALUE"""),1828.67)</f>
        <v>1828.67</v>
      </c>
    </row>
    <row r="348">
      <c r="A348" s="2">
        <f>IFERROR(__xludf.DUMMYFUNCTION("""COMPUTED_VALUE"""),36298.666666666664)</f>
        <v>36298.66667</v>
      </c>
      <c r="B348" s="1">
        <f>IFERROR(__xludf.DUMMYFUNCTION("""COMPUTED_VALUE"""),1820.36)</f>
        <v>1820.36</v>
      </c>
    </row>
    <row r="349">
      <c r="A349" s="2">
        <f>IFERROR(__xludf.DUMMYFUNCTION("""COMPUTED_VALUE"""),36299.666666666664)</f>
        <v>36299.66667</v>
      </c>
      <c r="B349" s="1">
        <f>IFERROR(__xludf.DUMMYFUNCTION("""COMPUTED_VALUE"""),1835.33)</f>
        <v>1835.33</v>
      </c>
    </row>
    <row r="350">
      <c r="A350" s="2">
        <f>IFERROR(__xludf.DUMMYFUNCTION("""COMPUTED_VALUE"""),36300.666666666664)</f>
        <v>36300.66667</v>
      </c>
      <c r="B350" s="1">
        <f>IFERROR(__xludf.DUMMYFUNCTION("""COMPUTED_VALUE"""),1828.05)</f>
        <v>1828.05</v>
      </c>
    </row>
    <row r="351">
      <c r="A351" s="2">
        <f>IFERROR(__xludf.DUMMYFUNCTION("""COMPUTED_VALUE"""),36301.666666666664)</f>
        <v>36301.66667</v>
      </c>
      <c r="B351" s="1">
        <f>IFERROR(__xludf.DUMMYFUNCTION("""COMPUTED_VALUE"""),1816.41)</f>
        <v>1816.41</v>
      </c>
    </row>
    <row r="352">
      <c r="A352" s="2">
        <f>IFERROR(__xludf.DUMMYFUNCTION("""COMPUTED_VALUE"""),36304.666666666664)</f>
        <v>36304.66667</v>
      </c>
      <c r="B352" s="1">
        <f>IFERROR(__xludf.DUMMYFUNCTION("""COMPUTED_VALUE"""),1784.14)</f>
        <v>1784.14</v>
      </c>
    </row>
    <row r="353">
      <c r="A353" s="2">
        <f>IFERROR(__xludf.DUMMYFUNCTION("""COMPUTED_VALUE"""),36305.666666666664)</f>
        <v>36305.66667</v>
      </c>
      <c r="B353" s="1">
        <f>IFERROR(__xludf.DUMMYFUNCTION("""COMPUTED_VALUE"""),1753.79)</f>
        <v>1753.79</v>
      </c>
    </row>
    <row r="354">
      <c r="A354" s="2">
        <f>IFERROR(__xludf.DUMMYFUNCTION("""COMPUTED_VALUE"""),36306.666666666664)</f>
        <v>36306.66667</v>
      </c>
      <c r="B354" s="1">
        <f>IFERROR(__xludf.DUMMYFUNCTION("""COMPUTED_VALUE"""),1781.84)</f>
        <v>1781.84</v>
      </c>
    </row>
    <row r="355">
      <c r="A355" s="2">
        <f>IFERROR(__xludf.DUMMYFUNCTION("""COMPUTED_VALUE"""),36307.666666666664)</f>
        <v>36307.66667</v>
      </c>
      <c r="B355" s="1">
        <f>IFERROR(__xludf.DUMMYFUNCTION("""COMPUTED_VALUE"""),1750.19)</f>
        <v>1750.19</v>
      </c>
    </row>
    <row r="356">
      <c r="A356" s="2">
        <f>IFERROR(__xludf.DUMMYFUNCTION("""COMPUTED_VALUE"""),36308.666666666664)</f>
        <v>36308.66667</v>
      </c>
      <c r="B356" s="1">
        <f>IFERROR(__xludf.DUMMYFUNCTION("""COMPUTED_VALUE"""),1778.1)</f>
        <v>1778.1</v>
      </c>
    </row>
    <row r="357">
      <c r="A357" s="2">
        <f>IFERROR(__xludf.DUMMYFUNCTION("""COMPUTED_VALUE"""),36312.666666666664)</f>
        <v>36312.66667</v>
      </c>
      <c r="B357" s="1">
        <f>IFERROR(__xludf.DUMMYFUNCTION("""COMPUTED_VALUE"""),1767.8)</f>
        <v>1767.8</v>
      </c>
    </row>
    <row r="358">
      <c r="A358" s="2">
        <f>IFERROR(__xludf.DUMMYFUNCTION("""COMPUTED_VALUE"""),36313.666666666664)</f>
        <v>36313.66667</v>
      </c>
      <c r="B358" s="1">
        <f>IFERROR(__xludf.DUMMYFUNCTION("""COMPUTED_VALUE"""),1768.92)</f>
        <v>1768.92</v>
      </c>
    </row>
    <row r="359">
      <c r="A359" s="2">
        <f>IFERROR(__xludf.DUMMYFUNCTION("""COMPUTED_VALUE"""),36314.666666666664)</f>
        <v>36314.66667</v>
      </c>
      <c r="B359" s="1">
        <f>IFERROR(__xludf.DUMMYFUNCTION("""COMPUTED_VALUE"""),1775.4)</f>
        <v>1775.4</v>
      </c>
    </row>
    <row r="360">
      <c r="A360" s="2">
        <f>IFERROR(__xludf.DUMMYFUNCTION("""COMPUTED_VALUE"""),36315.666666666664)</f>
        <v>36315.66667</v>
      </c>
      <c r="B360" s="1">
        <f>IFERROR(__xludf.DUMMYFUNCTION("""COMPUTED_VALUE"""),1813.97)</f>
        <v>1813.97</v>
      </c>
    </row>
    <row r="361">
      <c r="A361" s="2">
        <f>IFERROR(__xludf.DUMMYFUNCTION("""COMPUTED_VALUE"""),36318.666666666664)</f>
        <v>36318.66667</v>
      </c>
      <c r="B361" s="1">
        <f>IFERROR(__xludf.DUMMYFUNCTION("""COMPUTED_VALUE"""),1823.29)</f>
        <v>1823.29</v>
      </c>
    </row>
    <row r="362">
      <c r="A362" s="2">
        <f>IFERROR(__xludf.DUMMYFUNCTION("""COMPUTED_VALUE"""),36319.666666666664)</f>
        <v>36319.66667</v>
      </c>
      <c r="B362" s="1">
        <f>IFERROR(__xludf.DUMMYFUNCTION("""COMPUTED_VALUE"""),1799.87)</f>
        <v>1799.87</v>
      </c>
    </row>
    <row r="363">
      <c r="A363" s="2">
        <f>IFERROR(__xludf.DUMMYFUNCTION("""COMPUTED_VALUE"""),36320.666666666664)</f>
        <v>36320.66667</v>
      </c>
      <c r="B363" s="1">
        <f>IFERROR(__xludf.DUMMYFUNCTION("""COMPUTED_VALUE"""),1801.79)</f>
        <v>1801.79</v>
      </c>
    </row>
    <row r="364">
      <c r="A364" s="2">
        <f>IFERROR(__xludf.DUMMYFUNCTION("""COMPUTED_VALUE"""),36321.666666666664)</f>
        <v>36321.66667</v>
      </c>
      <c r="B364" s="1">
        <f>IFERROR(__xludf.DUMMYFUNCTION("""COMPUTED_VALUE"""),1780.19)</f>
        <v>1780.19</v>
      </c>
    </row>
    <row r="365">
      <c r="A365" s="2">
        <f>IFERROR(__xludf.DUMMYFUNCTION("""COMPUTED_VALUE"""),36322.666666666664)</f>
        <v>36322.66667</v>
      </c>
      <c r="B365" s="1">
        <f>IFERROR(__xludf.DUMMYFUNCTION("""COMPUTED_VALUE"""),1768.04)</f>
        <v>1768.04</v>
      </c>
    </row>
    <row r="366">
      <c r="A366" s="2">
        <f>IFERROR(__xludf.DUMMYFUNCTION("""COMPUTED_VALUE"""),36325.666666666664)</f>
        <v>36325.66667</v>
      </c>
      <c r="B366" s="1">
        <f>IFERROR(__xludf.DUMMYFUNCTION("""COMPUTED_VALUE"""),1768.56)</f>
        <v>1768.56</v>
      </c>
    </row>
    <row r="367">
      <c r="A367" s="2">
        <f>IFERROR(__xludf.DUMMYFUNCTION("""COMPUTED_VALUE"""),36326.666666666664)</f>
        <v>36326.66667</v>
      </c>
      <c r="B367" s="1">
        <f>IFERROR(__xludf.DUMMYFUNCTION("""COMPUTED_VALUE"""),1778.36)</f>
        <v>1778.36</v>
      </c>
    </row>
    <row r="368">
      <c r="A368" s="2">
        <f>IFERROR(__xludf.DUMMYFUNCTION("""COMPUTED_VALUE"""),36327.666666666664)</f>
        <v>36327.66667</v>
      </c>
      <c r="B368" s="1">
        <f>IFERROR(__xludf.DUMMYFUNCTION("""COMPUTED_VALUE"""),1818.4)</f>
        <v>1818.4</v>
      </c>
    </row>
    <row r="369">
      <c r="A369" s="2">
        <f>IFERROR(__xludf.DUMMYFUNCTION("""COMPUTED_VALUE"""),36328.666666666664)</f>
        <v>36328.66667</v>
      </c>
      <c r="B369" s="1">
        <f>IFERROR(__xludf.DUMMYFUNCTION("""COMPUTED_VALUE"""),1831.45)</f>
        <v>1831.45</v>
      </c>
    </row>
    <row r="370">
      <c r="A370" s="2">
        <f>IFERROR(__xludf.DUMMYFUNCTION("""COMPUTED_VALUE"""),36329.666666666664)</f>
        <v>36329.66667</v>
      </c>
      <c r="B370" s="1">
        <f>IFERROR(__xludf.DUMMYFUNCTION("""COMPUTED_VALUE"""),1835.48)</f>
        <v>1835.48</v>
      </c>
    </row>
    <row r="371">
      <c r="A371" s="2">
        <f>IFERROR(__xludf.DUMMYFUNCTION("""COMPUTED_VALUE"""),36332.666666666664)</f>
        <v>36332.66667</v>
      </c>
      <c r="B371" s="1">
        <f>IFERROR(__xludf.DUMMYFUNCTION("""COMPUTED_VALUE"""),1843.93)</f>
        <v>1843.93</v>
      </c>
    </row>
    <row r="372">
      <c r="A372" s="2">
        <f>IFERROR(__xludf.DUMMYFUNCTION("""COMPUTED_VALUE"""),36333.666666666664)</f>
        <v>36333.66667</v>
      </c>
      <c r="B372" s="1">
        <f>IFERROR(__xludf.DUMMYFUNCTION("""COMPUTED_VALUE"""),1826.0)</f>
        <v>1826</v>
      </c>
    </row>
    <row r="373">
      <c r="A373" s="2">
        <f>IFERROR(__xludf.DUMMYFUNCTION("""COMPUTED_VALUE"""),36334.666666666664)</f>
        <v>36334.66667</v>
      </c>
      <c r="B373" s="1">
        <f>IFERROR(__xludf.DUMMYFUNCTION("""COMPUTED_VALUE"""),1822.17)</f>
        <v>1822.17</v>
      </c>
    </row>
    <row r="374">
      <c r="A374" s="2">
        <f>IFERROR(__xludf.DUMMYFUNCTION("""COMPUTED_VALUE"""),36335.666666666664)</f>
        <v>36335.66667</v>
      </c>
      <c r="B374" s="1">
        <f>IFERROR(__xludf.DUMMYFUNCTION("""COMPUTED_VALUE"""),1798.55)</f>
        <v>1798.55</v>
      </c>
    </row>
    <row r="375">
      <c r="A375" s="2">
        <f>IFERROR(__xludf.DUMMYFUNCTION("""COMPUTED_VALUE"""),36336.666666666664)</f>
        <v>36336.66667</v>
      </c>
      <c r="B375" s="1">
        <f>IFERROR(__xludf.DUMMYFUNCTION("""COMPUTED_VALUE"""),1797.91)</f>
        <v>1797.91</v>
      </c>
    </row>
    <row r="376">
      <c r="A376" s="2">
        <f>IFERROR(__xludf.DUMMYFUNCTION("""COMPUTED_VALUE"""),36339.666666666664)</f>
        <v>36339.66667</v>
      </c>
      <c r="B376" s="1">
        <f>IFERROR(__xludf.DUMMYFUNCTION("""COMPUTED_VALUE"""),1820.09)</f>
        <v>1820.09</v>
      </c>
    </row>
    <row r="377">
      <c r="A377" s="2">
        <f>IFERROR(__xludf.DUMMYFUNCTION("""COMPUTED_VALUE"""),36340.666666666664)</f>
        <v>36340.66667</v>
      </c>
      <c r="B377" s="1">
        <f>IFERROR(__xludf.DUMMYFUNCTION("""COMPUTED_VALUE"""),1847.59)</f>
        <v>1847.59</v>
      </c>
    </row>
    <row r="378">
      <c r="A378" s="2">
        <f>IFERROR(__xludf.DUMMYFUNCTION("""COMPUTED_VALUE"""),36341.666666666664)</f>
        <v>36341.66667</v>
      </c>
      <c r="B378" s="1">
        <f>IFERROR(__xludf.DUMMYFUNCTION("""COMPUTED_VALUE"""),1876.78)</f>
        <v>1876.78</v>
      </c>
    </row>
    <row r="379">
      <c r="A379" s="2">
        <f>IFERROR(__xludf.DUMMYFUNCTION("""COMPUTED_VALUE"""),36342.666666666664)</f>
        <v>36342.66667</v>
      </c>
      <c r="B379" s="1">
        <f>IFERROR(__xludf.DUMMYFUNCTION("""COMPUTED_VALUE"""),1888.15)</f>
        <v>1888.15</v>
      </c>
    </row>
    <row r="380">
      <c r="A380" s="2">
        <f>IFERROR(__xludf.DUMMYFUNCTION("""COMPUTED_VALUE"""),36343.666666666664)</f>
        <v>36343.66667</v>
      </c>
      <c r="B380" s="1">
        <f>IFERROR(__xludf.DUMMYFUNCTION("""COMPUTED_VALUE"""),1902.18)</f>
        <v>1902.18</v>
      </c>
    </row>
    <row r="381">
      <c r="A381" s="2">
        <f>IFERROR(__xludf.DUMMYFUNCTION("""COMPUTED_VALUE"""),36347.666666666664)</f>
        <v>36347.66667</v>
      </c>
      <c r="B381" s="1">
        <f>IFERROR(__xludf.DUMMYFUNCTION("""COMPUTED_VALUE"""),1898.15)</f>
        <v>1898.15</v>
      </c>
    </row>
    <row r="382">
      <c r="A382" s="2">
        <f>IFERROR(__xludf.DUMMYFUNCTION("""COMPUTED_VALUE"""),36348.666666666664)</f>
        <v>36348.66667</v>
      </c>
      <c r="B382" s="1">
        <f>IFERROR(__xludf.DUMMYFUNCTION("""COMPUTED_VALUE"""),1909.13)</f>
        <v>1909.13</v>
      </c>
    </row>
    <row r="383">
      <c r="A383" s="2">
        <f>IFERROR(__xludf.DUMMYFUNCTION("""COMPUTED_VALUE"""),36349.666666666664)</f>
        <v>36349.66667</v>
      </c>
      <c r="B383" s="1">
        <f>IFERROR(__xludf.DUMMYFUNCTION("""COMPUTED_VALUE"""),1907.28)</f>
        <v>1907.28</v>
      </c>
    </row>
    <row r="384">
      <c r="A384" s="2">
        <f>IFERROR(__xludf.DUMMYFUNCTION("""COMPUTED_VALUE"""),36350.666666666664)</f>
        <v>36350.66667</v>
      </c>
      <c r="B384" s="1">
        <f>IFERROR(__xludf.DUMMYFUNCTION("""COMPUTED_VALUE"""),1919.4)</f>
        <v>1919.4</v>
      </c>
    </row>
    <row r="385">
      <c r="A385" s="2">
        <f>IFERROR(__xludf.DUMMYFUNCTION("""COMPUTED_VALUE"""),36353.666666666664)</f>
        <v>36353.66667</v>
      </c>
      <c r="B385" s="1">
        <f>IFERROR(__xludf.DUMMYFUNCTION("""COMPUTED_VALUE"""),1913.69)</f>
        <v>1913.69</v>
      </c>
    </row>
    <row r="386">
      <c r="A386" s="2">
        <f>IFERROR(__xludf.DUMMYFUNCTION("""COMPUTED_VALUE"""),36354.666666666664)</f>
        <v>36354.66667</v>
      </c>
      <c r="B386" s="1">
        <f>IFERROR(__xludf.DUMMYFUNCTION("""COMPUTED_VALUE"""),1906.19)</f>
        <v>1906.19</v>
      </c>
    </row>
    <row r="387">
      <c r="A387" s="2">
        <f>IFERROR(__xludf.DUMMYFUNCTION("""COMPUTED_VALUE"""),36355.666666666664)</f>
        <v>36355.66667</v>
      </c>
      <c r="B387" s="1">
        <f>IFERROR(__xludf.DUMMYFUNCTION("""COMPUTED_VALUE"""),1912.54)</f>
        <v>1912.54</v>
      </c>
    </row>
    <row r="388">
      <c r="A388" s="2">
        <f>IFERROR(__xludf.DUMMYFUNCTION("""COMPUTED_VALUE"""),36356.666666666664)</f>
        <v>36356.66667</v>
      </c>
      <c r="B388" s="1">
        <f>IFERROR(__xludf.DUMMYFUNCTION("""COMPUTED_VALUE"""),1928.21)</f>
        <v>1928.21</v>
      </c>
    </row>
    <row r="389">
      <c r="A389" s="2">
        <f>IFERROR(__xludf.DUMMYFUNCTION("""COMPUTED_VALUE"""),36357.666666666664)</f>
        <v>36357.66667</v>
      </c>
      <c r="B389" s="1">
        <f>IFERROR(__xludf.DUMMYFUNCTION("""COMPUTED_VALUE"""),1940.76)</f>
        <v>1940.76</v>
      </c>
    </row>
    <row r="390">
      <c r="A390" s="2">
        <f>IFERROR(__xludf.DUMMYFUNCTION("""COMPUTED_VALUE"""),36360.666666666664)</f>
        <v>36360.66667</v>
      </c>
      <c r="B390" s="1">
        <f>IFERROR(__xludf.DUMMYFUNCTION("""COMPUTED_VALUE"""),1925.55)</f>
        <v>1925.55</v>
      </c>
    </row>
    <row r="391">
      <c r="A391" s="2">
        <f>IFERROR(__xludf.DUMMYFUNCTION("""COMPUTED_VALUE"""),36361.666666666664)</f>
        <v>36361.66667</v>
      </c>
      <c r="B391" s="1">
        <f>IFERROR(__xludf.DUMMYFUNCTION("""COMPUTED_VALUE"""),1883.76)</f>
        <v>1883.76</v>
      </c>
    </row>
    <row r="392">
      <c r="A392" s="2">
        <f>IFERROR(__xludf.DUMMYFUNCTION("""COMPUTED_VALUE"""),36362.666666666664)</f>
        <v>36362.66667</v>
      </c>
      <c r="B392" s="1">
        <f>IFERROR(__xludf.DUMMYFUNCTION("""COMPUTED_VALUE"""),1886.86)</f>
        <v>1886.86</v>
      </c>
    </row>
    <row r="393">
      <c r="A393" s="2">
        <f>IFERROR(__xludf.DUMMYFUNCTION("""COMPUTED_VALUE"""),36363.666666666664)</f>
        <v>36363.66667</v>
      </c>
      <c r="B393" s="1">
        <f>IFERROR(__xludf.DUMMYFUNCTION("""COMPUTED_VALUE"""),1861.83)</f>
        <v>1861.83</v>
      </c>
    </row>
    <row r="394">
      <c r="A394" s="2">
        <f>IFERROR(__xludf.DUMMYFUNCTION("""COMPUTED_VALUE"""),36364.666666666664)</f>
        <v>36364.66667</v>
      </c>
      <c r="B394" s="1">
        <f>IFERROR(__xludf.DUMMYFUNCTION("""COMPUTED_VALUE"""),1856.31)</f>
        <v>1856.31</v>
      </c>
    </row>
    <row r="395">
      <c r="A395" s="2">
        <f>IFERROR(__xludf.DUMMYFUNCTION("""COMPUTED_VALUE"""),36367.666666666664)</f>
        <v>36367.66667</v>
      </c>
      <c r="B395" s="1">
        <f>IFERROR(__xludf.DUMMYFUNCTION("""COMPUTED_VALUE"""),1843.75)</f>
        <v>1843.75</v>
      </c>
    </row>
    <row r="396">
      <c r="A396" s="2">
        <f>IFERROR(__xludf.DUMMYFUNCTION("""COMPUTED_VALUE"""),36368.666666666664)</f>
        <v>36368.66667</v>
      </c>
      <c r="B396" s="1">
        <f>IFERROR(__xludf.DUMMYFUNCTION("""COMPUTED_VALUE"""),1864.38)</f>
        <v>1864.38</v>
      </c>
    </row>
    <row r="397">
      <c r="A397" s="2">
        <f>IFERROR(__xludf.DUMMYFUNCTION("""COMPUTED_VALUE"""),36369.666666666664)</f>
        <v>36369.66667</v>
      </c>
      <c r="B397" s="1">
        <f>IFERROR(__xludf.DUMMYFUNCTION("""COMPUTED_VALUE"""),1868.05)</f>
        <v>1868.05</v>
      </c>
    </row>
    <row r="398">
      <c r="A398" s="2">
        <f>IFERROR(__xludf.DUMMYFUNCTION("""COMPUTED_VALUE"""),36370.666666666664)</f>
        <v>36370.66667</v>
      </c>
      <c r="B398" s="1">
        <f>IFERROR(__xludf.DUMMYFUNCTION("""COMPUTED_VALUE"""),1835.02)</f>
        <v>1835.02</v>
      </c>
    </row>
    <row r="399">
      <c r="A399" s="2">
        <f>IFERROR(__xludf.DUMMYFUNCTION("""COMPUTED_VALUE"""),36371.666666666664)</f>
        <v>36371.66667</v>
      </c>
      <c r="B399" s="1">
        <f>IFERROR(__xludf.DUMMYFUNCTION("""COMPUTED_VALUE"""),1818.18)</f>
        <v>1818.18</v>
      </c>
    </row>
    <row r="400">
      <c r="A400" s="2">
        <f>IFERROR(__xludf.DUMMYFUNCTION("""COMPUTED_VALUE"""),36374.666666666664)</f>
        <v>36374.66667</v>
      </c>
      <c r="B400" s="1">
        <f>IFERROR(__xludf.DUMMYFUNCTION("""COMPUTED_VALUE"""),1817.27)</f>
        <v>1817.27</v>
      </c>
    </row>
    <row r="401">
      <c r="A401" s="2">
        <f>IFERROR(__xludf.DUMMYFUNCTION("""COMPUTED_VALUE"""),36375.666666666664)</f>
        <v>36375.66667</v>
      </c>
      <c r="B401" s="1">
        <f>IFERROR(__xludf.DUMMYFUNCTION("""COMPUTED_VALUE"""),1809.3)</f>
        <v>1809.3</v>
      </c>
    </row>
    <row r="402">
      <c r="A402" s="2">
        <f>IFERROR(__xludf.DUMMYFUNCTION("""COMPUTED_VALUE"""),36376.666666666664)</f>
        <v>36376.66667</v>
      </c>
      <c r="B402" s="1">
        <f>IFERROR(__xludf.DUMMYFUNCTION("""COMPUTED_VALUE"""),1786.51)</f>
        <v>1786.51</v>
      </c>
    </row>
    <row r="403">
      <c r="A403" s="2">
        <f>IFERROR(__xludf.DUMMYFUNCTION("""COMPUTED_VALUE"""),36377.666666666664)</f>
        <v>36377.66667</v>
      </c>
      <c r="B403" s="1">
        <f>IFERROR(__xludf.DUMMYFUNCTION("""COMPUTED_VALUE"""),1798.11)</f>
        <v>1798.11</v>
      </c>
    </row>
    <row r="404">
      <c r="A404" s="2">
        <f>IFERROR(__xludf.DUMMYFUNCTION("""COMPUTED_VALUE"""),36378.666666666664)</f>
        <v>36378.66667</v>
      </c>
      <c r="B404" s="1">
        <f>IFERROR(__xludf.DUMMYFUNCTION("""COMPUTED_VALUE"""),1780.06)</f>
        <v>1780.06</v>
      </c>
    </row>
    <row r="405">
      <c r="A405" s="2">
        <f>IFERROR(__xludf.DUMMYFUNCTION("""COMPUTED_VALUE"""),36381.666666666664)</f>
        <v>36381.66667</v>
      </c>
      <c r="B405" s="1">
        <f>IFERROR(__xludf.DUMMYFUNCTION("""COMPUTED_VALUE"""),1776.68)</f>
        <v>1776.68</v>
      </c>
    </row>
    <row r="406">
      <c r="A406" s="2">
        <f>IFERROR(__xludf.DUMMYFUNCTION("""COMPUTED_VALUE"""),36382.666666666664)</f>
        <v>36382.66667</v>
      </c>
      <c r="B406" s="1">
        <f>IFERROR(__xludf.DUMMYFUNCTION("""COMPUTED_VALUE"""),1754.33)</f>
        <v>1754.33</v>
      </c>
    </row>
    <row r="407">
      <c r="A407" s="2">
        <f>IFERROR(__xludf.DUMMYFUNCTION("""COMPUTED_VALUE"""),36383.666666666664)</f>
        <v>36383.66667</v>
      </c>
      <c r="B407" s="1">
        <f>IFERROR(__xludf.DUMMYFUNCTION("""COMPUTED_VALUE"""),1782.85)</f>
        <v>1782.85</v>
      </c>
    </row>
    <row r="408">
      <c r="A408" s="2">
        <f>IFERROR(__xludf.DUMMYFUNCTION("""COMPUTED_VALUE"""),36384.666666666664)</f>
        <v>36384.66667</v>
      </c>
      <c r="B408" s="1">
        <f>IFERROR(__xludf.DUMMYFUNCTION("""COMPUTED_VALUE"""),1777.75)</f>
        <v>1777.75</v>
      </c>
    </row>
    <row r="409">
      <c r="A409" s="2">
        <f>IFERROR(__xludf.DUMMYFUNCTION("""COMPUTED_VALUE"""),36385.666666666664)</f>
        <v>36385.66667</v>
      </c>
      <c r="B409" s="1">
        <f>IFERROR(__xludf.DUMMYFUNCTION("""COMPUTED_VALUE"""),1818.25)</f>
        <v>1818.25</v>
      </c>
    </row>
    <row r="410">
      <c r="A410" s="2">
        <f>IFERROR(__xludf.DUMMYFUNCTION("""COMPUTED_VALUE"""),36388.666666666664)</f>
        <v>36388.66667</v>
      </c>
      <c r="B410" s="1">
        <f>IFERROR(__xludf.DUMMYFUNCTION("""COMPUTED_VALUE"""),1822.53)</f>
        <v>1822.53</v>
      </c>
    </row>
    <row r="411">
      <c r="A411" s="2">
        <f>IFERROR(__xludf.DUMMYFUNCTION("""COMPUTED_VALUE"""),36389.666666666664)</f>
        <v>36389.66667</v>
      </c>
      <c r="B411" s="1">
        <f>IFERROR(__xludf.DUMMYFUNCTION("""COMPUTED_VALUE"""),1840.88)</f>
        <v>1840.88</v>
      </c>
    </row>
    <row r="412">
      <c r="A412" s="2">
        <f>IFERROR(__xludf.DUMMYFUNCTION("""COMPUTED_VALUE"""),36390.666666666664)</f>
        <v>36390.66667</v>
      </c>
      <c r="B412" s="1">
        <f>IFERROR(__xludf.DUMMYFUNCTION("""COMPUTED_VALUE"""),1825.56)</f>
        <v>1825.56</v>
      </c>
    </row>
    <row r="413">
      <c r="A413" s="2">
        <f>IFERROR(__xludf.DUMMYFUNCTION("""COMPUTED_VALUE"""),36391.666666666664)</f>
        <v>36391.66667</v>
      </c>
      <c r="B413" s="1">
        <f>IFERROR(__xludf.DUMMYFUNCTION("""COMPUTED_VALUE"""),1812.98)</f>
        <v>1812.98</v>
      </c>
    </row>
    <row r="414">
      <c r="A414" s="2">
        <f>IFERROR(__xludf.DUMMYFUNCTION("""COMPUTED_VALUE"""),36392.666666666664)</f>
        <v>36392.66667</v>
      </c>
      <c r="B414" s="1">
        <f>IFERROR(__xludf.DUMMYFUNCTION("""COMPUTED_VALUE"""),1830.82)</f>
        <v>1830.82</v>
      </c>
    </row>
    <row r="415">
      <c r="A415" s="2">
        <f>IFERROR(__xludf.DUMMYFUNCTION("""COMPUTED_VALUE"""),36395.666666666664)</f>
        <v>36395.66667</v>
      </c>
      <c r="B415" s="1">
        <f>IFERROR(__xludf.DUMMYFUNCTION("""COMPUTED_VALUE"""),1863.18)</f>
        <v>1863.18</v>
      </c>
    </row>
    <row r="416">
      <c r="A416" s="2">
        <f>IFERROR(__xludf.DUMMYFUNCTION("""COMPUTED_VALUE"""),36396.666666666664)</f>
        <v>36396.66667</v>
      </c>
      <c r="B416" s="1">
        <f>IFERROR(__xludf.DUMMYFUNCTION("""COMPUTED_VALUE"""),1867.68)</f>
        <v>1867.68</v>
      </c>
    </row>
    <row r="417">
      <c r="A417" s="2">
        <f>IFERROR(__xludf.DUMMYFUNCTION("""COMPUTED_VALUE"""),36397.666666666664)</f>
        <v>36397.66667</v>
      </c>
      <c r="B417" s="1">
        <f>IFERROR(__xludf.DUMMYFUNCTION("""COMPUTED_VALUE"""),1892.87)</f>
        <v>1892.87</v>
      </c>
    </row>
    <row r="418">
      <c r="A418" s="2">
        <f>IFERROR(__xludf.DUMMYFUNCTION("""COMPUTED_VALUE"""),36398.666666666664)</f>
        <v>36398.66667</v>
      </c>
      <c r="B418" s="1">
        <f>IFERROR(__xludf.DUMMYFUNCTION("""COMPUTED_VALUE"""),1865.79)</f>
        <v>1865.79</v>
      </c>
    </row>
    <row r="419">
      <c r="A419" s="2">
        <f>IFERROR(__xludf.DUMMYFUNCTION("""COMPUTED_VALUE"""),36399.666666666664)</f>
        <v>36399.66667</v>
      </c>
      <c r="B419" s="1">
        <f>IFERROR(__xludf.DUMMYFUNCTION("""COMPUTED_VALUE"""),1847.12)</f>
        <v>1847.12</v>
      </c>
    </row>
    <row r="420">
      <c r="A420" s="2">
        <f>IFERROR(__xludf.DUMMYFUNCTION("""COMPUTED_VALUE"""),36402.666666666664)</f>
        <v>36402.66667</v>
      </c>
      <c r="B420" s="1">
        <f>IFERROR(__xludf.DUMMYFUNCTION("""COMPUTED_VALUE"""),1814.11)</f>
        <v>1814.11</v>
      </c>
    </row>
    <row r="421">
      <c r="A421" s="2">
        <f>IFERROR(__xludf.DUMMYFUNCTION("""COMPUTED_VALUE"""),36403.666666666664)</f>
        <v>36403.66667</v>
      </c>
      <c r="B421" s="1">
        <f>IFERROR(__xludf.DUMMYFUNCTION("""COMPUTED_VALUE"""),1809.19)</f>
        <v>1809.19</v>
      </c>
    </row>
    <row r="422">
      <c r="A422" s="2">
        <f>IFERROR(__xludf.DUMMYFUNCTION("""COMPUTED_VALUE"""),36404.666666666664)</f>
        <v>36404.66667</v>
      </c>
      <c r="B422" s="1">
        <f>IFERROR(__xludf.DUMMYFUNCTION("""COMPUTED_VALUE"""),1824.2)</f>
        <v>1824.2</v>
      </c>
    </row>
    <row r="423">
      <c r="A423" s="2">
        <f>IFERROR(__xludf.DUMMYFUNCTION("""COMPUTED_VALUE"""),36405.666666666664)</f>
        <v>36405.66667</v>
      </c>
      <c r="B423" s="1">
        <f>IFERROR(__xludf.DUMMYFUNCTION("""COMPUTED_VALUE"""),1807.83)</f>
        <v>1807.83</v>
      </c>
    </row>
    <row r="424">
      <c r="A424" s="2">
        <f>IFERROR(__xludf.DUMMYFUNCTION("""COMPUTED_VALUE"""),36406.666666666664)</f>
        <v>36406.66667</v>
      </c>
      <c r="B424" s="1">
        <f>IFERROR(__xludf.DUMMYFUNCTION("""COMPUTED_VALUE"""),1860.15)</f>
        <v>1860.15</v>
      </c>
    </row>
    <row r="425">
      <c r="A425" s="2">
        <f>IFERROR(__xludf.DUMMYFUNCTION("""COMPUTED_VALUE"""),36410.666666666664)</f>
        <v>36410.66667</v>
      </c>
      <c r="B425" s="1">
        <f>IFERROR(__xludf.DUMMYFUNCTION("""COMPUTED_VALUE"""),1851.01)</f>
        <v>1851.01</v>
      </c>
    </row>
    <row r="426">
      <c r="A426" s="2">
        <f>IFERROR(__xludf.DUMMYFUNCTION("""COMPUTED_VALUE"""),36411.666666666664)</f>
        <v>36411.66667</v>
      </c>
      <c r="B426" s="1">
        <f>IFERROR(__xludf.DUMMYFUNCTION("""COMPUTED_VALUE"""),1842.56)</f>
        <v>1842.56</v>
      </c>
    </row>
    <row r="427">
      <c r="A427" s="2">
        <f>IFERROR(__xludf.DUMMYFUNCTION("""COMPUTED_VALUE"""),36412.666666666664)</f>
        <v>36412.66667</v>
      </c>
      <c r="B427" s="1">
        <f>IFERROR(__xludf.DUMMYFUNCTION("""COMPUTED_VALUE"""),1847.37)</f>
        <v>1847.37</v>
      </c>
    </row>
    <row r="428">
      <c r="A428" s="2">
        <f>IFERROR(__xludf.DUMMYFUNCTION("""COMPUTED_VALUE"""),36413.666666666664)</f>
        <v>36413.66667</v>
      </c>
      <c r="B428" s="1">
        <f>IFERROR(__xludf.DUMMYFUNCTION("""COMPUTED_VALUE"""),1852.85)</f>
        <v>1852.85</v>
      </c>
    </row>
    <row r="429">
      <c r="A429" s="2">
        <f>IFERROR(__xludf.DUMMYFUNCTION("""COMPUTED_VALUE"""),36416.666666666664)</f>
        <v>36416.66667</v>
      </c>
      <c r="B429" s="1">
        <f>IFERROR(__xludf.DUMMYFUNCTION("""COMPUTED_VALUE"""),1842.96)</f>
        <v>1842.96</v>
      </c>
    </row>
    <row r="430">
      <c r="A430" s="2">
        <f>IFERROR(__xludf.DUMMYFUNCTION("""COMPUTED_VALUE"""),36417.666666666664)</f>
        <v>36417.66667</v>
      </c>
      <c r="B430" s="1">
        <f>IFERROR(__xludf.DUMMYFUNCTION("""COMPUTED_VALUE"""),1832.23)</f>
        <v>1832.23</v>
      </c>
    </row>
    <row r="431">
      <c r="A431" s="2">
        <f>IFERROR(__xludf.DUMMYFUNCTION("""COMPUTED_VALUE"""),36418.666666666664)</f>
        <v>36418.66667</v>
      </c>
      <c r="B431" s="1">
        <f>IFERROR(__xludf.DUMMYFUNCTION("""COMPUTED_VALUE"""),1807.17)</f>
        <v>1807.17</v>
      </c>
    </row>
    <row r="432">
      <c r="A432" s="2">
        <f>IFERROR(__xludf.DUMMYFUNCTION("""COMPUTED_VALUE"""),36419.666666666664)</f>
        <v>36419.66667</v>
      </c>
      <c r="B432" s="1">
        <f>IFERROR(__xludf.DUMMYFUNCTION("""COMPUTED_VALUE"""),1807.98)</f>
        <v>1807.98</v>
      </c>
    </row>
    <row r="433">
      <c r="A433" s="2">
        <f>IFERROR(__xludf.DUMMYFUNCTION("""COMPUTED_VALUE"""),36420.666666666664)</f>
        <v>36420.66667</v>
      </c>
      <c r="B433" s="1">
        <f>IFERROR(__xludf.DUMMYFUNCTION("""COMPUTED_VALUE"""),1831.23)</f>
        <v>1831.23</v>
      </c>
    </row>
    <row r="434">
      <c r="A434" s="2">
        <f>IFERROR(__xludf.DUMMYFUNCTION("""COMPUTED_VALUE"""),36423.666666666664)</f>
        <v>36423.66667</v>
      </c>
      <c r="B434" s="1">
        <f>IFERROR(__xludf.DUMMYFUNCTION("""COMPUTED_VALUE"""),1831.42)</f>
        <v>1831.42</v>
      </c>
    </row>
    <row r="435">
      <c r="A435" s="2">
        <f>IFERROR(__xludf.DUMMYFUNCTION("""COMPUTED_VALUE"""),36424.666666666664)</f>
        <v>36424.66667</v>
      </c>
      <c r="B435" s="1">
        <f>IFERROR(__xludf.DUMMYFUNCTION("""COMPUTED_VALUE"""),1793.09)</f>
        <v>1793.09</v>
      </c>
    </row>
    <row r="436">
      <c r="A436" s="2">
        <f>IFERROR(__xludf.DUMMYFUNCTION("""COMPUTED_VALUE"""),36425.666666666664)</f>
        <v>36425.66667</v>
      </c>
      <c r="B436" s="1">
        <f>IFERROR(__xludf.DUMMYFUNCTION("""COMPUTED_VALUE"""),1797.15)</f>
        <v>1797.15</v>
      </c>
    </row>
    <row r="437">
      <c r="A437" s="2">
        <f>IFERROR(__xludf.DUMMYFUNCTION("""COMPUTED_VALUE"""),36426.666666666664)</f>
        <v>36426.66667</v>
      </c>
      <c r="B437" s="1">
        <f>IFERROR(__xludf.DUMMYFUNCTION("""COMPUTED_VALUE"""),1755.88)</f>
        <v>1755.88</v>
      </c>
    </row>
    <row r="438">
      <c r="A438" s="2">
        <f>IFERROR(__xludf.DUMMYFUNCTION("""COMPUTED_VALUE"""),36427.666666666664)</f>
        <v>36427.66667</v>
      </c>
      <c r="B438" s="1">
        <f>IFERROR(__xludf.DUMMYFUNCTION("""COMPUTED_VALUE"""),1751.7)</f>
        <v>1751.7</v>
      </c>
    </row>
    <row r="439">
      <c r="A439" s="2">
        <f>IFERROR(__xludf.DUMMYFUNCTION("""COMPUTED_VALUE"""),36430.666666666664)</f>
        <v>36430.66667</v>
      </c>
      <c r="B439" s="1">
        <f>IFERROR(__xludf.DUMMYFUNCTION("""COMPUTED_VALUE"""),1759.86)</f>
        <v>1759.86</v>
      </c>
    </row>
    <row r="440">
      <c r="A440" s="2">
        <f>IFERROR(__xludf.DUMMYFUNCTION("""COMPUTED_VALUE"""),36431.666666666664)</f>
        <v>36431.66667</v>
      </c>
      <c r="B440" s="1">
        <f>IFERROR(__xludf.DUMMYFUNCTION("""COMPUTED_VALUE"""),1758.77)</f>
        <v>1758.77</v>
      </c>
    </row>
    <row r="441">
      <c r="A441" s="2">
        <f>IFERROR(__xludf.DUMMYFUNCTION("""COMPUTED_VALUE"""),36432.666666666664)</f>
        <v>36432.66667</v>
      </c>
      <c r="B441" s="1">
        <f>IFERROR(__xludf.DUMMYFUNCTION("""COMPUTED_VALUE"""),1739.92)</f>
        <v>1739.92</v>
      </c>
    </row>
    <row r="442">
      <c r="A442" s="2">
        <f>IFERROR(__xludf.DUMMYFUNCTION("""COMPUTED_VALUE"""),36433.666666666664)</f>
        <v>36433.66667</v>
      </c>
      <c r="B442" s="1">
        <f>IFERROR(__xludf.DUMMYFUNCTION("""COMPUTED_VALUE"""),1759.59)</f>
        <v>1759.59</v>
      </c>
    </row>
    <row r="443">
      <c r="A443" s="2">
        <f>IFERROR(__xludf.DUMMYFUNCTION("""COMPUTED_VALUE"""),36434.666666666664)</f>
        <v>36434.66667</v>
      </c>
      <c r="B443" s="1">
        <f>IFERROR(__xludf.DUMMYFUNCTION("""COMPUTED_VALUE"""),1759.77)</f>
        <v>1759.77</v>
      </c>
    </row>
    <row r="444">
      <c r="A444" s="2">
        <f>IFERROR(__xludf.DUMMYFUNCTION("""COMPUTED_VALUE"""),36437.666666666664)</f>
        <v>36437.66667</v>
      </c>
      <c r="B444" s="1">
        <f>IFERROR(__xludf.DUMMYFUNCTION("""COMPUTED_VALUE"""),1789.71)</f>
        <v>1789.71</v>
      </c>
    </row>
    <row r="445">
      <c r="A445" s="2">
        <f>IFERROR(__xludf.DUMMYFUNCTION("""COMPUTED_VALUE"""),36438.666666666664)</f>
        <v>36438.66667</v>
      </c>
      <c r="B445" s="1">
        <f>IFERROR(__xludf.DUMMYFUNCTION("""COMPUTED_VALUE"""),1785.32)</f>
        <v>1785.32</v>
      </c>
    </row>
    <row r="446">
      <c r="A446" s="2">
        <f>IFERROR(__xludf.DUMMYFUNCTION("""COMPUTED_VALUE"""),36439.666666666664)</f>
        <v>36439.66667</v>
      </c>
      <c r="B446" s="1">
        <f>IFERROR(__xludf.DUMMYFUNCTION("""COMPUTED_VALUE"""),1818.61)</f>
        <v>1818.61</v>
      </c>
    </row>
    <row r="447">
      <c r="A447" s="2">
        <f>IFERROR(__xludf.DUMMYFUNCTION("""COMPUTED_VALUE"""),36440.666666666664)</f>
        <v>36440.66667</v>
      </c>
      <c r="B447" s="1">
        <f>IFERROR(__xludf.DUMMYFUNCTION("""COMPUTED_VALUE"""),1808.0)</f>
        <v>1808</v>
      </c>
    </row>
    <row r="448">
      <c r="A448" s="2">
        <f>IFERROR(__xludf.DUMMYFUNCTION("""COMPUTED_VALUE"""),36441.666666666664)</f>
        <v>36441.66667</v>
      </c>
      <c r="B448" s="1">
        <f>IFERROR(__xludf.DUMMYFUNCTION("""COMPUTED_VALUE"""),1833.22)</f>
        <v>1833.22</v>
      </c>
    </row>
    <row r="449">
      <c r="A449" s="2">
        <f>IFERROR(__xludf.DUMMYFUNCTION("""COMPUTED_VALUE"""),36444.666666666664)</f>
        <v>36444.66667</v>
      </c>
      <c r="B449" s="1">
        <f>IFERROR(__xludf.DUMMYFUNCTION("""COMPUTED_VALUE"""),1832.11)</f>
        <v>1832.11</v>
      </c>
    </row>
    <row r="450">
      <c r="A450" s="2">
        <f>IFERROR(__xludf.DUMMYFUNCTION("""COMPUTED_VALUE"""),36445.666666666664)</f>
        <v>36445.66667</v>
      </c>
      <c r="B450" s="1">
        <f>IFERROR(__xludf.DUMMYFUNCTION("""COMPUTED_VALUE"""),1801.69)</f>
        <v>1801.69</v>
      </c>
    </row>
    <row r="451">
      <c r="A451" s="2">
        <f>IFERROR(__xludf.DUMMYFUNCTION("""COMPUTED_VALUE"""),36446.666666666664)</f>
        <v>36446.66667</v>
      </c>
      <c r="B451" s="1">
        <f>IFERROR(__xludf.DUMMYFUNCTION("""COMPUTED_VALUE"""),1764.1)</f>
        <v>1764.1</v>
      </c>
    </row>
    <row r="452">
      <c r="A452" s="2">
        <f>IFERROR(__xludf.DUMMYFUNCTION("""COMPUTED_VALUE"""),36447.666666666664)</f>
        <v>36447.66667</v>
      </c>
      <c r="B452" s="1">
        <f>IFERROR(__xludf.DUMMYFUNCTION("""COMPUTED_VALUE"""),1761.18)</f>
        <v>1761.18</v>
      </c>
    </row>
    <row r="453">
      <c r="A453" s="2">
        <f>IFERROR(__xludf.DUMMYFUNCTION("""COMPUTED_VALUE"""),36448.666666666664)</f>
        <v>36448.66667</v>
      </c>
      <c r="B453" s="1">
        <f>IFERROR(__xludf.DUMMYFUNCTION("""COMPUTED_VALUE"""),1711.77)</f>
        <v>1711.77</v>
      </c>
    </row>
    <row r="454">
      <c r="A454" s="2">
        <f>IFERROR(__xludf.DUMMYFUNCTION("""COMPUTED_VALUE"""),36451.666666666664)</f>
        <v>36451.66667</v>
      </c>
      <c r="B454" s="1">
        <f>IFERROR(__xludf.DUMMYFUNCTION("""COMPUTED_VALUE"""),1721.0)</f>
        <v>1721</v>
      </c>
    </row>
    <row r="455">
      <c r="A455" s="2">
        <f>IFERROR(__xludf.DUMMYFUNCTION("""COMPUTED_VALUE"""),36452.666666666664)</f>
        <v>36452.66667</v>
      </c>
      <c r="B455" s="1">
        <f>IFERROR(__xludf.DUMMYFUNCTION("""COMPUTED_VALUE"""),1730.87)</f>
        <v>1730.87</v>
      </c>
    </row>
    <row r="456">
      <c r="A456" s="2">
        <f>IFERROR(__xludf.DUMMYFUNCTION("""COMPUTED_VALUE"""),36453.666666666664)</f>
        <v>36453.66667</v>
      </c>
      <c r="B456" s="1">
        <f>IFERROR(__xludf.DUMMYFUNCTION("""COMPUTED_VALUE"""),1769.55)</f>
        <v>1769.55</v>
      </c>
    </row>
    <row r="457">
      <c r="A457" s="2">
        <f>IFERROR(__xludf.DUMMYFUNCTION("""COMPUTED_VALUE"""),36454.666666666664)</f>
        <v>36454.66667</v>
      </c>
      <c r="B457" s="1">
        <f>IFERROR(__xludf.DUMMYFUNCTION("""COMPUTED_VALUE"""),1761.58)</f>
        <v>1761.58</v>
      </c>
    </row>
    <row r="458">
      <c r="A458" s="2">
        <f>IFERROR(__xludf.DUMMYFUNCTION("""COMPUTED_VALUE"""),36455.666666666664)</f>
        <v>36455.66667</v>
      </c>
      <c r="B458" s="1">
        <f>IFERROR(__xludf.DUMMYFUNCTION("""COMPUTED_VALUE"""),1786.36)</f>
        <v>1786.36</v>
      </c>
    </row>
    <row r="459">
      <c r="A459" s="2">
        <f>IFERROR(__xludf.DUMMYFUNCTION("""COMPUTED_VALUE"""),36458.666666666664)</f>
        <v>36458.66667</v>
      </c>
      <c r="B459" s="1">
        <f>IFERROR(__xludf.DUMMYFUNCTION("""COMPUTED_VALUE"""),1775.35)</f>
        <v>1775.35</v>
      </c>
    </row>
    <row r="460">
      <c r="A460" s="2">
        <f>IFERROR(__xludf.DUMMYFUNCTION("""COMPUTED_VALUE"""),36459.666666666664)</f>
        <v>36459.66667</v>
      </c>
      <c r="B460" s="1">
        <f>IFERROR(__xludf.DUMMYFUNCTION("""COMPUTED_VALUE"""),1759.27)</f>
        <v>1759.27</v>
      </c>
    </row>
    <row r="461">
      <c r="A461" s="2">
        <f>IFERROR(__xludf.DUMMYFUNCTION("""COMPUTED_VALUE"""),36460.666666666664)</f>
        <v>36460.66667</v>
      </c>
      <c r="B461" s="1">
        <f>IFERROR(__xludf.DUMMYFUNCTION("""COMPUTED_VALUE"""),1779.72)</f>
        <v>1779.72</v>
      </c>
    </row>
    <row r="462">
      <c r="A462" s="2">
        <f>IFERROR(__xludf.DUMMYFUNCTION("""COMPUTED_VALUE"""),36461.666666666664)</f>
        <v>36461.66667</v>
      </c>
      <c r="B462" s="1">
        <f>IFERROR(__xludf.DUMMYFUNCTION("""COMPUTED_VALUE"""),1842.8)</f>
        <v>1842.8</v>
      </c>
    </row>
    <row r="463">
      <c r="A463" s="2">
        <f>IFERROR(__xludf.DUMMYFUNCTION("""COMPUTED_VALUE"""),36462.666666666664)</f>
        <v>36462.66667</v>
      </c>
      <c r="B463" s="1">
        <f>IFERROR(__xludf.DUMMYFUNCTION("""COMPUTED_VALUE"""),1870.94)</f>
        <v>1870.94</v>
      </c>
    </row>
    <row r="464">
      <c r="A464" s="2">
        <f>IFERROR(__xludf.DUMMYFUNCTION("""COMPUTED_VALUE"""),36465.666666666664)</f>
        <v>36465.66667</v>
      </c>
      <c r="B464" s="1">
        <f>IFERROR(__xludf.DUMMYFUNCTION("""COMPUTED_VALUE"""),1858.86)</f>
        <v>1858.86</v>
      </c>
    </row>
    <row r="465">
      <c r="A465" s="2">
        <f>IFERROR(__xludf.DUMMYFUNCTION("""COMPUTED_VALUE"""),36466.666666666664)</f>
        <v>36466.66667</v>
      </c>
      <c r="B465" s="1">
        <f>IFERROR(__xludf.DUMMYFUNCTION("""COMPUTED_VALUE"""),1850.13)</f>
        <v>1850.13</v>
      </c>
    </row>
    <row r="466">
      <c r="A466" s="2">
        <f>IFERROR(__xludf.DUMMYFUNCTION("""COMPUTED_VALUE"""),36467.666666666664)</f>
        <v>36467.66667</v>
      </c>
      <c r="B466" s="1">
        <f>IFERROR(__xludf.DUMMYFUNCTION("""COMPUTED_VALUE"""),1860.28)</f>
        <v>1860.28</v>
      </c>
    </row>
    <row r="467">
      <c r="A467" s="2">
        <f>IFERROR(__xludf.DUMMYFUNCTION("""COMPUTED_VALUE"""),36468.666666666664)</f>
        <v>36468.66667</v>
      </c>
      <c r="B467" s="1">
        <f>IFERROR(__xludf.DUMMYFUNCTION("""COMPUTED_VALUE"""),1870.88)</f>
        <v>1870.88</v>
      </c>
    </row>
    <row r="468">
      <c r="A468" s="2">
        <f>IFERROR(__xludf.DUMMYFUNCTION("""COMPUTED_VALUE"""),36469.666666666664)</f>
        <v>36469.66667</v>
      </c>
      <c r="B468" s="1">
        <f>IFERROR(__xludf.DUMMYFUNCTION("""COMPUTED_VALUE"""),1881.33)</f>
        <v>1881.33</v>
      </c>
    </row>
    <row r="469">
      <c r="A469" s="2">
        <f>IFERROR(__xludf.DUMMYFUNCTION("""COMPUTED_VALUE"""),36472.666666666664)</f>
        <v>36472.66667</v>
      </c>
      <c r="B469" s="1">
        <f>IFERROR(__xludf.DUMMYFUNCTION("""COMPUTED_VALUE"""),1890.81)</f>
        <v>1890.81</v>
      </c>
    </row>
    <row r="470">
      <c r="A470" s="2">
        <f>IFERROR(__xludf.DUMMYFUNCTION("""COMPUTED_VALUE"""),36473.666666666664)</f>
        <v>36473.66667</v>
      </c>
      <c r="B470" s="1">
        <f>IFERROR(__xludf.DUMMYFUNCTION("""COMPUTED_VALUE"""),1875.14)</f>
        <v>1875.14</v>
      </c>
    </row>
    <row r="471">
      <c r="A471" s="2">
        <f>IFERROR(__xludf.DUMMYFUNCTION("""COMPUTED_VALUE"""),36474.666666666664)</f>
        <v>36474.66667</v>
      </c>
      <c r="B471" s="1">
        <f>IFERROR(__xludf.DUMMYFUNCTION("""COMPUTED_VALUE"""),1886.58)</f>
        <v>1886.58</v>
      </c>
    </row>
    <row r="472">
      <c r="A472" s="2">
        <f>IFERROR(__xludf.DUMMYFUNCTION("""COMPUTED_VALUE"""),36475.666666666664)</f>
        <v>36475.66667</v>
      </c>
      <c r="B472" s="1">
        <f>IFERROR(__xludf.DUMMYFUNCTION("""COMPUTED_VALUE"""),1897.57)</f>
        <v>1897.57</v>
      </c>
    </row>
    <row r="473">
      <c r="A473" s="2">
        <f>IFERROR(__xludf.DUMMYFUNCTION("""COMPUTED_VALUE"""),36476.666666666664)</f>
        <v>36476.66667</v>
      </c>
      <c r="B473" s="1">
        <f>IFERROR(__xludf.DUMMYFUNCTION("""COMPUTED_VALUE"""),1917.8)</f>
        <v>1917.8</v>
      </c>
    </row>
    <row r="474">
      <c r="A474" s="2">
        <f>IFERROR(__xludf.DUMMYFUNCTION("""COMPUTED_VALUE"""),36479.666666666664)</f>
        <v>36479.66667</v>
      </c>
      <c r="B474" s="1">
        <f>IFERROR(__xludf.DUMMYFUNCTION("""COMPUTED_VALUE"""),1915.47)</f>
        <v>1915.47</v>
      </c>
    </row>
    <row r="475">
      <c r="A475" s="2">
        <f>IFERROR(__xludf.DUMMYFUNCTION("""COMPUTED_VALUE"""),36480.666666666664)</f>
        <v>36480.66667</v>
      </c>
      <c r="B475" s="1">
        <f>IFERROR(__xludf.DUMMYFUNCTION("""COMPUTED_VALUE"""),1950.83)</f>
        <v>1950.83</v>
      </c>
    </row>
    <row r="476">
      <c r="A476" s="2">
        <f>IFERROR(__xludf.DUMMYFUNCTION("""COMPUTED_VALUE"""),36481.666666666664)</f>
        <v>36481.66667</v>
      </c>
      <c r="B476" s="1">
        <f>IFERROR(__xludf.DUMMYFUNCTION("""COMPUTED_VALUE"""),1938.22)</f>
        <v>1938.22</v>
      </c>
    </row>
    <row r="477">
      <c r="A477" s="2">
        <f>IFERROR(__xludf.DUMMYFUNCTION("""COMPUTED_VALUE"""),36482.666666666664)</f>
        <v>36482.66667</v>
      </c>
      <c r="B477" s="1">
        <f>IFERROR(__xludf.DUMMYFUNCTION("""COMPUTED_VALUE"""),1957.87)</f>
        <v>1957.87</v>
      </c>
    </row>
    <row r="478">
      <c r="A478" s="2">
        <f>IFERROR(__xludf.DUMMYFUNCTION("""COMPUTED_VALUE"""),36483.666666666664)</f>
        <v>36483.66667</v>
      </c>
      <c r="B478" s="1">
        <f>IFERROR(__xludf.DUMMYFUNCTION("""COMPUTED_VALUE"""),1953.84)</f>
        <v>1953.84</v>
      </c>
    </row>
    <row r="479">
      <c r="A479" s="2">
        <f>IFERROR(__xludf.DUMMYFUNCTION("""COMPUTED_VALUE"""),36486.666666666664)</f>
        <v>36486.66667</v>
      </c>
      <c r="B479" s="1">
        <f>IFERROR(__xludf.DUMMYFUNCTION("""COMPUTED_VALUE"""),1952.41)</f>
        <v>1952.41</v>
      </c>
    </row>
    <row r="480">
      <c r="A480" s="2">
        <f>IFERROR(__xludf.DUMMYFUNCTION("""COMPUTED_VALUE"""),36487.666666666664)</f>
        <v>36487.66667</v>
      </c>
      <c r="B480" s="1">
        <f>IFERROR(__xludf.DUMMYFUNCTION("""COMPUTED_VALUE"""),1930.1)</f>
        <v>1930.1</v>
      </c>
    </row>
    <row r="481">
      <c r="A481" s="2">
        <f>IFERROR(__xludf.DUMMYFUNCTION("""COMPUTED_VALUE"""),36488.666666666664)</f>
        <v>36488.66667</v>
      </c>
      <c r="B481" s="1">
        <f>IFERROR(__xludf.DUMMYFUNCTION("""COMPUTED_VALUE"""),1947.21)</f>
        <v>1947.21</v>
      </c>
    </row>
    <row r="482">
      <c r="A482" s="2">
        <f>IFERROR(__xludf.DUMMYFUNCTION("""COMPUTED_VALUE"""),36490.666666666664)</f>
        <v>36490.66667</v>
      </c>
      <c r="B482" s="1">
        <f>IFERROR(__xludf.DUMMYFUNCTION("""COMPUTED_VALUE"""),1946.72)</f>
        <v>1946.72</v>
      </c>
    </row>
    <row r="483">
      <c r="A483" s="2">
        <f>IFERROR(__xludf.DUMMYFUNCTION("""COMPUTED_VALUE"""),36493.666666666664)</f>
        <v>36493.66667</v>
      </c>
      <c r="B483" s="1">
        <f>IFERROR(__xludf.DUMMYFUNCTION("""COMPUTED_VALUE"""),1934.95)</f>
        <v>1934.95</v>
      </c>
    </row>
    <row r="484">
      <c r="A484" s="2">
        <f>IFERROR(__xludf.DUMMYFUNCTION("""COMPUTED_VALUE"""),36494.666666666664)</f>
        <v>36494.66667</v>
      </c>
      <c r="B484" s="1">
        <f>IFERROR(__xludf.DUMMYFUNCTION("""COMPUTED_VALUE"""),1908.97)</f>
        <v>1908.97</v>
      </c>
    </row>
    <row r="485">
      <c r="A485" s="2">
        <f>IFERROR(__xludf.DUMMYFUNCTION("""COMPUTED_VALUE"""),36495.666666666664)</f>
        <v>36495.66667</v>
      </c>
      <c r="B485" s="1">
        <f>IFERROR(__xludf.DUMMYFUNCTION("""COMPUTED_VALUE"""),1921.49)</f>
        <v>1921.49</v>
      </c>
    </row>
    <row r="486">
      <c r="A486" s="2">
        <f>IFERROR(__xludf.DUMMYFUNCTION("""COMPUTED_VALUE"""),36496.666666666664)</f>
        <v>36496.66667</v>
      </c>
      <c r="B486" s="1">
        <f>IFERROR(__xludf.DUMMYFUNCTION("""COMPUTED_VALUE"""),1937.07)</f>
        <v>1937.07</v>
      </c>
    </row>
    <row r="487">
      <c r="A487" s="2">
        <f>IFERROR(__xludf.DUMMYFUNCTION("""COMPUTED_VALUE"""),36497.666666666664)</f>
        <v>36497.66667</v>
      </c>
      <c r="B487" s="1">
        <f>IFERROR(__xludf.DUMMYFUNCTION("""COMPUTED_VALUE"""),1970.42)</f>
        <v>1970.42</v>
      </c>
    </row>
    <row r="488">
      <c r="A488" s="2">
        <f>IFERROR(__xludf.DUMMYFUNCTION("""COMPUTED_VALUE"""),36500.666666666664)</f>
        <v>36500.66667</v>
      </c>
      <c r="B488" s="1">
        <f>IFERROR(__xludf.DUMMYFUNCTION("""COMPUTED_VALUE"""),1956.72)</f>
        <v>1956.72</v>
      </c>
    </row>
    <row r="489">
      <c r="A489" s="2">
        <f>IFERROR(__xludf.DUMMYFUNCTION("""COMPUTED_VALUE"""),36501.666666666664)</f>
        <v>36501.66667</v>
      </c>
      <c r="B489" s="1">
        <f>IFERROR(__xludf.DUMMYFUNCTION("""COMPUTED_VALUE"""),1937.34)</f>
        <v>1937.34</v>
      </c>
    </row>
    <row r="490">
      <c r="A490" s="2">
        <f>IFERROR(__xludf.DUMMYFUNCTION("""COMPUTED_VALUE"""),36502.666666666664)</f>
        <v>36502.66667</v>
      </c>
      <c r="B490" s="1">
        <f>IFERROR(__xludf.DUMMYFUNCTION("""COMPUTED_VALUE"""),1930.24)</f>
        <v>1930.24</v>
      </c>
    </row>
    <row r="491">
      <c r="A491" s="2">
        <f>IFERROR(__xludf.DUMMYFUNCTION("""COMPUTED_VALUE"""),36503.666666666664)</f>
        <v>36503.66667</v>
      </c>
      <c r="B491" s="1">
        <f>IFERROR(__xludf.DUMMYFUNCTION("""COMPUTED_VALUE"""),1936.09)</f>
        <v>1936.09</v>
      </c>
    </row>
    <row r="492">
      <c r="A492" s="2">
        <f>IFERROR(__xludf.DUMMYFUNCTION("""COMPUTED_VALUE"""),36504.666666666664)</f>
        <v>36504.66667</v>
      </c>
      <c r="B492" s="1">
        <f>IFERROR(__xludf.DUMMYFUNCTION("""COMPUTED_VALUE"""),1948.37)</f>
        <v>1948.37</v>
      </c>
    </row>
    <row r="493">
      <c r="A493" s="2">
        <f>IFERROR(__xludf.DUMMYFUNCTION("""COMPUTED_VALUE"""),36507.666666666664)</f>
        <v>36507.66667</v>
      </c>
      <c r="B493" s="1">
        <f>IFERROR(__xludf.DUMMYFUNCTION("""COMPUTED_VALUE"""),1946.23)</f>
        <v>1946.23</v>
      </c>
    </row>
    <row r="494">
      <c r="A494" s="2">
        <f>IFERROR(__xludf.DUMMYFUNCTION("""COMPUTED_VALUE"""),36508.666666666664)</f>
        <v>36508.66667</v>
      </c>
      <c r="B494" s="1">
        <f>IFERROR(__xludf.DUMMYFUNCTION("""COMPUTED_VALUE"""),1929.68)</f>
        <v>1929.68</v>
      </c>
    </row>
    <row r="495">
      <c r="A495" s="2">
        <f>IFERROR(__xludf.DUMMYFUNCTION("""COMPUTED_VALUE"""),36509.666666666664)</f>
        <v>36509.66667</v>
      </c>
      <c r="B495" s="1">
        <f>IFERROR(__xludf.DUMMYFUNCTION("""COMPUTED_VALUE"""),1943.71)</f>
        <v>1943.71</v>
      </c>
    </row>
    <row r="496">
      <c r="A496" s="2">
        <f>IFERROR(__xludf.DUMMYFUNCTION("""COMPUTED_VALUE"""),36510.666666666664)</f>
        <v>36510.66667</v>
      </c>
      <c r="B496" s="1">
        <f>IFERROR(__xludf.DUMMYFUNCTION("""COMPUTED_VALUE"""),1951.31)</f>
        <v>1951.31</v>
      </c>
    </row>
    <row r="497">
      <c r="A497" s="2">
        <f>IFERROR(__xludf.DUMMYFUNCTION("""COMPUTED_VALUE"""),36511.666666666664)</f>
        <v>36511.66667</v>
      </c>
      <c r="B497" s="1">
        <f>IFERROR(__xludf.DUMMYFUNCTION("""COMPUTED_VALUE"""),1954.44)</f>
        <v>1954.44</v>
      </c>
    </row>
    <row r="498">
      <c r="A498" s="2">
        <f>IFERROR(__xludf.DUMMYFUNCTION("""COMPUTED_VALUE"""),36514.666666666664)</f>
        <v>36514.66667</v>
      </c>
      <c r="B498" s="1">
        <f>IFERROR(__xludf.DUMMYFUNCTION("""COMPUTED_VALUE"""),1950.44)</f>
        <v>1950.44</v>
      </c>
    </row>
    <row r="499">
      <c r="A499" s="2">
        <f>IFERROR(__xludf.DUMMYFUNCTION("""COMPUTED_VALUE"""),36515.666666666664)</f>
        <v>36515.66667</v>
      </c>
      <c r="B499" s="1">
        <f>IFERROR(__xludf.DUMMYFUNCTION("""COMPUTED_VALUE"""),1971.56)</f>
        <v>1971.56</v>
      </c>
    </row>
    <row r="500">
      <c r="A500" s="2">
        <f>IFERROR(__xludf.DUMMYFUNCTION("""COMPUTED_VALUE"""),36516.666666666664)</f>
        <v>36516.66667</v>
      </c>
      <c r="B500" s="1">
        <f>IFERROR(__xludf.DUMMYFUNCTION("""COMPUTED_VALUE"""),1975.5)</f>
        <v>1975.5</v>
      </c>
    </row>
    <row r="501">
      <c r="A501" s="2">
        <f>IFERROR(__xludf.DUMMYFUNCTION("""COMPUTED_VALUE"""),36517.666666666664)</f>
        <v>36517.66667</v>
      </c>
      <c r="B501" s="1">
        <f>IFERROR(__xludf.DUMMYFUNCTION("""COMPUTED_VALUE"""),2006.07)</f>
        <v>2006.07</v>
      </c>
    </row>
    <row r="502">
      <c r="A502" s="2">
        <f>IFERROR(__xludf.DUMMYFUNCTION("""COMPUTED_VALUE"""),36521.666666666664)</f>
        <v>36521.66667</v>
      </c>
      <c r="B502" s="1">
        <f>IFERROR(__xludf.DUMMYFUNCTION("""COMPUTED_VALUE"""),2004.37)</f>
        <v>2004.37</v>
      </c>
    </row>
    <row r="503">
      <c r="A503" s="2">
        <f>IFERROR(__xludf.DUMMYFUNCTION("""COMPUTED_VALUE"""),36522.666666666664)</f>
        <v>36522.66667</v>
      </c>
      <c r="B503" s="1">
        <f>IFERROR(__xludf.DUMMYFUNCTION("""COMPUTED_VALUE"""),2005.14)</f>
        <v>2005.14</v>
      </c>
    </row>
    <row r="504">
      <c r="A504" s="2">
        <f>IFERROR(__xludf.DUMMYFUNCTION("""COMPUTED_VALUE"""),36523.666666666664)</f>
        <v>36523.66667</v>
      </c>
      <c r="B504" s="1">
        <f>IFERROR(__xludf.DUMMYFUNCTION("""COMPUTED_VALUE"""),2013.38)</f>
        <v>2013.38</v>
      </c>
    </row>
    <row r="505">
      <c r="A505" s="2">
        <f>IFERROR(__xludf.DUMMYFUNCTION("""COMPUTED_VALUE"""),36524.666666666664)</f>
        <v>36524.66667</v>
      </c>
      <c r="B505" s="1">
        <f>IFERROR(__xludf.DUMMYFUNCTION("""COMPUTED_VALUE"""),2014.81)</f>
        <v>2014.81</v>
      </c>
    </row>
    <row r="506">
      <c r="A506" s="2">
        <f>IFERROR(__xludf.DUMMYFUNCTION("""COMPUTED_VALUE"""),36525.666666666664)</f>
        <v>36525.66667</v>
      </c>
      <c r="B506" s="1">
        <f>IFERROR(__xludf.DUMMYFUNCTION("""COMPUTED_VALUE"""),2021.4)</f>
        <v>2021.4</v>
      </c>
    </row>
    <row r="507">
      <c r="A507" s="2">
        <f>IFERROR(__xludf.DUMMYFUNCTION("""COMPUTED_VALUE"""),36528.666666666664)</f>
        <v>36528.66667</v>
      </c>
      <c r="B507" s="1">
        <f>IFERROR(__xludf.DUMMYFUNCTION("""COMPUTED_VALUE"""),2002.11)</f>
        <v>2002.11</v>
      </c>
    </row>
    <row r="508">
      <c r="A508" s="2">
        <f>IFERROR(__xludf.DUMMYFUNCTION("""COMPUTED_VALUE"""),36529.666666666664)</f>
        <v>36529.66667</v>
      </c>
      <c r="B508" s="1">
        <f>IFERROR(__xludf.DUMMYFUNCTION("""COMPUTED_VALUE"""),1925.41)</f>
        <v>1925.41</v>
      </c>
    </row>
    <row r="509">
      <c r="A509" s="2">
        <f>IFERROR(__xludf.DUMMYFUNCTION("""COMPUTED_VALUE"""),36530.666666666664)</f>
        <v>36530.66667</v>
      </c>
      <c r="B509" s="1">
        <f>IFERROR(__xludf.DUMMYFUNCTION("""COMPUTED_VALUE"""),1929.28)</f>
        <v>1929.28</v>
      </c>
    </row>
    <row r="510">
      <c r="A510" s="2">
        <f>IFERROR(__xludf.DUMMYFUNCTION("""COMPUTED_VALUE"""),36531.666666666664)</f>
        <v>36531.66667</v>
      </c>
      <c r="B510" s="1">
        <f>IFERROR(__xludf.DUMMYFUNCTION("""COMPUTED_VALUE"""),1931.51)</f>
        <v>1931.51</v>
      </c>
    </row>
    <row r="511">
      <c r="A511" s="2">
        <f>IFERROR(__xludf.DUMMYFUNCTION("""COMPUTED_VALUE"""),36532.666666666664)</f>
        <v>36532.66667</v>
      </c>
      <c r="B511" s="1">
        <f>IFERROR(__xludf.DUMMYFUNCTION("""COMPUTED_VALUE"""),1983.83)</f>
        <v>1983.83</v>
      </c>
    </row>
    <row r="512">
      <c r="A512" s="2">
        <f>IFERROR(__xludf.DUMMYFUNCTION("""COMPUTED_VALUE"""),36535.666666666664)</f>
        <v>36535.66667</v>
      </c>
      <c r="B512" s="1">
        <f>IFERROR(__xludf.DUMMYFUNCTION("""COMPUTED_VALUE"""),2006.07)</f>
        <v>2006.07</v>
      </c>
    </row>
    <row r="513">
      <c r="A513" s="2">
        <f>IFERROR(__xludf.DUMMYFUNCTION("""COMPUTED_VALUE"""),36536.666666666664)</f>
        <v>36536.66667</v>
      </c>
      <c r="B513" s="1">
        <f>IFERROR(__xludf.DUMMYFUNCTION("""COMPUTED_VALUE"""),1979.92)</f>
        <v>1979.92</v>
      </c>
    </row>
    <row r="514">
      <c r="A514" s="2">
        <f>IFERROR(__xludf.DUMMYFUNCTION("""COMPUTED_VALUE"""),36537.666666666664)</f>
        <v>36537.66667</v>
      </c>
      <c r="B514" s="1">
        <f>IFERROR(__xludf.DUMMYFUNCTION("""COMPUTED_VALUE"""),1971.36)</f>
        <v>1971.36</v>
      </c>
    </row>
    <row r="515">
      <c r="A515" s="2">
        <f>IFERROR(__xludf.DUMMYFUNCTION("""COMPUTED_VALUE"""),36538.666666666664)</f>
        <v>36538.66667</v>
      </c>
      <c r="B515" s="1">
        <f>IFERROR(__xludf.DUMMYFUNCTION("""COMPUTED_VALUE"""),1995.35)</f>
        <v>1995.35</v>
      </c>
    </row>
    <row r="516">
      <c r="A516" s="2">
        <f>IFERROR(__xludf.DUMMYFUNCTION("""COMPUTED_VALUE"""),36539.666666666664)</f>
        <v>36539.66667</v>
      </c>
      <c r="B516" s="1">
        <f>IFERROR(__xludf.DUMMYFUNCTION("""COMPUTED_VALUE"""),2016.64)</f>
        <v>2016.64</v>
      </c>
    </row>
    <row r="517">
      <c r="A517" s="2">
        <f>IFERROR(__xludf.DUMMYFUNCTION("""COMPUTED_VALUE"""),36543.666666666664)</f>
        <v>36543.66667</v>
      </c>
      <c r="B517" s="1">
        <f>IFERROR(__xludf.DUMMYFUNCTION("""COMPUTED_VALUE"""),2002.89)</f>
        <v>2002.89</v>
      </c>
    </row>
    <row r="518">
      <c r="A518" s="2">
        <f>IFERROR(__xludf.DUMMYFUNCTION("""COMPUTED_VALUE"""),36544.666666666664)</f>
        <v>36544.66667</v>
      </c>
      <c r="B518" s="1">
        <f>IFERROR(__xludf.DUMMYFUNCTION("""COMPUTED_VALUE"""),2004.02)</f>
        <v>2004.02</v>
      </c>
    </row>
    <row r="519">
      <c r="A519" s="2">
        <f>IFERROR(__xludf.DUMMYFUNCTION("""COMPUTED_VALUE"""),36545.666666666664)</f>
        <v>36545.66667</v>
      </c>
      <c r="B519" s="1">
        <f>IFERROR(__xludf.DUMMYFUNCTION("""COMPUTED_VALUE"""),1989.81)</f>
        <v>1989.81</v>
      </c>
    </row>
    <row r="520">
      <c r="A520" s="2">
        <f>IFERROR(__xludf.DUMMYFUNCTION("""COMPUTED_VALUE"""),36546.666666666664)</f>
        <v>36546.66667</v>
      </c>
      <c r="B520" s="1">
        <f>IFERROR(__xludf.DUMMYFUNCTION("""COMPUTED_VALUE"""),1984.01)</f>
        <v>1984.01</v>
      </c>
    </row>
    <row r="521">
      <c r="A521" s="2">
        <f>IFERROR(__xludf.DUMMYFUNCTION("""COMPUTED_VALUE"""),36549.666666666664)</f>
        <v>36549.66667</v>
      </c>
      <c r="B521" s="1">
        <f>IFERROR(__xludf.DUMMYFUNCTION("""COMPUTED_VALUE"""),1929.2)</f>
        <v>1929.2</v>
      </c>
    </row>
    <row r="522">
      <c r="A522" s="2">
        <f>IFERROR(__xludf.DUMMYFUNCTION("""COMPUTED_VALUE"""),36550.666666666664)</f>
        <v>36550.66667</v>
      </c>
      <c r="B522" s="1">
        <f>IFERROR(__xludf.DUMMYFUNCTION("""COMPUTED_VALUE"""),1940.9)</f>
        <v>1940.9</v>
      </c>
    </row>
    <row r="523">
      <c r="A523" s="2">
        <f>IFERROR(__xludf.DUMMYFUNCTION("""COMPUTED_VALUE"""),36551.666666666664)</f>
        <v>36551.66667</v>
      </c>
      <c r="B523" s="1">
        <f>IFERROR(__xludf.DUMMYFUNCTION("""COMPUTED_VALUE"""),1932.78)</f>
        <v>1932.78</v>
      </c>
    </row>
    <row r="524">
      <c r="A524" s="2">
        <f>IFERROR(__xludf.DUMMYFUNCTION("""COMPUTED_VALUE"""),36552.666666666664)</f>
        <v>36552.66667</v>
      </c>
      <c r="B524" s="1">
        <f>IFERROR(__xludf.DUMMYFUNCTION("""COMPUTED_VALUE"""),1925.31)</f>
        <v>1925.31</v>
      </c>
    </row>
    <row r="525">
      <c r="A525" s="2">
        <f>IFERROR(__xludf.DUMMYFUNCTION("""COMPUTED_VALUE"""),36553.666666666664)</f>
        <v>36553.66667</v>
      </c>
      <c r="B525" s="1">
        <f>IFERROR(__xludf.DUMMYFUNCTION("""COMPUTED_VALUE"""),1872.61)</f>
        <v>1872.61</v>
      </c>
    </row>
    <row r="526">
      <c r="A526" s="2">
        <f>IFERROR(__xludf.DUMMYFUNCTION("""COMPUTED_VALUE"""),36556.666666666664)</f>
        <v>36556.66667</v>
      </c>
      <c r="B526" s="1">
        <f>IFERROR(__xludf.DUMMYFUNCTION("""COMPUTED_VALUE"""),1919.84)</f>
        <v>1919.84</v>
      </c>
    </row>
    <row r="527">
      <c r="A527" s="2">
        <f>IFERROR(__xludf.DUMMYFUNCTION("""COMPUTED_VALUE"""),36557.666666666664)</f>
        <v>36557.66667</v>
      </c>
      <c r="B527" s="1">
        <f>IFERROR(__xludf.DUMMYFUNCTION("""COMPUTED_VALUE"""),1940.24)</f>
        <v>1940.24</v>
      </c>
    </row>
    <row r="528">
      <c r="A528" s="2">
        <f>IFERROR(__xludf.DUMMYFUNCTION("""COMPUTED_VALUE"""),36558.666666666664)</f>
        <v>36558.66667</v>
      </c>
      <c r="B528" s="1">
        <f>IFERROR(__xludf.DUMMYFUNCTION("""COMPUTED_VALUE"""),1940.21)</f>
        <v>1940.21</v>
      </c>
    </row>
    <row r="529">
      <c r="A529" s="2">
        <f>IFERROR(__xludf.DUMMYFUNCTION("""COMPUTED_VALUE"""),36559.666666666664)</f>
        <v>36559.66667</v>
      </c>
      <c r="B529" s="1">
        <f>IFERROR(__xludf.DUMMYFUNCTION("""COMPUTED_VALUE"""),1962.21)</f>
        <v>1962.21</v>
      </c>
    </row>
    <row r="530">
      <c r="A530" s="2">
        <f>IFERROR(__xludf.DUMMYFUNCTION("""COMPUTED_VALUE"""),36560.666666666664)</f>
        <v>36560.66667</v>
      </c>
      <c r="B530" s="1">
        <f>IFERROR(__xludf.DUMMYFUNCTION("""COMPUTED_VALUE"""),1961.44)</f>
        <v>1961.44</v>
      </c>
    </row>
    <row r="531">
      <c r="A531" s="2">
        <f>IFERROR(__xludf.DUMMYFUNCTION("""COMPUTED_VALUE"""),36563.666666666664)</f>
        <v>36563.66667</v>
      </c>
      <c r="B531" s="1">
        <f>IFERROR(__xludf.DUMMYFUNCTION("""COMPUTED_VALUE"""),1961.3)</f>
        <v>1961.3</v>
      </c>
    </row>
    <row r="532">
      <c r="A532" s="2">
        <f>IFERROR(__xludf.DUMMYFUNCTION("""COMPUTED_VALUE"""),36564.666666666664)</f>
        <v>36564.66667</v>
      </c>
      <c r="B532" s="1">
        <f>IFERROR(__xludf.DUMMYFUNCTION("""COMPUTED_VALUE"""),1985.49)</f>
        <v>1985.49</v>
      </c>
    </row>
    <row r="533">
      <c r="A533" s="2">
        <f>IFERROR(__xludf.DUMMYFUNCTION("""COMPUTED_VALUE"""),36565.666666666664)</f>
        <v>36565.66667</v>
      </c>
      <c r="B533" s="1">
        <f>IFERROR(__xludf.DUMMYFUNCTION("""COMPUTED_VALUE"""),1944.57)</f>
        <v>1944.57</v>
      </c>
    </row>
    <row r="534">
      <c r="A534" s="2">
        <f>IFERROR(__xludf.DUMMYFUNCTION("""COMPUTED_VALUE"""),36566.666666666664)</f>
        <v>36566.66667</v>
      </c>
      <c r="B534" s="1">
        <f>IFERROR(__xludf.DUMMYFUNCTION("""COMPUTED_VALUE"""),1951.65)</f>
        <v>1951.65</v>
      </c>
    </row>
    <row r="535">
      <c r="A535" s="2">
        <f>IFERROR(__xludf.DUMMYFUNCTION("""COMPUTED_VALUE"""),36567.666666666664)</f>
        <v>36567.66667</v>
      </c>
      <c r="B535" s="1">
        <f>IFERROR(__xludf.DUMMYFUNCTION("""COMPUTED_VALUE"""),1910.92)</f>
        <v>1910.92</v>
      </c>
    </row>
    <row r="536">
      <c r="A536" s="2">
        <f>IFERROR(__xludf.DUMMYFUNCTION("""COMPUTED_VALUE"""),36570.666666666664)</f>
        <v>36570.66667</v>
      </c>
      <c r="B536" s="1">
        <f>IFERROR(__xludf.DUMMYFUNCTION("""COMPUTED_VALUE"""),1914.88)</f>
        <v>1914.88</v>
      </c>
    </row>
    <row r="537">
      <c r="A537" s="2">
        <f>IFERROR(__xludf.DUMMYFUNCTION("""COMPUTED_VALUE"""),36571.666666666664)</f>
        <v>36571.66667</v>
      </c>
      <c r="B537" s="1">
        <f>IFERROR(__xludf.DUMMYFUNCTION("""COMPUTED_VALUE"""),1931.58)</f>
        <v>1931.58</v>
      </c>
    </row>
    <row r="538">
      <c r="A538" s="2">
        <f>IFERROR(__xludf.DUMMYFUNCTION("""COMPUTED_VALUE"""),36572.666666666664)</f>
        <v>36572.66667</v>
      </c>
      <c r="B538" s="1">
        <f>IFERROR(__xludf.DUMMYFUNCTION("""COMPUTED_VALUE"""),1912.12)</f>
        <v>1912.12</v>
      </c>
    </row>
    <row r="539">
      <c r="A539" s="2">
        <f>IFERROR(__xludf.DUMMYFUNCTION("""COMPUTED_VALUE"""),36573.666666666664)</f>
        <v>36573.66667</v>
      </c>
      <c r="B539" s="1">
        <f>IFERROR(__xludf.DUMMYFUNCTION("""COMPUTED_VALUE"""),1912.96)</f>
        <v>1912.96</v>
      </c>
    </row>
    <row r="540">
      <c r="A540" s="2">
        <f>IFERROR(__xludf.DUMMYFUNCTION("""COMPUTED_VALUE"""),36574.666666666664)</f>
        <v>36574.66667</v>
      </c>
      <c r="B540" s="1">
        <f>IFERROR(__xludf.DUMMYFUNCTION("""COMPUTED_VALUE"""),1854.85)</f>
        <v>1854.85</v>
      </c>
    </row>
    <row r="541">
      <c r="A541" s="2">
        <f>IFERROR(__xludf.DUMMYFUNCTION("""COMPUTED_VALUE"""),36578.666666666664)</f>
        <v>36578.66667</v>
      </c>
      <c r="B541" s="1">
        <f>IFERROR(__xludf.DUMMYFUNCTION("""COMPUTED_VALUE"""),1863.26)</f>
        <v>1863.26</v>
      </c>
    </row>
    <row r="542">
      <c r="A542" s="2">
        <f>IFERROR(__xludf.DUMMYFUNCTION("""COMPUTED_VALUE"""),36579.666666666664)</f>
        <v>36579.66667</v>
      </c>
      <c r="B542" s="1">
        <f>IFERROR(__xludf.DUMMYFUNCTION("""COMPUTED_VALUE"""),1875.16)</f>
        <v>1875.16</v>
      </c>
    </row>
    <row r="543">
      <c r="A543" s="2">
        <f>IFERROR(__xludf.DUMMYFUNCTION("""COMPUTED_VALUE"""),36580.666666666664)</f>
        <v>36580.66667</v>
      </c>
      <c r="B543" s="1">
        <f>IFERROR(__xludf.DUMMYFUNCTION("""COMPUTED_VALUE"""),1865.2)</f>
        <v>1865.2</v>
      </c>
    </row>
    <row r="544">
      <c r="A544" s="2">
        <f>IFERROR(__xludf.DUMMYFUNCTION("""COMPUTED_VALUE"""),36581.666666666664)</f>
        <v>36581.66667</v>
      </c>
      <c r="B544" s="1">
        <f>IFERROR(__xludf.DUMMYFUNCTION("""COMPUTED_VALUE"""),1837.7)</f>
        <v>1837.7</v>
      </c>
    </row>
    <row r="545">
      <c r="A545" s="2">
        <f>IFERROR(__xludf.DUMMYFUNCTION("""COMPUTED_VALUE"""),36584.666666666664)</f>
        <v>36584.66667</v>
      </c>
      <c r="B545" s="1">
        <f>IFERROR(__xludf.DUMMYFUNCTION("""COMPUTED_VALUE"""),1858.17)</f>
        <v>1858.17</v>
      </c>
    </row>
    <row r="546">
      <c r="A546" s="2">
        <f>IFERROR(__xludf.DUMMYFUNCTION("""COMPUTED_VALUE"""),36585.666666666664)</f>
        <v>36585.66667</v>
      </c>
      <c r="B546" s="1">
        <f>IFERROR(__xludf.DUMMYFUNCTION("""COMPUTED_VALUE"""),1883.5)</f>
        <v>1883.5</v>
      </c>
    </row>
    <row r="547">
      <c r="A547" s="2">
        <f>IFERROR(__xludf.DUMMYFUNCTION("""COMPUTED_VALUE"""),36586.666666666664)</f>
        <v>36586.66667</v>
      </c>
      <c r="B547" s="1">
        <f>IFERROR(__xludf.DUMMYFUNCTION("""COMPUTED_VALUE"""),1901.51)</f>
        <v>1901.51</v>
      </c>
    </row>
    <row r="548">
      <c r="A548" s="2">
        <f>IFERROR(__xludf.DUMMYFUNCTION("""COMPUTED_VALUE"""),36587.666666666664)</f>
        <v>36587.66667</v>
      </c>
      <c r="B548" s="1">
        <f>IFERROR(__xludf.DUMMYFUNCTION("""COMPUTED_VALUE"""),1905.09)</f>
        <v>1905.09</v>
      </c>
    </row>
    <row r="549">
      <c r="A549" s="2">
        <f>IFERROR(__xludf.DUMMYFUNCTION("""COMPUTED_VALUE"""),36588.666666666664)</f>
        <v>36588.66667</v>
      </c>
      <c r="B549" s="1">
        <f>IFERROR(__xludf.DUMMYFUNCTION("""COMPUTED_VALUE"""),1942.89)</f>
        <v>1942.89</v>
      </c>
    </row>
    <row r="550">
      <c r="A550" s="2">
        <f>IFERROR(__xludf.DUMMYFUNCTION("""COMPUTED_VALUE"""),36591.666666666664)</f>
        <v>36591.66667</v>
      </c>
      <c r="B550" s="1">
        <f>IFERROR(__xludf.DUMMYFUNCTION("""COMPUTED_VALUE"""),1918.44)</f>
        <v>1918.44</v>
      </c>
    </row>
    <row r="551">
      <c r="A551" s="2">
        <f>IFERROR(__xludf.DUMMYFUNCTION("""COMPUTED_VALUE"""),36592.666666666664)</f>
        <v>36592.66667</v>
      </c>
      <c r="B551" s="1">
        <f>IFERROR(__xludf.DUMMYFUNCTION("""COMPUTED_VALUE"""),1869.33)</f>
        <v>1869.33</v>
      </c>
    </row>
    <row r="552">
      <c r="A552" s="2">
        <f>IFERROR(__xludf.DUMMYFUNCTION("""COMPUTED_VALUE"""),36593.666666666664)</f>
        <v>36593.66667</v>
      </c>
      <c r="B552" s="1">
        <f>IFERROR(__xludf.DUMMYFUNCTION("""COMPUTED_VALUE"""),1884.81)</f>
        <v>1884.81</v>
      </c>
    </row>
    <row r="553">
      <c r="A553" s="2">
        <f>IFERROR(__xludf.DUMMYFUNCTION("""COMPUTED_VALUE"""),36594.666666666664)</f>
        <v>36594.66667</v>
      </c>
      <c r="B553" s="1">
        <f>IFERROR(__xludf.DUMMYFUNCTION("""COMPUTED_VALUE"""),1933.11)</f>
        <v>1933.11</v>
      </c>
    </row>
    <row r="554">
      <c r="A554" s="2">
        <f>IFERROR(__xludf.DUMMYFUNCTION("""COMPUTED_VALUE"""),36595.666666666664)</f>
        <v>36595.66667</v>
      </c>
      <c r="B554" s="1">
        <f>IFERROR(__xludf.DUMMYFUNCTION("""COMPUTED_VALUE"""),1923.98)</f>
        <v>1923.98</v>
      </c>
    </row>
    <row r="555">
      <c r="A555" s="2">
        <f>IFERROR(__xludf.DUMMYFUNCTION("""COMPUTED_VALUE"""),36598.666666666664)</f>
        <v>36598.66667</v>
      </c>
      <c r="B555" s="1">
        <f>IFERROR(__xludf.DUMMYFUNCTION("""COMPUTED_VALUE"""),1908.42)</f>
        <v>1908.42</v>
      </c>
    </row>
    <row r="556">
      <c r="A556" s="2">
        <f>IFERROR(__xludf.DUMMYFUNCTION("""COMPUTED_VALUE"""),36599.666666666664)</f>
        <v>36599.66667</v>
      </c>
      <c r="B556" s="1">
        <f>IFERROR(__xludf.DUMMYFUNCTION("""COMPUTED_VALUE"""),1874.69)</f>
        <v>1874.69</v>
      </c>
    </row>
    <row r="557">
      <c r="A557" s="2">
        <f>IFERROR(__xludf.DUMMYFUNCTION("""COMPUTED_VALUE"""),36600.666666666664)</f>
        <v>36600.66667</v>
      </c>
      <c r="B557" s="1">
        <f>IFERROR(__xludf.DUMMYFUNCTION("""COMPUTED_VALUE"""),1920.28)</f>
        <v>1920.28</v>
      </c>
    </row>
    <row r="558">
      <c r="A558" s="2">
        <f>IFERROR(__xludf.DUMMYFUNCTION("""COMPUTED_VALUE"""),36601.666666666664)</f>
        <v>36601.66667</v>
      </c>
      <c r="B558" s="1">
        <f>IFERROR(__xludf.DUMMYFUNCTION("""COMPUTED_VALUE"""),2012.03)</f>
        <v>2012.03</v>
      </c>
    </row>
    <row r="559">
      <c r="A559" s="2">
        <f>IFERROR(__xludf.DUMMYFUNCTION("""COMPUTED_VALUE"""),36602.666666666664)</f>
        <v>36602.66667</v>
      </c>
      <c r="B559" s="1">
        <f>IFERROR(__xludf.DUMMYFUNCTION("""COMPUTED_VALUE"""),2020.31)</f>
        <v>2020.31</v>
      </c>
    </row>
    <row r="560">
      <c r="A560" s="2">
        <f>IFERROR(__xludf.DUMMYFUNCTION("""COMPUTED_VALUE"""),36605.666666666664)</f>
        <v>36605.66667</v>
      </c>
      <c r="B560" s="1">
        <f>IFERROR(__xludf.DUMMYFUNCTION("""COMPUTED_VALUE"""),2009.53)</f>
        <v>2009.53</v>
      </c>
    </row>
    <row r="561">
      <c r="A561" s="2">
        <f>IFERROR(__xludf.DUMMYFUNCTION("""COMPUTED_VALUE"""),36606.666666666664)</f>
        <v>36606.66667</v>
      </c>
      <c r="B561" s="1">
        <f>IFERROR(__xludf.DUMMYFUNCTION("""COMPUTED_VALUE"""),2060.9)</f>
        <v>2060.9</v>
      </c>
    </row>
    <row r="562">
      <c r="A562" s="2">
        <f>IFERROR(__xludf.DUMMYFUNCTION("""COMPUTED_VALUE"""),36607.666666666664)</f>
        <v>36607.66667</v>
      </c>
      <c r="B562" s="1">
        <f>IFERROR(__xludf.DUMMYFUNCTION("""COMPUTED_VALUE"""),2070.27)</f>
        <v>2070.27</v>
      </c>
    </row>
    <row r="563">
      <c r="A563" s="2">
        <f>IFERROR(__xludf.DUMMYFUNCTION("""COMPUTED_VALUE"""),36608.666666666664)</f>
        <v>36608.66667</v>
      </c>
      <c r="B563" s="1">
        <f>IFERROR(__xludf.DUMMYFUNCTION("""COMPUTED_VALUE"""),2107.13)</f>
        <v>2107.13</v>
      </c>
    </row>
    <row r="564">
      <c r="A564" s="2">
        <f>IFERROR(__xludf.DUMMYFUNCTION("""COMPUTED_VALUE"""),36609.666666666664)</f>
        <v>36609.66667</v>
      </c>
      <c r="B564" s="1">
        <f>IFERROR(__xludf.DUMMYFUNCTION("""COMPUTED_VALUE"""),2107.28)</f>
        <v>2107.28</v>
      </c>
    </row>
    <row r="565">
      <c r="A565" s="2">
        <f>IFERROR(__xludf.DUMMYFUNCTION("""COMPUTED_VALUE"""),36612.666666666664)</f>
        <v>36612.66667</v>
      </c>
      <c r="B565" s="1">
        <f>IFERROR(__xludf.DUMMYFUNCTION("""COMPUTED_VALUE"""),2102.31)</f>
        <v>2102.31</v>
      </c>
    </row>
    <row r="566">
      <c r="A566" s="2">
        <f>IFERROR(__xludf.DUMMYFUNCTION("""COMPUTED_VALUE"""),36613.666666666664)</f>
        <v>36613.66667</v>
      </c>
      <c r="B566" s="1">
        <f>IFERROR(__xludf.DUMMYFUNCTION("""COMPUTED_VALUE"""),2080.08)</f>
        <v>2080.08</v>
      </c>
    </row>
    <row r="567">
      <c r="A567" s="2">
        <f>IFERROR(__xludf.DUMMYFUNCTION("""COMPUTED_VALUE"""),36614.666666666664)</f>
        <v>36614.66667</v>
      </c>
      <c r="B567" s="1">
        <f>IFERROR(__xludf.DUMMYFUNCTION("""COMPUTED_VALUE"""),2081.44)</f>
        <v>2081.44</v>
      </c>
    </row>
    <row r="568">
      <c r="A568" s="2">
        <f>IFERROR(__xludf.DUMMYFUNCTION("""COMPUTED_VALUE"""),36615.666666666664)</f>
        <v>36615.66667</v>
      </c>
      <c r="B568" s="1">
        <f>IFERROR(__xludf.DUMMYFUNCTION("""COMPUTED_VALUE"""),2053.05)</f>
        <v>2053.05</v>
      </c>
    </row>
    <row r="569">
      <c r="A569" s="2">
        <f>IFERROR(__xludf.DUMMYFUNCTION("""COMPUTED_VALUE"""),36616.666666666664)</f>
        <v>36616.66667</v>
      </c>
      <c r="B569" s="1">
        <f>IFERROR(__xludf.DUMMYFUNCTION("""COMPUTED_VALUE"""),2067.75)</f>
        <v>2067.75</v>
      </c>
    </row>
    <row r="570">
      <c r="A570" s="2">
        <f>IFERROR(__xludf.DUMMYFUNCTION("""COMPUTED_VALUE"""),36619.666666666664)</f>
        <v>36619.66667</v>
      </c>
      <c r="B570" s="1">
        <f>IFERROR(__xludf.DUMMYFUNCTION("""COMPUTED_VALUE"""),2077.97)</f>
        <v>2077.97</v>
      </c>
    </row>
    <row r="571">
      <c r="A571" s="2">
        <f>IFERROR(__xludf.DUMMYFUNCTION("""COMPUTED_VALUE"""),36620.666666666664)</f>
        <v>36620.66667</v>
      </c>
      <c r="B571" s="1">
        <f>IFERROR(__xludf.DUMMYFUNCTION("""COMPUTED_VALUE"""),2062.53)</f>
        <v>2062.53</v>
      </c>
    </row>
    <row r="572">
      <c r="A572" s="2">
        <f>IFERROR(__xludf.DUMMYFUNCTION("""COMPUTED_VALUE"""),36621.666666666664)</f>
        <v>36621.66667</v>
      </c>
      <c r="B572" s="1">
        <f>IFERROR(__xludf.DUMMYFUNCTION("""COMPUTED_VALUE"""),2052.52)</f>
        <v>2052.52</v>
      </c>
    </row>
    <row r="573">
      <c r="A573" s="2">
        <f>IFERROR(__xludf.DUMMYFUNCTION("""COMPUTED_VALUE"""),36622.666666666664)</f>
        <v>36622.66667</v>
      </c>
      <c r="B573" s="1">
        <f>IFERROR(__xludf.DUMMYFUNCTION("""COMPUTED_VALUE"""),2072.15)</f>
        <v>2072.15</v>
      </c>
    </row>
    <row r="574">
      <c r="A574" s="2">
        <f>IFERROR(__xludf.DUMMYFUNCTION("""COMPUTED_VALUE"""),36623.666666666664)</f>
        <v>36623.66667</v>
      </c>
      <c r="B574" s="1">
        <f>IFERROR(__xludf.DUMMYFUNCTION("""COMPUTED_VALUE"""),2092.87)</f>
        <v>2092.87</v>
      </c>
    </row>
    <row r="575">
      <c r="A575" s="2">
        <f>IFERROR(__xludf.DUMMYFUNCTION("""COMPUTED_VALUE"""),36626.666666666664)</f>
        <v>36626.66667</v>
      </c>
      <c r="B575" s="1">
        <f>IFERROR(__xludf.DUMMYFUNCTION("""COMPUTED_VALUE"""),2076.46)</f>
        <v>2076.46</v>
      </c>
    </row>
    <row r="576">
      <c r="A576" s="2">
        <f>IFERROR(__xludf.DUMMYFUNCTION("""COMPUTED_VALUE"""),36627.666666666664)</f>
        <v>36627.66667</v>
      </c>
      <c r="B576" s="1">
        <f>IFERROR(__xludf.DUMMYFUNCTION("""COMPUTED_VALUE"""),2071.22)</f>
        <v>2071.22</v>
      </c>
    </row>
    <row r="577">
      <c r="A577" s="2">
        <f>IFERROR(__xludf.DUMMYFUNCTION("""COMPUTED_VALUE"""),36628.666666666664)</f>
        <v>36628.66667</v>
      </c>
      <c r="B577" s="1">
        <f>IFERROR(__xludf.DUMMYFUNCTION("""COMPUTED_VALUE"""),2025.23)</f>
        <v>2025.23</v>
      </c>
    </row>
    <row r="578">
      <c r="A578" s="2">
        <f>IFERROR(__xludf.DUMMYFUNCTION("""COMPUTED_VALUE"""),36629.666666666664)</f>
        <v>36629.66667</v>
      </c>
      <c r="B578" s="1">
        <f>IFERROR(__xludf.DUMMYFUNCTION("""COMPUTED_VALUE"""),1988.43)</f>
        <v>1988.43</v>
      </c>
    </row>
    <row r="579">
      <c r="A579" s="2">
        <f>IFERROR(__xludf.DUMMYFUNCTION("""COMPUTED_VALUE"""),36630.666666666664)</f>
        <v>36630.66667</v>
      </c>
      <c r="B579" s="1">
        <f>IFERROR(__xludf.DUMMYFUNCTION("""COMPUTED_VALUE"""),1872.55)</f>
        <v>1872.55</v>
      </c>
    </row>
    <row r="580">
      <c r="A580" s="2">
        <f>IFERROR(__xludf.DUMMYFUNCTION("""COMPUTED_VALUE"""),36633.666666666664)</f>
        <v>36633.66667</v>
      </c>
      <c r="B580" s="1">
        <f>IFERROR(__xludf.DUMMYFUNCTION("""COMPUTED_VALUE"""),1934.5)</f>
        <v>1934.5</v>
      </c>
    </row>
    <row r="581">
      <c r="A581" s="2">
        <f>IFERROR(__xludf.DUMMYFUNCTION("""COMPUTED_VALUE"""),36634.666666666664)</f>
        <v>36634.66667</v>
      </c>
      <c r="B581" s="1">
        <f>IFERROR(__xludf.DUMMYFUNCTION("""COMPUTED_VALUE"""),1990.04)</f>
        <v>1990.04</v>
      </c>
    </row>
    <row r="582">
      <c r="A582" s="2">
        <f>IFERROR(__xludf.DUMMYFUNCTION("""COMPUTED_VALUE"""),36635.666666666664)</f>
        <v>36635.66667</v>
      </c>
      <c r="B582" s="1">
        <f>IFERROR(__xludf.DUMMYFUNCTION("""COMPUTED_VALUE"""),1970.58)</f>
        <v>1970.58</v>
      </c>
    </row>
    <row r="583">
      <c r="A583" s="2">
        <f>IFERROR(__xludf.DUMMYFUNCTION("""COMPUTED_VALUE"""),36636.666666666664)</f>
        <v>36636.66667</v>
      </c>
      <c r="B583" s="1">
        <f>IFERROR(__xludf.DUMMYFUNCTION("""COMPUTED_VALUE"""),1980.36)</f>
        <v>1980.36</v>
      </c>
    </row>
    <row r="584">
      <c r="A584" s="2">
        <f>IFERROR(__xludf.DUMMYFUNCTION("""COMPUTED_VALUE"""),36640.666666666664)</f>
        <v>36640.66667</v>
      </c>
      <c r="B584" s="1">
        <f>IFERROR(__xludf.DUMMYFUNCTION("""COMPUTED_VALUE"""),1973.91)</f>
        <v>1973.91</v>
      </c>
    </row>
    <row r="585">
      <c r="A585" s="2">
        <f>IFERROR(__xludf.DUMMYFUNCTION("""COMPUTED_VALUE"""),36641.666666666664)</f>
        <v>36641.66667</v>
      </c>
      <c r="B585" s="1">
        <f>IFERROR(__xludf.DUMMYFUNCTION("""COMPUTED_VALUE"""),2039.6)</f>
        <v>2039.6</v>
      </c>
    </row>
    <row r="586">
      <c r="A586" s="2">
        <f>IFERROR(__xludf.DUMMYFUNCTION("""COMPUTED_VALUE"""),36642.666666666664)</f>
        <v>36642.66667</v>
      </c>
      <c r="B586" s="1">
        <f>IFERROR(__xludf.DUMMYFUNCTION("""COMPUTED_VALUE"""),2017.04)</f>
        <v>2017.04</v>
      </c>
    </row>
    <row r="587">
      <c r="A587" s="2">
        <f>IFERROR(__xludf.DUMMYFUNCTION("""COMPUTED_VALUE"""),36643.666666666664)</f>
        <v>36643.66667</v>
      </c>
      <c r="B587" s="1">
        <f>IFERROR(__xludf.DUMMYFUNCTION("""COMPUTED_VALUE"""),2022.68)</f>
        <v>2022.68</v>
      </c>
    </row>
    <row r="588">
      <c r="A588" s="2">
        <f>IFERROR(__xludf.DUMMYFUNCTION("""COMPUTED_VALUE"""),36644.666666666664)</f>
        <v>36644.66667</v>
      </c>
      <c r="B588" s="1">
        <f>IFERROR(__xludf.DUMMYFUNCTION("""COMPUTED_VALUE"""),2005.55)</f>
        <v>2005.55</v>
      </c>
    </row>
    <row r="589">
      <c r="A589" s="2">
        <f>IFERROR(__xludf.DUMMYFUNCTION("""COMPUTED_VALUE"""),36647.666666666664)</f>
        <v>36647.66667</v>
      </c>
      <c r="B589" s="1">
        <f>IFERROR(__xludf.DUMMYFUNCTION("""COMPUTED_VALUE"""),2027.4)</f>
        <v>2027.4</v>
      </c>
    </row>
    <row r="590">
      <c r="A590" s="2">
        <f>IFERROR(__xludf.DUMMYFUNCTION("""COMPUTED_VALUE"""),36648.666666666664)</f>
        <v>36648.66667</v>
      </c>
      <c r="B590" s="1">
        <f>IFERROR(__xludf.DUMMYFUNCTION("""COMPUTED_VALUE"""),1997.09)</f>
        <v>1997.09</v>
      </c>
    </row>
    <row r="591">
      <c r="A591" s="2">
        <f>IFERROR(__xludf.DUMMYFUNCTION("""COMPUTED_VALUE"""),36649.666666666664)</f>
        <v>36649.66667</v>
      </c>
      <c r="B591" s="1">
        <f>IFERROR(__xludf.DUMMYFUNCTION("""COMPUTED_VALUE"""),1954.23)</f>
        <v>1954.23</v>
      </c>
    </row>
    <row r="592">
      <c r="A592" s="2">
        <f>IFERROR(__xludf.DUMMYFUNCTION("""COMPUTED_VALUE"""),36650.666666666664)</f>
        <v>36650.66667</v>
      </c>
      <c r="B592" s="1">
        <f>IFERROR(__xludf.DUMMYFUNCTION("""COMPUTED_VALUE"""),1946.65)</f>
        <v>1946.65</v>
      </c>
    </row>
    <row r="593">
      <c r="A593" s="2">
        <f>IFERROR(__xludf.DUMMYFUNCTION("""COMPUTED_VALUE"""),36651.666666666664)</f>
        <v>36651.66667</v>
      </c>
      <c r="B593" s="1">
        <f>IFERROR(__xludf.DUMMYFUNCTION("""COMPUTED_VALUE"""),1978.52)</f>
        <v>1978.52</v>
      </c>
    </row>
    <row r="594">
      <c r="A594" s="2">
        <f>IFERROR(__xludf.DUMMYFUNCTION("""COMPUTED_VALUE"""),36654.666666666664)</f>
        <v>36654.66667</v>
      </c>
      <c r="B594" s="1">
        <f>IFERROR(__xludf.DUMMYFUNCTION("""COMPUTED_VALUE"""),1967.01)</f>
        <v>1967.01</v>
      </c>
    </row>
    <row r="595">
      <c r="A595" s="2">
        <f>IFERROR(__xludf.DUMMYFUNCTION("""COMPUTED_VALUE"""),36655.666666666664)</f>
        <v>36655.66667</v>
      </c>
      <c r="B595" s="1">
        <f>IFERROR(__xludf.DUMMYFUNCTION("""COMPUTED_VALUE"""),1950.5)</f>
        <v>1950.5</v>
      </c>
    </row>
    <row r="596">
      <c r="A596" s="2">
        <f>IFERROR(__xludf.DUMMYFUNCTION("""COMPUTED_VALUE"""),36656.666666666664)</f>
        <v>36656.66667</v>
      </c>
      <c r="B596" s="1">
        <f>IFERROR(__xludf.DUMMYFUNCTION("""COMPUTED_VALUE"""),1910.79)</f>
        <v>1910.79</v>
      </c>
    </row>
    <row r="597">
      <c r="A597" s="2">
        <f>IFERROR(__xludf.DUMMYFUNCTION("""COMPUTED_VALUE"""),36657.666666666664)</f>
        <v>36657.66667</v>
      </c>
      <c r="B597" s="1">
        <f>IFERROR(__xludf.DUMMYFUNCTION("""COMPUTED_VALUE"""),1945.38)</f>
        <v>1945.38</v>
      </c>
    </row>
    <row r="598">
      <c r="A598" s="2">
        <f>IFERROR(__xludf.DUMMYFUNCTION("""COMPUTED_VALUE"""),36658.666666666664)</f>
        <v>36658.66667</v>
      </c>
      <c r="B598" s="1">
        <f>IFERROR(__xludf.DUMMYFUNCTION("""COMPUTED_VALUE"""),1963.59)</f>
        <v>1963.59</v>
      </c>
    </row>
    <row r="599">
      <c r="A599" s="2">
        <f>IFERROR(__xludf.DUMMYFUNCTION("""COMPUTED_VALUE"""),36661.666666666664)</f>
        <v>36661.66667</v>
      </c>
      <c r="B599" s="1">
        <f>IFERROR(__xludf.DUMMYFUNCTION("""COMPUTED_VALUE"""),2007.03)</f>
        <v>2007.03</v>
      </c>
    </row>
    <row r="600">
      <c r="A600" s="2">
        <f>IFERROR(__xludf.DUMMYFUNCTION("""COMPUTED_VALUE"""),36662.666666666664)</f>
        <v>36662.66667</v>
      </c>
      <c r="B600" s="1">
        <f>IFERROR(__xludf.DUMMYFUNCTION("""COMPUTED_VALUE"""),2025.96)</f>
        <v>2025.96</v>
      </c>
    </row>
    <row r="601">
      <c r="A601" s="2">
        <f>IFERROR(__xludf.DUMMYFUNCTION("""COMPUTED_VALUE"""),36663.666666666664)</f>
        <v>36663.66667</v>
      </c>
      <c r="B601" s="1">
        <f>IFERROR(__xludf.DUMMYFUNCTION("""COMPUTED_VALUE"""),2000.94)</f>
        <v>2000.94</v>
      </c>
    </row>
    <row r="602">
      <c r="A602" s="2">
        <f>IFERROR(__xludf.DUMMYFUNCTION("""COMPUTED_VALUE"""),36664.666666666664)</f>
        <v>36664.66667</v>
      </c>
      <c r="B602" s="1">
        <f>IFERROR(__xludf.DUMMYFUNCTION("""COMPUTED_VALUE"""),1986.4)</f>
        <v>1986.4</v>
      </c>
    </row>
    <row r="603">
      <c r="A603" s="2">
        <f>IFERROR(__xludf.DUMMYFUNCTION("""COMPUTED_VALUE"""),36665.666666666664)</f>
        <v>36665.66667</v>
      </c>
      <c r="B603" s="1">
        <f>IFERROR(__xludf.DUMMYFUNCTION("""COMPUTED_VALUE"""),1944.65)</f>
        <v>1944.65</v>
      </c>
    </row>
    <row r="604">
      <c r="A604" s="2">
        <f>IFERROR(__xludf.DUMMYFUNCTION("""COMPUTED_VALUE"""),36668.666666666664)</f>
        <v>36668.66667</v>
      </c>
      <c r="B604" s="1">
        <f>IFERROR(__xludf.DUMMYFUNCTION("""COMPUTED_VALUE"""),1936.04)</f>
        <v>1936.04</v>
      </c>
    </row>
    <row r="605">
      <c r="A605" s="2">
        <f>IFERROR(__xludf.DUMMYFUNCTION("""COMPUTED_VALUE"""),36669.666666666664)</f>
        <v>36669.66667</v>
      </c>
      <c r="B605" s="1">
        <f>IFERROR(__xludf.DUMMYFUNCTION("""COMPUTED_VALUE"""),1898.94)</f>
        <v>1898.94</v>
      </c>
    </row>
    <row r="606">
      <c r="A606" s="2">
        <f>IFERROR(__xludf.DUMMYFUNCTION("""COMPUTED_VALUE"""),36670.666666666664)</f>
        <v>36670.66667</v>
      </c>
      <c r="B606" s="1">
        <f>IFERROR(__xludf.DUMMYFUNCTION("""COMPUTED_VALUE"""),1933.85)</f>
        <v>1933.85</v>
      </c>
    </row>
    <row r="607">
      <c r="A607" s="2">
        <f>IFERROR(__xludf.DUMMYFUNCTION("""COMPUTED_VALUE"""),36671.666666666664)</f>
        <v>36671.66667</v>
      </c>
      <c r="B607" s="1">
        <f>IFERROR(__xludf.DUMMYFUNCTION("""COMPUTED_VALUE"""),1909.67)</f>
        <v>1909.67</v>
      </c>
    </row>
    <row r="608">
      <c r="A608" s="2">
        <f>IFERROR(__xludf.DUMMYFUNCTION("""COMPUTED_VALUE"""),36672.666666666664)</f>
        <v>36672.66667</v>
      </c>
      <c r="B608" s="1">
        <f>IFERROR(__xludf.DUMMYFUNCTION("""COMPUTED_VALUE"""),1904.98)</f>
        <v>1904.98</v>
      </c>
    </row>
    <row r="609">
      <c r="A609" s="2">
        <f>IFERROR(__xludf.DUMMYFUNCTION("""COMPUTED_VALUE"""),36676.666666666664)</f>
        <v>36676.66667</v>
      </c>
      <c r="B609" s="1">
        <f>IFERROR(__xludf.DUMMYFUNCTION("""COMPUTED_VALUE"""),1966.59)</f>
        <v>1966.59</v>
      </c>
    </row>
    <row r="610">
      <c r="A610" s="2">
        <f>IFERROR(__xludf.DUMMYFUNCTION("""COMPUTED_VALUE"""),36677.666666666664)</f>
        <v>36677.66667</v>
      </c>
      <c r="B610" s="1">
        <f>IFERROR(__xludf.DUMMYFUNCTION("""COMPUTED_VALUE"""),1964.4)</f>
        <v>1964.4</v>
      </c>
    </row>
    <row r="611">
      <c r="A611" s="2">
        <f>IFERROR(__xludf.DUMMYFUNCTION("""COMPUTED_VALUE"""),36678.666666666664)</f>
        <v>36678.66667</v>
      </c>
      <c r="B611" s="1">
        <f>IFERROR(__xludf.DUMMYFUNCTION("""COMPUTED_VALUE"""),2003.45)</f>
        <v>2003.45</v>
      </c>
    </row>
    <row r="612">
      <c r="A612" s="2">
        <f>IFERROR(__xludf.DUMMYFUNCTION("""COMPUTED_VALUE"""),36679.666666666664)</f>
        <v>36679.66667</v>
      </c>
      <c r="B612" s="1">
        <f>IFERROR(__xludf.DUMMYFUNCTION("""COMPUTED_VALUE"""),2042.79)</f>
        <v>2042.79</v>
      </c>
    </row>
    <row r="613">
      <c r="A613" s="2">
        <f>IFERROR(__xludf.DUMMYFUNCTION("""COMPUTED_VALUE"""),36682.666666666664)</f>
        <v>36682.66667</v>
      </c>
      <c r="B613" s="1">
        <f>IFERROR(__xludf.DUMMYFUNCTION("""COMPUTED_VALUE"""),2029.5)</f>
        <v>2029.5</v>
      </c>
    </row>
    <row r="614">
      <c r="A614" s="2">
        <f>IFERROR(__xludf.DUMMYFUNCTION("""COMPUTED_VALUE"""),36683.666666666664)</f>
        <v>36683.66667</v>
      </c>
      <c r="B614" s="1">
        <f>IFERROR(__xludf.DUMMYFUNCTION("""COMPUTED_VALUE"""),2015.98)</f>
        <v>2015.98</v>
      </c>
    </row>
    <row r="615">
      <c r="A615" s="2">
        <f>IFERROR(__xludf.DUMMYFUNCTION("""COMPUTED_VALUE"""),36684.666666666664)</f>
        <v>36684.66667</v>
      </c>
      <c r="B615" s="1">
        <f>IFERROR(__xludf.DUMMYFUNCTION("""COMPUTED_VALUE"""),2034.91)</f>
        <v>2034.91</v>
      </c>
    </row>
    <row r="616">
      <c r="A616" s="2">
        <f>IFERROR(__xludf.DUMMYFUNCTION("""COMPUTED_VALUE"""),36685.666666666664)</f>
        <v>36685.66667</v>
      </c>
      <c r="B616" s="1">
        <f>IFERROR(__xludf.DUMMYFUNCTION("""COMPUTED_VALUE"""),2021.56)</f>
        <v>2021.56</v>
      </c>
    </row>
    <row r="617">
      <c r="A617" s="2">
        <f>IFERROR(__xludf.DUMMYFUNCTION("""COMPUTED_VALUE"""),36686.666666666664)</f>
        <v>36686.66667</v>
      </c>
      <c r="B617" s="1">
        <f>IFERROR(__xludf.DUMMYFUNCTION("""COMPUTED_VALUE"""),2015.03)</f>
        <v>2015.03</v>
      </c>
    </row>
    <row r="618">
      <c r="A618" s="2">
        <f>IFERROR(__xludf.DUMMYFUNCTION("""COMPUTED_VALUE"""),36689.666666666664)</f>
        <v>36689.66667</v>
      </c>
      <c r="B618" s="1">
        <f>IFERROR(__xludf.DUMMYFUNCTION("""COMPUTED_VALUE"""),1999.92)</f>
        <v>1999.92</v>
      </c>
    </row>
    <row r="619">
      <c r="A619" s="2">
        <f>IFERROR(__xludf.DUMMYFUNCTION("""COMPUTED_VALUE"""),36690.666666666664)</f>
        <v>36690.66667</v>
      </c>
      <c r="B619" s="1">
        <f>IFERROR(__xludf.DUMMYFUNCTION("""COMPUTED_VALUE"""),2032.58)</f>
        <v>2032.58</v>
      </c>
    </row>
    <row r="620">
      <c r="A620" s="2">
        <f>IFERROR(__xludf.DUMMYFUNCTION("""COMPUTED_VALUE"""),36691.666666666664)</f>
        <v>36691.66667</v>
      </c>
      <c r="B620" s="1">
        <f>IFERROR(__xludf.DUMMYFUNCTION("""COMPUTED_VALUE"""),2034.19)</f>
        <v>2034.19</v>
      </c>
    </row>
    <row r="621">
      <c r="A621" s="2">
        <f>IFERROR(__xludf.DUMMYFUNCTION("""COMPUTED_VALUE"""),36692.666666666664)</f>
        <v>36692.66667</v>
      </c>
      <c r="B621" s="1">
        <f>IFERROR(__xludf.DUMMYFUNCTION("""COMPUTED_VALUE"""),2045.52)</f>
        <v>2045.52</v>
      </c>
    </row>
    <row r="622">
      <c r="A622" s="2">
        <f>IFERROR(__xludf.DUMMYFUNCTION("""COMPUTED_VALUE"""),36693.666666666664)</f>
        <v>36693.66667</v>
      </c>
      <c r="B622" s="1">
        <f>IFERROR(__xludf.DUMMYFUNCTION("""COMPUTED_VALUE"""),2026.0)</f>
        <v>2026</v>
      </c>
    </row>
    <row r="623">
      <c r="A623" s="2">
        <f>IFERROR(__xludf.DUMMYFUNCTION("""COMPUTED_VALUE"""),36696.666666666664)</f>
        <v>36696.66667</v>
      </c>
      <c r="B623" s="1">
        <f>IFERROR(__xludf.DUMMYFUNCTION("""COMPUTED_VALUE"""),2055.84)</f>
        <v>2055.84</v>
      </c>
    </row>
    <row r="624">
      <c r="A624" s="2">
        <f>IFERROR(__xludf.DUMMYFUNCTION("""COMPUTED_VALUE"""),36697.666666666664)</f>
        <v>36697.66667</v>
      </c>
      <c r="B624" s="1">
        <f>IFERROR(__xludf.DUMMYFUNCTION("""COMPUTED_VALUE"""),2041.94)</f>
        <v>2041.94</v>
      </c>
    </row>
    <row r="625">
      <c r="A625" s="2">
        <f>IFERROR(__xludf.DUMMYFUNCTION("""COMPUTED_VALUE"""),36698.666666666664)</f>
        <v>36698.66667</v>
      </c>
      <c r="B625" s="1">
        <f>IFERROR(__xludf.DUMMYFUNCTION("""COMPUTED_VALUE"""),2046.35)</f>
        <v>2046.35</v>
      </c>
    </row>
    <row r="626">
      <c r="A626" s="2">
        <f>IFERROR(__xludf.DUMMYFUNCTION("""COMPUTED_VALUE"""),36699.666666666664)</f>
        <v>36699.66667</v>
      </c>
      <c r="B626" s="1">
        <f>IFERROR(__xludf.DUMMYFUNCTION("""COMPUTED_VALUE"""),2009.13)</f>
        <v>2009.13</v>
      </c>
    </row>
    <row r="627">
      <c r="A627" s="2">
        <f>IFERROR(__xludf.DUMMYFUNCTION("""COMPUTED_VALUE"""),36700.666666666664)</f>
        <v>36700.66667</v>
      </c>
      <c r="B627" s="1">
        <f>IFERROR(__xludf.DUMMYFUNCTION("""COMPUTED_VALUE"""),1994.33)</f>
        <v>1994.33</v>
      </c>
    </row>
    <row r="628">
      <c r="A628" s="2">
        <f>IFERROR(__xludf.DUMMYFUNCTION("""COMPUTED_VALUE"""),36703.666666666664)</f>
        <v>36703.66667</v>
      </c>
      <c r="B628" s="1">
        <f>IFERROR(__xludf.DUMMYFUNCTION("""COMPUTED_VALUE"""),2013.47)</f>
        <v>2013.47</v>
      </c>
    </row>
    <row r="629">
      <c r="A629" s="2">
        <f>IFERROR(__xludf.DUMMYFUNCTION("""COMPUTED_VALUE"""),36704.666666666664)</f>
        <v>36704.66667</v>
      </c>
      <c r="B629" s="1">
        <f>IFERROR(__xludf.DUMMYFUNCTION("""COMPUTED_VALUE"""),2006.88)</f>
        <v>2006.88</v>
      </c>
    </row>
    <row r="630">
      <c r="A630" s="2">
        <f>IFERROR(__xludf.DUMMYFUNCTION("""COMPUTED_VALUE"""),36705.666666666664)</f>
        <v>36705.66667</v>
      </c>
      <c r="B630" s="1">
        <f>IFERROR(__xludf.DUMMYFUNCTION("""COMPUTED_VALUE"""),2013.08)</f>
        <v>2013.08</v>
      </c>
    </row>
    <row r="631">
      <c r="A631" s="2">
        <f>IFERROR(__xludf.DUMMYFUNCTION("""COMPUTED_VALUE"""),36706.666666666664)</f>
        <v>36706.66667</v>
      </c>
      <c r="B631" s="1">
        <f>IFERROR(__xludf.DUMMYFUNCTION("""COMPUTED_VALUE"""),1995.89)</f>
        <v>1995.89</v>
      </c>
    </row>
    <row r="632">
      <c r="A632" s="2">
        <f>IFERROR(__xludf.DUMMYFUNCTION("""COMPUTED_VALUE"""),36707.666666666664)</f>
        <v>36707.66667</v>
      </c>
      <c r="B632" s="1">
        <f>IFERROR(__xludf.DUMMYFUNCTION("""COMPUTED_VALUE"""),2012.83)</f>
        <v>2012.83</v>
      </c>
    </row>
    <row r="633">
      <c r="A633" s="2">
        <f>IFERROR(__xludf.DUMMYFUNCTION("""COMPUTED_VALUE"""),36710.666666666664)</f>
        <v>36710.66667</v>
      </c>
      <c r="B633" s="1">
        <f>IFERROR(__xludf.DUMMYFUNCTION("""COMPUTED_VALUE"""),2033.58)</f>
        <v>2033.58</v>
      </c>
    </row>
    <row r="634">
      <c r="A634" s="2">
        <f>IFERROR(__xludf.DUMMYFUNCTION("""COMPUTED_VALUE"""),36712.666666666664)</f>
        <v>36712.66667</v>
      </c>
      <c r="B634" s="1">
        <f>IFERROR(__xludf.DUMMYFUNCTION("""COMPUTED_VALUE"""),2001.71)</f>
        <v>2001.71</v>
      </c>
    </row>
    <row r="635">
      <c r="A635" s="2">
        <f>IFERROR(__xludf.DUMMYFUNCTION("""COMPUTED_VALUE"""),36713.666666666664)</f>
        <v>36713.66667</v>
      </c>
      <c r="B635" s="1">
        <f>IFERROR(__xludf.DUMMYFUNCTION("""COMPUTED_VALUE"""),2016.39)</f>
        <v>2016.39</v>
      </c>
    </row>
    <row r="636">
      <c r="A636" s="2">
        <f>IFERROR(__xludf.DUMMYFUNCTION("""COMPUTED_VALUE"""),36714.666666666664)</f>
        <v>36714.66667</v>
      </c>
      <c r="B636" s="1">
        <f>IFERROR(__xludf.DUMMYFUNCTION("""COMPUTED_VALUE"""),2047.19)</f>
        <v>2047.19</v>
      </c>
    </row>
    <row r="637">
      <c r="A637" s="2">
        <f>IFERROR(__xludf.DUMMYFUNCTION("""COMPUTED_VALUE"""),36717.666666666664)</f>
        <v>36717.66667</v>
      </c>
      <c r="B637" s="1">
        <f>IFERROR(__xludf.DUMMYFUNCTION("""COMPUTED_VALUE"""),2042.65)</f>
        <v>2042.65</v>
      </c>
    </row>
    <row r="638">
      <c r="A638" s="2">
        <f>IFERROR(__xludf.DUMMYFUNCTION("""COMPUTED_VALUE"""),36718.666666666664)</f>
        <v>36718.66667</v>
      </c>
      <c r="B638" s="1">
        <f>IFERROR(__xludf.DUMMYFUNCTION("""COMPUTED_VALUE"""),2049.99)</f>
        <v>2049.99</v>
      </c>
    </row>
    <row r="639">
      <c r="A639" s="2">
        <f>IFERROR(__xludf.DUMMYFUNCTION("""COMPUTED_VALUE"""),36719.666666666664)</f>
        <v>36719.66667</v>
      </c>
      <c r="B639" s="1">
        <f>IFERROR(__xludf.DUMMYFUNCTION("""COMPUTED_VALUE"""),2066.79)</f>
        <v>2066.79</v>
      </c>
    </row>
    <row r="640">
      <c r="A640" s="2">
        <f>IFERROR(__xludf.DUMMYFUNCTION("""COMPUTED_VALUE"""),36720.666666666664)</f>
        <v>36720.66667</v>
      </c>
      <c r="B640" s="1">
        <f>IFERROR(__xludf.DUMMYFUNCTION("""COMPUTED_VALUE"""),2070.86)</f>
        <v>2070.86</v>
      </c>
    </row>
    <row r="641">
      <c r="A641" s="2">
        <f>IFERROR(__xludf.DUMMYFUNCTION("""COMPUTED_VALUE"""),36721.666666666664)</f>
        <v>36721.66667</v>
      </c>
      <c r="B641" s="1">
        <f>IFERROR(__xludf.DUMMYFUNCTION("""COMPUTED_VALUE"""),2090.44)</f>
        <v>2090.44</v>
      </c>
    </row>
    <row r="642">
      <c r="A642" s="2">
        <f>IFERROR(__xludf.DUMMYFUNCTION("""COMPUTED_VALUE"""),36724.666666666664)</f>
        <v>36724.66667</v>
      </c>
      <c r="B642" s="1">
        <f>IFERROR(__xludf.DUMMYFUNCTION("""COMPUTED_VALUE"""),2091.14)</f>
        <v>2091.14</v>
      </c>
    </row>
    <row r="643">
      <c r="A643" s="2">
        <f>IFERROR(__xludf.DUMMYFUNCTION("""COMPUTED_VALUE"""),36725.666666666664)</f>
        <v>36725.66667</v>
      </c>
      <c r="B643" s="1">
        <f>IFERROR(__xludf.DUMMYFUNCTION("""COMPUTED_VALUE"""),2067.97)</f>
        <v>2067.97</v>
      </c>
    </row>
    <row r="644">
      <c r="A644" s="2">
        <f>IFERROR(__xludf.DUMMYFUNCTION("""COMPUTED_VALUE"""),36726.666666666664)</f>
        <v>36726.66667</v>
      </c>
      <c r="B644" s="1">
        <f>IFERROR(__xludf.DUMMYFUNCTION("""COMPUTED_VALUE"""),2051.76)</f>
        <v>2051.76</v>
      </c>
    </row>
    <row r="645">
      <c r="A645" s="2">
        <f>IFERROR(__xludf.DUMMYFUNCTION("""COMPUTED_VALUE"""),36727.666666666664)</f>
        <v>36727.66667</v>
      </c>
      <c r="B645" s="1">
        <f>IFERROR(__xludf.DUMMYFUNCTION("""COMPUTED_VALUE"""),2070.61)</f>
        <v>2070.61</v>
      </c>
    </row>
    <row r="646">
      <c r="A646" s="2">
        <f>IFERROR(__xludf.DUMMYFUNCTION("""COMPUTED_VALUE"""),36728.666666666664)</f>
        <v>36728.66667</v>
      </c>
      <c r="B646" s="1">
        <f>IFERROR(__xludf.DUMMYFUNCTION("""COMPUTED_VALUE"""),2049.31)</f>
        <v>2049.31</v>
      </c>
    </row>
    <row r="647">
      <c r="A647" s="2">
        <f>IFERROR(__xludf.DUMMYFUNCTION("""COMPUTED_VALUE"""),36731.666666666664)</f>
        <v>36731.66667</v>
      </c>
      <c r="B647" s="1">
        <f>IFERROR(__xludf.DUMMYFUNCTION("""COMPUTED_VALUE"""),2027.41)</f>
        <v>2027.41</v>
      </c>
    </row>
    <row r="648">
      <c r="A648" s="2">
        <f>IFERROR(__xludf.DUMMYFUNCTION("""COMPUTED_VALUE"""),36732.666666666664)</f>
        <v>36732.66667</v>
      </c>
      <c r="B648" s="1">
        <f>IFERROR(__xludf.DUMMYFUNCTION("""COMPUTED_VALUE"""),2041.51)</f>
        <v>2041.51</v>
      </c>
    </row>
    <row r="649">
      <c r="A649" s="2">
        <f>IFERROR(__xludf.DUMMYFUNCTION("""COMPUTED_VALUE"""),36733.666666666664)</f>
        <v>36733.66667</v>
      </c>
      <c r="B649" s="1">
        <f>IFERROR(__xludf.DUMMYFUNCTION("""COMPUTED_VALUE"""),2011.01)</f>
        <v>2011.01</v>
      </c>
    </row>
    <row r="650">
      <c r="A650" s="2">
        <f>IFERROR(__xludf.DUMMYFUNCTION("""COMPUTED_VALUE"""),36734.666666666664)</f>
        <v>36734.66667</v>
      </c>
      <c r="B650" s="1">
        <f>IFERROR(__xludf.DUMMYFUNCTION("""COMPUTED_VALUE"""),2007.29)</f>
        <v>2007.29</v>
      </c>
    </row>
    <row r="651">
      <c r="A651" s="2">
        <f>IFERROR(__xludf.DUMMYFUNCTION("""COMPUTED_VALUE"""),36735.666666666664)</f>
        <v>36735.66667</v>
      </c>
      <c r="B651" s="1">
        <f>IFERROR(__xludf.DUMMYFUNCTION("""COMPUTED_VALUE"""),1966.2)</f>
        <v>1966.2</v>
      </c>
    </row>
    <row r="652">
      <c r="A652" s="2">
        <f>IFERROR(__xludf.DUMMYFUNCTION("""COMPUTED_VALUE"""),36738.666666666664)</f>
        <v>36738.66667</v>
      </c>
      <c r="B652" s="1">
        <f>IFERROR(__xludf.DUMMYFUNCTION("""COMPUTED_VALUE"""),1981.36)</f>
        <v>1981.36</v>
      </c>
    </row>
    <row r="653">
      <c r="A653" s="2">
        <f>IFERROR(__xludf.DUMMYFUNCTION("""COMPUTED_VALUE"""),36739.666666666664)</f>
        <v>36739.66667</v>
      </c>
      <c r="B653" s="1">
        <f>IFERROR(__xludf.DUMMYFUNCTION("""COMPUTED_VALUE"""),1991.43)</f>
        <v>1991.43</v>
      </c>
    </row>
    <row r="654">
      <c r="A654" s="2">
        <f>IFERROR(__xludf.DUMMYFUNCTION("""COMPUTED_VALUE"""),36740.666666666664)</f>
        <v>36740.66667</v>
      </c>
      <c r="B654" s="1">
        <f>IFERROR(__xludf.DUMMYFUNCTION("""COMPUTED_VALUE"""),1992.41)</f>
        <v>1992.41</v>
      </c>
    </row>
    <row r="655">
      <c r="A655" s="2">
        <f>IFERROR(__xludf.DUMMYFUNCTION("""COMPUTED_VALUE"""),36741.666666666664)</f>
        <v>36741.66667</v>
      </c>
      <c r="B655" s="1">
        <f>IFERROR(__xludf.DUMMYFUNCTION("""COMPUTED_VALUE"""),2011.8)</f>
        <v>2011.8</v>
      </c>
    </row>
    <row r="656">
      <c r="A656" s="2">
        <f>IFERROR(__xludf.DUMMYFUNCTION("""COMPUTED_VALUE"""),36742.666666666664)</f>
        <v>36742.66667</v>
      </c>
      <c r="B656" s="1">
        <f>IFERROR(__xludf.DUMMYFUNCTION("""COMPUTED_VALUE"""),2026.4)</f>
        <v>2026.4</v>
      </c>
    </row>
    <row r="657">
      <c r="A657" s="2">
        <f>IFERROR(__xludf.DUMMYFUNCTION("""COMPUTED_VALUE"""),36745.666666666664)</f>
        <v>36745.66667</v>
      </c>
      <c r="B657" s="1">
        <f>IFERROR(__xludf.DUMMYFUNCTION("""COMPUTED_VALUE"""),2049.14)</f>
        <v>2049.14</v>
      </c>
    </row>
    <row r="658">
      <c r="A658" s="2">
        <f>IFERROR(__xludf.DUMMYFUNCTION("""COMPUTED_VALUE"""),36746.666666666664)</f>
        <v>36746.66667</v>
      </c>
      <c r="B658" s="1">
        <f>IFERROR(__xludf.DUMMYFUNCTION("""COMPUTED_VALUE"""),2054.11)</f>
        <v>2054.11</v>
      </c>
    </row>
    <row r="659">
      <c r="A659" s="2">
        <f>IFERROR(__xludf.DUMMYFUNCTION("""COMPUTED_VALUE"""),36747.666666666664)</f>
        <v>36747.66667</v>
      </c>
      <c r="B659" s="1">
        <f>IFERROR(__xludf.DUMMYFUNCTION("""COMPUTED_VALUE"""),2040.55)</f>
        <v>2040.55</v>
      </c>
    </row>
    <row r="660">
      <c r="A660" s="2">
        <f>IFERROR(__xludf.DUMMYFUNCTION("""COMPUTED_VALUE"""),36748.666666666664)</f>
        <v>36748.66667</v>
      </c>
      <c r="B660" s="1">
        <f>IFERROR(__xludf.DUMMYFUNCTION("""COMPUTED_VALUE"""),2023.33)</f>
        <v>2023.33</v>
      </c>
    </row>
    <row r="661">
      <c r="A661" s="2">
        <f>IFERROR(__xludf.DUMMYFUNCTION("""COMPUTED_VALUE"""),36749.666666666664)</f>
        <v>36749.66667</v>
      </c>
      <c r="B661" s="1">
        <f>IFERROR(__xludf.DUMMYFUNCTION("""COMPUTED_VALUE"""),2039.51)</f>
        <v>2039.51</v>
      </c>
    </row>
    <row r="662">
      <c r="A662" s="2">
        <f>IFERROR(__xludf.DUMMYFUNCTION("""COMPUTED_VALUE"""),36752.666666666664)</f>
        <v>36752.66667</v>
      </c>
      <c r="B662" s="1">
        <f>IFERROR(__xludf.DUMMYFUNCTION("""COMPUTED_VALUE"""),2066.9)</f>
        <v>2066.9</v>
      </c>
    </row>
    <row r="663">
      <c r="A663" s="2">
        <f>IFERROR(__xludf.DUMMYFUNCTION("""COMPUTED_VALUE"""),36753.666666666664)</f>
        <v>36753.66667</v>
      </c>
      <c r="B663" s="1">
        <f>IFERROR(__xludf.DUMMYFUNCTION("""COMPUTED_VALUE"""),2057.03)</f>
        <v>2057.03</v>
      </c>
    </row>
    <row r="664">
      <c r="A664" s="2">
        <f>IFERROR(__xludf.DUMMYFUNCTION("""COMPUTED_VALUE"""),36754.666666666664)</f>
        <v>36754.66667</v>
      </c>
      <c r="B664" s="1">
        <f>IFERROR(__xludf.DUMMYFUNCTION("""COMPUTED_VALUE"""),2050.93)</f>
        <v>2050.93</v>
      </c>
    </row>
    <row r="665">
      <c r="A665" s="2">
        <f>IFERROR(__xludf.DUMMYFUNCTION("""COMPUTED_VALUE"""),36755.666666666664)</f>
        <v>36755.66667</v>
      </c>
      <c r="B665" s="1">
        <f>IFERROR(__xludf.DUMMYFUNCTION("""COMPUTED_VALUE"""),2073.44)</f>
        <v>2073.44</v>
      </c>
    </row>
    <row r="666">
      <c r="A666" s="2">
        <f>IFERROR(__xludf.DUMMYFUNCTION("""COMPUTED_VALUE"""),36756.666666666664)</f>
        <v>36756.66667</v>
      </c>
      <c r="B666" s="1">
        <f>IFERROR(__xludf.DUMMYFUNCTION("""COMPUTED_VALUE"""),2067.48)</f>
        <v>2067.48</v>
      </c>
    </row>
    <row r="667">
      <c r="A667" s="2">
        <f>IFERROR(__xludf.DUMMYFUNCTION("""COMPUTED_VALUE"""),36759.666666666664)</f>
        <v>36759.66667</v>
      </c>
      <c r="B667" s="1">
        <f>IFERROR(__xludf.DUMMYFUNCTION("""COMPUTED_VALUE"""),2078.25)</f>
        <v>2078.25</v>
      </c>
    </row>
    <row r="668">
      <c r="A668" s="2">
        <f>IFERROR(__xludf.DUMMYFUNCTION("""COMPUTED_VALUE"""),36760.666666666664)</f>
        <v>36760.66667</v>
      </c>
      <c r="B668" s="1">
        <f>IFERROR(__xludf.DUMMYFUNCTION("""COMPUTED_VALUE"""),2076.38)</f>
        <v>2076.38</v>
      </c>
    </row>
    <row r="669">
      <c r="A669" s="2">
        <f>IFERROR(__xludf.DUMMYFUNCTION("""COMPUTED_VALUE"""),36761.666666666664)</f>
        <v>36761.66667</v>
      </c>
      <c r="B669" s="1">
        <f>IFERROR(__xludf.DUMMYFUNCTION("""COMPUTED_VALUE"""),2087.4)</f>
        <v>2087.4</v>
      </c>
    </row>
    <row r="670">
      <c r="A670" s="2">
        <f>IFERROR(__xludf.DUMMYFUNCTION("""COMPUTED_VALUE"""),36762.666666666664)</f>
        <v>36762.66667</v>
      </c>
      <c r="B670" s="1">
        <f>IFERROR(__xludf.DUMMYFUNCTION("""COMPUTED_VALUE"""),2090.66)</f>
        <v>2090.66</v>
      </c>
    </row>
    <row r="671">
      <c r="A671" s="2">
        <f>IFERROR(__xludf.DUMMYFUNCTION("""COMPUTED_VALUE"""),36763.666666666664)</f>
        <v>36763.66667</v>
      </c>
      <c r="B671" s="1">
        <f>IFERROR(__xludf.DUMMYFUNCTION("""COMPUTED_VALUE"""),2088.1)</f>
        <v>2088.1</v>
      </c>
    </row>
    <row r="672">
      <c r="A672" s="2">
        <f>IFERROR(__xludf.DUMMYFUNCTION("""COMPUTED_VALUE"""),36766.666666666664)</f>
        <v>36766.66667</v>
      </c>
      <c r="B672" s="1">
        <f>IFERROR(__xludf.DUMMYFUNCTION("""COMPUTED_VALUE"""),2098.72)</f>
        <v>2098.72</v>
      </c>
    </row>
    <row r="673">
      <c r="A673" s="2">
        <f>IFERROR(__xludf.DUMMYFUNCTION("""COMPUTED_VALUE"""),36767.666666666664)</f>
        <v>36767.66667</v>
      </c>
      <c r="B673" s="1">
        <f>IFERROR(__xludf.DUMMYFUNCTION("""COMPUTED_VALUE"""),2092.99)</f>
        <v>2092.99</v>
      </c>
    </row>
    <row r="674">
      <c r="A674" s="2">
        <f>IFERROR(__xludf.DUMMYFUNCTION("""COMPUTED_VALUE"""),36768.666666666664)</f>
        <v>36768.66667</v>
      </c>
      <c r="B674" s="1">
        <f>IFERROR(__xludf.DUMMYFUNCTION("""COMPUTED_VALUE"""),2083.48)</f>
        <v>2083.48</v>
      </c>
    </row>
    <row r="675">
      <c r="A675" s="2">
        <f>IFERROR(__xludf.DUMMYFUNCTION("""COMPUTED_VALUE"""),36769.666666666664)</f>
        <v>36769.66667</v>
      </c>
      <c r="B675" s="1">
        <f>IFERROR(__xludf.DUMMYFUNCTION("""COMPUTED_VALUE"""),2104.43)</f>
        <v>2104.43</v>
      </c>
    </row>
    <row r="676">
      <c r="A676" s="2">
        <f>IFERROR(__xludf.DUMMYFUNCTION("""COMPUTED_VALUE"""),36770.666666666664)</f>
        <v>36770.66667</v>
      </c>
      <c r="B676" s="1">
        <f>IFERROR(__xludf.DUMMYFUNCTION("""COMPUTED_VALUE"""),2108.76)</f>
        <v>2108.76</v>
      </c>
    </row>
    <row r="677">
      <c r="A677" s="2">
        <f>IFERROR(__xludf.DUMMYFUNCTION("""COMPUTED_VALUE"""),36774.666666666664)</f>
        <v>36774.66667</v>
      </c>
      <c r="B677" s="1">
        <f>IFERROR(__xludf.DUMMYFUNCTION("""COMPUTED_VALUE"""),2089.77)</f>
        <v>2089.77</v>
      </c>
    </row>
    <row r="678">
      <c r="A678" s="2">
        <f>IFERROR(__xludf.DUMMYFUNCTION("""COMPUTED_VALUE"""),36775.666666666664)</f>
        <v>36775.66667</v>
      </c>
      <c r="B678" s="1">
        <f>IFERROR(__xludf.DUMMYFUNCTION("""COMPUTED_VALUE"""),2069.4)</f>
        <v>2069.4</v>
      </c>
    </row>
    <row r="679">
      <c r="A679" s="2">
        <f>IFERROR(__xludf.DUMMYFUNCTION("""COMPUTED_VALUE"""),36776.666666666664)</f>
        <v>36776.66667</v>
      </c>
      <c r="B679" s="1">
        <f>IFERROR(__xludf.DUMMYFUNCTION("""COMPUTED_VALUE"""),2083.68)</f>
        <v>2083.68</v>
      </c>
    </row>
    <row r="680">
      <c r="A680" s="2">
        <f>IFERROR(__xludf.DUMMYFUNCTION("""COMPUTED_VALUE"""),36777.666666666664)</f>
        <v>36777.66667</v>
      </c>
      <c r="B680" s="1">
        <f>IFERROR(__xludf.DUMMYFUNCTION("""COMPUTED_VALUE"""),2072.58)</f>
        <v>2072.58</v>
      </c>
    </row>
    <row r="681">
      <c r="A681" s="2">
        <f>IFERROR(__xludf.DUMMYFUNCTION("""COMPUTED_VALUE"""),36780.666666666664)</f>
        <v>36780.66667</v>
      </c>
      <c r="B681" s="1">
        <f>IFERROR(__xludf.DUMMYFUNCTION("""COMPUTED_VALUE"""),2065.34)</f>
        <v>2065.34</v>
      </c>
    </row>
    <row r="682">
      <c r="A682" s="2">
        <f>IFERROR(__xludf.DUMMYFUNCTION("""COMPUTED_VALUE"""),36781.666666666664)</f>
        <v>36781.66667</v>
      </c>
      <c r="B682" s="1">
        <f>IFERROR(__xludf.DUMMYFUNCTION("""COMPUTED_VALUE"""),2055.26)</f>
        <v>2055.26</v>
      </c>
    </row>
    <row r="683">
      <c r="A683" s="2">
        <f>IFERROR(__xludf.DUMMYFUNCTION("""COMPUTED_VALUE"""),36782.666666666664)</f>
        <v>36782.66667</v>
      </c>
      <c r="B683" s="1">
        <f>IFERROR(__xludf.DUMMYFUNCTION("""COMPUTED_VALUE"""),2059.77)</f>
        <v>2059.77</v>
      </c>
    </row>
    <row r="684">
      <c r="A684" s="2">
        <f>IFERROR(__xludf.DUMMYFUNCTION("""COMPUTED_VALUE"""),36783.666666666664)</f>
        <v>36783.66667</v>
      </c>
      <c r="B684" s="1">
        <f>IFERROR(__xludf.DUMMYFUNCTION("""COMPUTED_VALUE"""),2054.21)</f>
        <v>2054.21</v>
      </c>
    </row>
    <row r="685">
      <c r="A685" s="2">
        <f>IFERROR(__xludf.DUMMYFUNCTION("""COMPUTED_VALUE"""),36784.666666666664)</f>
        <v>36784.66667</v>
      </c>
      <c r="B685" s="1">
        <f>IFERROR(__xludf.DUMMYFUNCTION("""COMPUTED_VALUE"""),2033.32)</f>
        <v>2033.32</v>
      </c>
    </row>
    <row r="686">
      <c r="A686" s="2">
        <f>IFERROR(__xludf.DUMMYFUNCTION("""COMPUTED_VALUE"""),36787.666666666664)</f>
        <v>36787.66667</v>
      </c>
      <c r="B686" s="1">
        <f>IFERROR(__xludf.DUMMYFUNCTION("""COMPUTED_VALUE"""),2003.81)</f>
        <v>2003.81</v>
      </c>
    </row>
    <row r="687">
      <c r="A687" s="2">
        <f>IFERROR(__xludf.DUMMYFUNCTION("""COMPUTED_VALUE"""),36788.666666666664)</f>
        <v>36788.66667</v>
      </c>
      <c r="B687" s="1">
        <f>IFERROR(__xludf.DUMMYFUNCTION("""COMPUTED_VALUE"""),2025.17)</f>
        <v>2025.17</v>
      </c>
    </row>
    <row r="688">
      <c r="A688" s="2">
        <f>IFERROR(__xludf.DUMMYFUNCTION("""COMPUTED_VALUE"""),36789.666666666664)</f>
        <v>36789.66667</v>
      </c>
      <c r="B688" s="1">
        <f>IFERROR(__xludf.DUMMYFUNCTION("""COMPUTED_VALUE"""),2013.34)</f>
        <v>2013.34</v>
      </c>
    </row>
    <row r="689">
      <c r="A689" s="2">
        <f>IFERROR(__xludf.DUMMYFUNCTION("""COMPUTED_VALUE"""),36790.666666666664)</f>
        <v>36790.66667</v>
      </c>
      <c r="B689" s="1">
        <f>IFERROR(__xludf.DUMMYFUNCTION("""COMPUTED_VALUE"""),2010.21)</f>
        <v>2010.21</v>
      </c>
    </row>
    <row r="690">
      <c r="A690" s="2">
        <f>IFERROR(__xludf.DUMMYFUNCTION("""COMPUTED_VALUE"""),36791.666666666664)</f>
        <v>36791.66667</v>
      </c>
      <c r="B690" s="1">
        <f>IFERROR(__xludf.DUMMYFUNCTION("""COMPUTED_VALUE"""),2009.76)</f>
        <v>2009.76</v>
      </c>
    </row>
    <row r="691">
      <c r="A691" s="2">
        <f>IFERROR(__xludf.DUMMYFUNCTION("""COMPUTED_VALUE"""),36794.666666666664)</f>
        <v>36794.66667</v>
      </c>
      <c r="B691" s="1">
        <f>IFERROR(__xludf.DUMMYFUNCTION("""COMPUTED_VALUE"""),1996.32)</f>
        <v>1996.32</v>
      </c>
    </row>
    <row r="692">
      <c r="A692" s="2">
        <f>IFERROR(__xludf.DUMMYFUNCTION("""COMPUTED_VALUE"""),36795.666666666664)</f>
        <v>36795.66667</v>
      </c>
      <c r="B692" s="1">
        <f>IFERROR(__xludf.DUMMYFUNCTION("""COMPUTED_VALUE"""),1979.92)</f>
        <v>1979.92</v>
      </c>
    </row>
    <row r="693">
      <c r="A693" s="2">
        <f>IFERROR(__xludf.DUMMYFUNCTION("""COMPUTED_VALUE"""),36796.666666666664)</f>
        <v>36796.66667</v>
      </c>
      <c r="B693" s="1">
        <f>IFERROR(__xludf.DUMMYFUNCTION("""COMPUTED_VALUE"""),1979.31)</f>
        <v>1979.31</v>
      </c>
    </row>
    <row r="694">
      <c r="A694" s="2">
        <f>IFERROR(__xludf.DUMMYFUNCTION("""COMPUTED_VALUE"""),36797.666666666664)</f>
        <v>36797.66667</v>
      </c>
      <c r="B694" s="1">
        <f>IFERROR(__xludf.DUMMYFUNCTION("""COMPUTED_VALUE"""),2023.33)</f>
        <v>2023.33</v>
      </c>
    </row>
    <row r="695">
      <c r="A695" s="2">
        <f>IFERROR(__xludf.DUMMYFUNCTION("""COMPUTED_VALUE"""),36798.666666666664)</f>
        <v>36798.66667</v>
      </c>
      <c r="B695" s="1">
        <f>IFERROR(__xludf.DUMMYFUNCTION("""COMPUTED_VALUE"""),1993.33)</f>
        <v>1993.33</v>
      </c>
    </row>
    <row r="696">
      <c r="A696" s="2">
        <f>IFERROR(__xludf.DUMMYFUNCTION("""COMPUTED_VALUE"""),36801.666666666664)</f>
        <v>36801.66667</v>
      </c>
      <c r="B696" s="1">
        <f>IFERROR(__xludf.DUMMYFUNCTION("""COMPUTED_VALUE"""),1992.94)</f>
        <v>1992.94</v>
      </c>
    </row>
    <row r="697">
      <c r="A697" s="2">
        <f>IFERROR(__xludf.DUMMYFUNCTION("""COMPUTED_VALUE"""),36802.666666666664)</f>
        <v>36802.66667</v>
      </c>
      <c r="B697" s="1">
        <f>IFERROR(__xludf.DUMMYFUNCTION("""COMPUTED_VALUE"""),1979.44)</f>
        <v>1979.44</v>
      </c>
    </row>
    <row r="698">
      <c r="A698" s="2">
        <f>IFERROR(__xludf.DUMMYFUNCTION("""COMPUTED_VALUE"""),36803.666666666664)</f>
        <v>36803.66667</v>
      </c>
      <c r="B698" s="1">
        <f>IFERROR(__xludf.DUMMYFUNCTION("""COMPUTED_VALUE"""),1990.62)</f>
        <v>1990.62</v>
      </c>
    </row>
    <row r="699">
      <c r="A699" s="2">
        <f>IFERROR(__xludf.DUMMYFUNCTION("""COMPUTED_VALUE"""),36804.666666666664)</f>
        <v>36804.66667</v>
      </c>
      <c r="B699" s="1">
        <f>IFERROR(__xludf.DUMMYFUNCTION("""COMPUTED_VALUE"""),1993.7)</f>
        <v>1993.7</v>
      </c>
    </row>
    <row r="700">
      <c r="A700" s="2">
        <f>IFERROR(__xludf.DUMMYFUNCTION("""COMPUTED_VALUE"""),36805.666666666664)</f>
        <v>36805.66667</v>
      </c>
      <c r="B700" s="1">
        <f>IFERROR(__xludf.DUMMYFUNCTION("""COMPUTED_VALUE"""),1955.82)</f>
        <v>1955.82</v>
      </c>
    </row>
    <row r="701">
      <c r="A701" s="2">
        <f>IFERROR(__xludf.DUMMYFUNCTION("""COMPUTED_VALUE"""),36808.666666666664)</f>
        <v>36808.66667</v>
      </c>
      <c r="B701" s="1">
        <f>IFERROR(__xludf.DUMMYFUNCTION("""COMPUTED_VALUE"""),1946.16)</f>
        <v>1946.16</v>
      </c>
    </row>
    <row r="702">
      <c r="A702" s="2">
        <f>IFERROR(__xludf.DUMMYFUNCTION("""COMPUTED_VALUE"""),36809.666666666664)</f>
        <v>36809.66667</v>
      </c>
      <c r="B702" s="1">
        <f>IFERROR(__xludf.DUMMYFUNCTION("""COMPUTED_VALUE"""),1925.41)</f>
        <v>1925.41</v>
      </c>
    </row>
    <row r="703">
      <c r="A703" s="2">
        <f>IFERROR(__xludf.DUMMYFUNCTION("""COMPUTED_VALUE"""),36810.666666666664)</f>
        <v>36810.66667</v>
      </c>
      <c r="B703" s="1">
        <f>IFERROR(__xludf.DUMMYFUNCTION("""COMPUTED_VALUE"""),1894.37)</f>
        <v>1894.37</v>
      </c>
    </row>
    <row r="704">
      <c r="A704" s="2">
        <f>IFERROR(__xludf.DUMMYFUNCTION("""COMPUTED_VALUE"""),36811.666666666664)</f>
        <v>36811.66667</v>
      </c>
      <c r="B704" s="1">
        <f>IFERROR(__xludf.DUMMYFUNCTION("""COMPUTED_VALUE"""),1846.08)</f>
        <v>1846.08</v>
      </c>
    </row>
    <row r="705">
      <c r="A705" s="2">
        <f>IFERROR(__xludf.DUMMYFUNCTION("""COMPUTED_VALUE"""),36812.666666666664)</f>
        <v>36812.66667</v>
      </c>
      <c r="B705" s="1">
        <f>IFERROR(__xludf.DUMMYFUNCTION("""COMPUTED_VALUE"""),1907.71)</f>
        <v>1907.71</v>
      </c>
    </row>
    <row r="706">
      <c r="A706" s="2">
        <f>IFERROR(__xludf.DUMMYFUNCTION("""COMPUTED_VALUE"""),36815.666666666664)</f>
        <v>36815.66667</v>
      </c>
      <c r="B706" s="1">
        <f>IFERROR(__xludf.DUMMYFUNCTION("""COMPUTED_VALUE"""),1908.34)</f>
        <v>1908.34</v>
      </c>
    </row>
    <row r="707">
      <c r="A707" s="2">
        <f>IFERROR(__xludf.DUMMYFUNCTION("""COMPUTED_VALUE"""),36816.666666666664)</f>
        <v>36816.66667</v>
      </c>
      <c r="B707" s="1">
        <f>IFERROR(__xludf.DUMMYFUNCTION("""COMPUTED_VALUE"""),1874.12)</f>
        <v>1874.12</v>
      </c>
    </row>
    <row r="708">
      <c r="A708" s="2">
        <f>IFERROR(__xludf.DUMMYFUNCTION("""COMPUTED_VALUE"""),36817.666666666664)</f>
        <v>36817.66667</v>
      </c>
      <c r="B708" s="1">
        <f>IFERROR(__xludf.DUMMYFUNCTION("""COMPUTED_VALUE"""),1863.35)</f>
        <v>1863.35</v>
      </c>
    </row>
    <row r="709">
      <c r="A709" s="2">
        <f>IFERROR(__xludf.DUMMYFUNCTION("""COMPUTED_VALUE"""),36818.666666666664)</f>
        <v>36818.66667</v>
      </c>
      <c r="B709" s="1">
        <f>IFERROR(__xludf.DUMMYFUNCTION("""COMPUTED_VALUE"""),1928.1)</f>
        <v>1928.1</v>
      </c>
    </row>
    <row r="710">
      <c r="A710" s="2">
        <f>IFERROR(__xludf.DUMMYFUNCTION("""COMPUTED_VALUE"""),36819.666666666664)</f>
        <v>36819.66667</v>
      </c>
      <c r="B710" s="1">
        <f>IFERROR(__xludf.DUMMYFUNCTION("""COMPUTED_VALUE"""),1939.44)</f>
        <v>1939.44</v>
      </c>
    </row>
    <row r="711">
      <c r="A711" s="2">
        <f>IFERROR(__xludf.DUMMYFUNCTION("""COMPUTED_VALUE"""),36822.666666666664)</f>
        <v>36822.66667</v>
      </c>
      <c r="B711" s="1">
        <f>IFERROR(__xludf.DUMMYFUNCTION("""COMPUTED_VALUE"""),1937.86)</f>
        <v>1937.86</v>
      </c>
    </row>
    <row r="712">
      <c r="A712" s="2">
        <f>IFERROR(__xludf.DUMMYFUNCTION("""COMPUTED_VALUE"""),36823.666666666664)</f>
        <v>36823.66667</v>
      </c>
      <c r="B712" s="1">
        <f>IFERROR(__xludf.DUMMYFUNCTION("""COMPUTED_VALUE"""),1941.13)</f>
        <v>1941.13</v>
      </c>
    </row>
    <row r="713">
      <c r="A713" s="2">
        <f>IFERROR(__xludf.DUMMYFUNCTION("""COMPUTED_VALUE"""),36824.666666666664)</f>
        <v>36824.66667</v>
      </c>
      <c r="B713" s="1">
        <f>IFERROR(__xludf.DUMMYFUNCTION("""COMPUTED_VALUE"""),1895.03)</f>
        <v>1895.03</v>
      </c>
    </row>
    <row r="714">
      <c r="A714" s="2">
        <f>IFERROR(__xludf.DUMMYFUNCTION("""COMPUTED_VALUE"""),36825.666666666664)</f>
        <v>36825.66667</v>
      </c>
      <c r="B714" s="1">
        <f>IFERROR(__xludf.DUMMYFUNCTION("""COMPUTED_VALUE"""),1894.42)</f>
        <v>1894.42</v>
      </c>
    </row>
    <row r="715">
      <c r="A715" s="2">
        <f>IFERROR(__xludf.DUMMYFUNCTION("""COMPUTED_VALUE"""),36826.666666666664)</f>
        <v>36826.66667</v>
      </c>
      <c r="B715" s="1">
        <f>IFERROR(__xludf.DUMMYFUNCTION("""COMPUTED_VALUE"""),1915.55)</f>
        <v>1915.55</v>
      </c>
    </row>
    <row r="716">
      <c r="A716" s="2">
        <f>IFERROR(__xludf.DUMMYFUNCTION("""COMPUTED_VALUE"""),36829.666666666664)</f>
        <v>36829.66667</v>
      </c>
      <c r="B716" s="1">
        <f>IFERROR(__xludf.DUMMYFUNCTION("""COMPUTED_VALUE"""),1942.2)</f>
        <v>1942.2</v>
      </c>
    </row>
    <row r="717">
      <c r="A717" s="2">
        <f>IFERROR(__xludf.DUMMYFUNCTION("""COMPUTED_VALUE"""),36830.666666666664)</f>
        <v>36830.66667</v>
      </c>
      <c r="B717" s="1">
        <f>IFERROR(__xludf.DUMMYFUNCTION("""COMPUTED_VALUE"""),1984.91)</f>
        <v>1984.91</v>
      </c>
    </row>
    <row r="718">
      <c r="A718" s="2">
        <f>IFERROR(__xludf.DUMMYFUNCTION("""COMPUTED_VALUE"""),36831.666666666664)</f>
        <v>36831.66667</v>
      </c>
      <c r="B718" s="1">
        <f>IFERROR(__xludf.DUMMYFUNCTION("""COMPUTED_VALUE"""),1973.72)</f>
        <v>1973.72</v>
      </c>
    </row>
    <row r="719">
      <c r="A719" s="2">
        <f>IFERROR(__xludf.DUMMYFUNCTION("""COMPUTED_VALUE"""),36832.666666666664)</f>
        <v>36832.66667</v>
      </c>
      <c r="B719" s="1">
        <f>IFERROR(__xludf.DUMMYFUNCTION("""COMPUTED_VALUE"""),1983.73)</f>
        <v>1983.73</v>
      </c>
    </row>
    <row r="720">
      <c r="A720" s="2">
        <f>IFERROR(__xludf.DUMMYFUNCTION("""COMPUTED_VALUE"""),36833.666666666664)</f>
        <v>36833.66667</v>
      </c>
      <c r="B720" s="1">
        <f>IFERROR(__xludf.DUMMYFUNCTION("""COMPUTED_VALUE"""),1981.5)</f>
        <v>1981.5</v>
      </c>
    </row>
    <row r="721">
      <c r="A721" s="2">
        <f>IFERROR(__xludf.DUMMYFUNCTION("""COMPUTED_VALUE"""),36836.666666666664)</f>
        <v>36836.66667</v>
      </c>
      <c r="B721" s="1">
        <f>IFERROR(__xludf.DUMMYFUNCTION("""COMPUTED_VALUE"""),1989.19)</f>
        <v>1989.19</v>
      </c>
    </row>
    <row r="722">
      <c r="A722" s="2">
        <f>IFERROR(__xludf.DUMMYFUNCTION("""COMPUTED_VALUE"""),36837.666666666664)</f>
        <v>36837.66667</v>
      </c>
      <c r="B722" s="1">
        <f>IFERROR(__xludf.DUMMYFUNCTION("""COMPUTED_VALUE"""),1988.8)</f>
        <v>1988.8</v>
      </c>
    </row>
    <row r="723">
      <c r="A723" s="2">
        <f>IFERROR(__xludf.DUMMYFUNCTION("""COMPUTED_VALUE"""),36838.666666666664)</f>
        <v>36838.66667</v>
      </c>
      <c r="B723" s="1">
        <f>IFERROR(__xludf.DUMMYFUNCTION("""COMPUTED_VALUE"""),1957.62)</f>
        <v>1957.62</v>
      </c>
    </row>
    <row r="724">
      <c r="A724" s="2">
        <f>IFERROR(__xludf.DUMMYFUNCTION("""COMPUTED_VALUE"""),36839.666666666664)</f>
        <v>36839.66667</v>
      </c>
      <c r="B724" s="1">
        <f>IFERROR(__xludf.DUMMYFUNCTION("""COMPUTED_VALUE"""),1945.24)</f>
        <v>1945.24</v>
      </c>
    </row>
    <row r="725">
      <c r="A725" s="2">
        <f>IFERROR(__xludf.DUMMYFUNCTION("""COMPUTED_VALUE"""),36840.666666666664)</f>
        <v>36840.66667</v>
      </c>
      <c r="B725" s="1">
        <f>IFERROR(__xludf.DUMMYFUNCTION("""COMPUTED_VALUE"""),1897.78)</f>
        <v>1897.78</v>
      </c>
    </row>
    <row r="726">
      <c r="A726" s="2">
        <f>IFERROR(__xludf.DUMMYFUNCTION("""COMPUTED_VALUE"""),36843.666666666664)</f>
        <v>36843.66667</v>
      </c>
      <c r="B726" s="1">
        <f>IFERROR(__xludf.DUMMYFUNCTION("""COMPUTED_VALUE"""),1877.51)</f>
        <v>1877.51</v>
      </c>
    </row>
    <row r="727">
      <c r="A727" s="2">
        <f>IFERROR(__xludf.DUMMYFUNCTION("""COMPUTED_VALUE"""),36844.666666666664)</f>
        <v>36844.66667</v>
      </c>
      <c r="B727" s="1">
        <f>IFERROR(__xludf.DUMMYFUNCTION("""COMPUTED_VALUE"""),1921.67)</f>
        <v>1921.67</v>
      </c>
    </row>
    <row r="728">
      <c r="A728" s="2">
        <f>IFERROR(__xludf.DUMMYFUNCTION("""COMPUTED_VALUE"""),36845.666666666664)</f>
        <v>36845.66667</v>
      </c>
      <c r="B728" s="1">
        <f>IFERROR(__xludf.DUMMYFUNCTION("""COMPUTED_VALUE"""),1931.44)</f>
        <v>1931.44</v>
      </c>
    </row>
    <row r="729">
      <c r="A729" s="2">
        <f>IFERROR(__xludf.DUMMYFUNCTION("""COMPUTED_VALUE"""),36846.666666666664)</f>
        <v>36846.66667</v>
      </c>
      <c r="B729" s="1">
        <f>IFERROR(__xludf.DUMMYFUNCTION("""COMPUTED_VALUE"""),1907.2)</f>
        <v>1907.2</v>
      </c>
    </row>
    <row r="730">
      <c r="A730" s="2">
        <f>IFERROR(__xludf.DUMMYFUNCTION("""COMPUTED_VALUE"""),36847.666666666664)</f>
        <v>36847.66667</v>
      </c>
      <c r="B730" s="1">
        <f>IFERROR(__xludf.DUMMYFUNCTION("""COMPUTED_VALUE"""),1900.88)</f>
        <v>1900.88</v>
      </c>
    </row>
    <row r="731">
      <c r="A731" s="2">
        <f>IFERROR(__xludf.DUMMYFUNCTION("""COMPUTED_VALUE"""),36850.666666666664)</f>
        <v>36850.66667</v>
      </c>
      <c r="B731" s="1">
        <f>IFERROR(__xludf.DUMMYFUNCTION("""COMPUTED_VALUE"""),1866.01)</f>
        <v>1866.01</v>
      </c>
    </row>
    <row r="732">
      <c r="A732" s="2">
        <f>IFERROR(__xludf.DUMMYFUNCTION("""COMPUTED_VALUE"""),36851.666666666664)</f>
        <v>36851.66667</v>
      </c>
      <c r="B732" s="1">
        <f>IFERROR(__xludf.DUMMYFUNCTION("""COMPUTED_VALUE"""),1872.72)</f>
        <v>1872.72</v>
      </c>
    </row>
    <row r="733">
      <c r="A733" s="2">
        <f>IFERROR(__xludf.DUMMYFUNCTION("""COMPUTED_VALUE"""),36852.666666666664)</f>
        <v>36852.66667</v>
      </c>
      <c r="B733" s="1">
        <f>IFERROR(__xludf.DUMMYFUNCTION("""COMPUTED_VALUE"""),1838.0)</f>
        <v>1838</v>
      </c>
    </row>
    <row r="734">
      <c r="A734" s="2">
        <f>IFERROR(__xludf.DUMMYFUNCTION("""COMPUTED_VALUE"""),36854.666666666664)</f>
        <v>36854.66667</v>
      </c>
      <c r="B734" s="1">
        <f>IFERROR(__xludf.DUMMYFUNCTION("""COMPUTED_VALUE"""),1865.0)</f>
        <v>1865</v>
      </c>
    </row>
    <row r="735">
      <c r="A735" s="2">
        <f>IFERROR(__xludf.DUMMYFUNCTION("""COMPUTED_VALUE"""),36857.666666666664)</f>
        <v>36857.66667</v>
      </c>
      <c r="B735" s="1">
        <f>IFERROR(__xludf.DUMMYFUNCTION("""COMPUTED_VALUE"""),1875.01)</f>
        <v>1875.01</v>
      </c>
    </row>
    <row r="736">
      <c r="A736" s="2">
        <f>IFERROR(__xludf.DUMMYFUNCTION("""COMPUTED_VALUE"""),36858.666666666664)</f>
        <v>36858.66667</v>
      </c>
      <c r="B736" s="1">
        <f>IFERROR(__xludf.DUMMYFUNCTION("""COMPUTED_VALUE"""),1857.3)</f>
        <v>1857.3</v>
      </c>
    </row>
    <row r="737">
      <c r="A737" s="2">
        <f>IFERROR(__xludf.DUMMYFUNCTION("""COMPUTED_VALUE"""),36859.666666666664)</f>
        <v>36859.66667</v>
      </c>
      <c r="B737" s="1">
        <f>IFERROR(__xludf.DUMMYFUNCTION("""COMPUTED_VALUE"""),1865.89)</f>
        <v>1865.89</v>
      </c>
    </row>
    <row r="738">
      <c r="A738" s="2">
        <f>IFERROR(__xludf.DUMMYFUNCTION("""COMPUTED_VALUE"""),36860.666666666664)</f>
        <v>36860.66667</v>
      </c>
      <c r="B738" s="1">
        <f>IFERROR(__xludf.DUMMYFUNCTION("""COMPUTED_VALUE"""),1828.42)</f>
        <v>1828.42</v>
      </c>
    </row>
    <row r="739">
      <c r="A739" s="2">
        <f>IFERROR(__xludf.DUMMYFUNCTION("""COMPUTED_VALUE"""),36861.666666666664)</f>
        <v>36861.66667</v>
      </c>
      <c r="B739" s="1">
        <f>IFERROR(__xludf.DUMMYFUNCTION("""COMPUTED_VALUE"""),1828.81)</f>
        <v>1828.81</v>
      </c>
    </row>
    <row r="740">
      <c r="A740" s="2">
        <f>IFERROR(__xludf.DUMMYFUNCTION("""COMPUTED_VALUE"""),36864.666666666664)</f>
        <v>36864.66667</v>
      </c>
      <c r="B740" s="1">
        <f>IFERROR(__xludf.DUMMYFUNCTION("""COMPUTED_VALUE"""),1842.36)</f>
        <v>1842.36</v>
      </c>
    </row>
    <row r="741">
      <c r="A741" s="2">
        <f>IFERROR(__xludf.DUMMYFUNCTION("""COMPUTED_VALUE"""),36865.666666666664)</f>
        <v>36865.66667</v>
      </c>
      <c r="B741" s="1">
        <f>IFERROR(__xludf.DUMMYFUNCTION("""COMPUTED_VALUE"""),1914.09)</f>
        <v>1914.09</v>
      </c>
    </row>
    <row r="742">
      <c r="A742" s="2">
        <f>IFERROR(__xludf.DUMMYFUNCTION("""COMPUTED_VALUE"""),36866.666666666664)</f>
        <v>36866.66667</v>
      </c>
      <c r="B742" s="1">
        <f>IFERROR(__xludf.DUMMYFUNCTION("""COMPUTED_VALUE"""),1879.58)</f>
        <v>1879.58</v>
      </c>
    </row>
    <row r="743">
      <c r="A743" s="2">
        <f>IFERROR(__xludf.DUMMYFUNCTION("""COMPUTED_VALUE"""),36867.666666666664)</f>
        <v>36867.66667</v>
      </c>
      <c r="B743" s="1">
        <f>IFERROR(__xludf.DUMMYFUNCTION("""COMPUTED_VALUE"""),1868.64)</f>
        <v>1868.64</v>
      </c>
    </row>
    <row r="744">
      <c r="A744" s="2">
        <f>IFERROR(__xludf.DUMMYFUNCTION("""COMPUTED_VALUE"""),36868.666666666664)</f>
        <v>36868.66667</v>
      </c>
      <c r="B744" s="1">
        <f>IFERROR(__xludf.DUMMYFUNCTION("""COMPUTED_VALUE"""),1905.29)</f>
        <v>1905.29</v>
      </c>
    </row>
    <row r="745">
      <c r="A745" s="2">
        <f>IFERROR(__xludf.DUMMYFUNCTION("""COMPUTED_VALUE"""),36871.666666666664)</f>
        <v>36871.66667</v>
      </c>
      <c r="B745" s="1">
        <f>IFERROR(__xludf.DUMMYFUNCTION("""COMPUTED_VALUE"""),1919.65)</f>
        <v>1919.65</v>
      </c>
    </row>
    <row r="746">
      <c r="A746" s="2">
        <f>IFERROR(__xludf.DUMMYFUNCTION("""COMPUTED_VALUE"""),36872.666666666664)</f>
        <v>36872.66667</v>
      </c>
      <c r="B746" s="1">
        <f>IFERROR(__xludf.DUMMYFUNCTION("""COMPUTED_VALUE"""),1907.1)</f>
        <v>1907.1</v>
      </c>
    </row>
    <row r="747">
      <c r="A747" s="2">
        <f>IFERROR(__xludf.DUMMYFUNCTION("""COMPUTED_VALUE"""),36873.666666666664)</f>
        <v>36873.66667</v>
      </c>
      <c r="B747" s="1">
        <f>IFERROR(__xludf.DUMMYFUNCTION("""COMPUTED_VALUE"""),1891.93)</f>
        <v>1891.93</v>
      </c>
    </row>
    <row r="748">
      <c r="A748" s="2">
        <f>IFERROR(__xludf.DUMMYFUNCTION("""COMPUTED_VALUE"""),36874.666666666664)</f>
        <v>36874.66667</v>
      </c>
      <c r="B748" s="1">
        <f>IFERROR(__xludf.DUMMYFUNCTION("""COMPUTED_VALUE"""),1865.45)</f>
        <v>1865.45</v>
      </c>
    </row>
    <row r="749">
      <c r="A749" s="2">
        <f>IFERROR(__xludf.DUMMYFUNCTION("""COMPUTED_VALUE"""),36875.666666666664)</f>
        <v>36875.66667</v>
      </c>
      <c r="B749" s="1">
        <f>IFERROR(__xludf.DUMMYFUNCTION("""COMPUTED_VALUE"""),1825.42)</f>
        <v>1825.42</v>
      </c>
    </row>
    <row r="750">
      <c r="A750" s="2">
        <f>IFERROR(__xludf.DUMMYFUNCTION("""COMPUTED_VALUE"""),36878.666666666664)</f>
        <v>36878.66667</v>
      </c>
      <c r="B750" s="1">
        <f>IFERROR(__xludf.DUMMYFUNCTION("""COMPUTED_VALUE"""),1840.18)</f>
        <v>1840.18</v>
      </c>
    </row>
    <row r="751">
      <c r="A751" s="2">
        <f>IFERROR(__xludf.DUMMYFUNCTION("""COMPUTED_VALUE"""),36879.666666666664)</f>
        <v>36879.66667</v>
      </c>
      <c r="B751" s="1">
        <f>IFERROR(__xludf.DUMMYFUNCTION("""COMPUTED_VALUE"""),1816.36)</f>
        <v>1816.36</v>
      </c>
    </row>
    <row r="752">
      <c r="A752" s="2">
        <f>IFERROR(__xludf.DUMMYFUNCTION("""COMPUTED_VALUE"""),36880.666666666664)</f>
        <v>36880.66667</v>
      </c>
      <c r="B752" s="1">
        <f>IFERROR(__xludf.DUMMYFUNCTION("""COMPUTED_VALUE"""),1759.62)</f>
        <v>1759.62</v>
      </c>
    </row>
    <row r="753">
      <c r="A753" s="2">
        <f>IFERROR(__xludf.DUMMYFUNCTION("""COMPUTED_VALUE"""),36881.666666666664)</f>
        <v>36881.66667</v>
      </c>
      <c r="B753" s="1">
        <f>IFERROR(__xludf.DUMMYFUNCTION("""COMPUTED_VALUE"""),1773.71)</f>
        <v>1773.71</v>
      </c>
    </row>
    <row r="754">
      <c r="A754" s="2">
        <f>IFERROR(__xludf.DUMMYFUNCTION("""COMPUTED_VALUE"""),36882.666666666664)</f>
        <v>36882.66667</v>
      </c>
      <c r="B754" s="1">
        <f>IFERROR(__xludf.DUMMYFUNCTION("""COMPUTED_VALUE"""),1817.0)</f>
        <v>1817</v>
      </c>
    </row>
    <row r="755">
      <c r="A755" s="2">
        <f>IFERROR(__xludf.DUMMYFUNCTION("""COMPUTED_VALUE"""),36886.666666666664)</f>
        <v>36886.66667</v>
      </c>
      <c r="B755" s="1">
        <f>IFERROR(__xludf.DUMMYFUNCTION("""COMPUTED_VALUE"""),1829.83)</f>
        <v>1829.83</v>
      </c>
    </row>
    <row r="756">
      <c r="A756" s="2">
        <f>IFERROR(__xludf.DUMMYFUNCTION("""COMPUTED_VALUE"""),36887.666666666664)</f>
        <v>36887.66667</v>
      </c>
      <c r="B756" s="1">
        <f>IFERROR(__xludf.DUMMYFUNCTION("""COMPUTED_VALUE"""),1849.34)</f>
        <v>1849.34</v>
      </c>
    </row>
    <row r="757">
      <c r="A757" s="2">
        <f>IFERROR(__xludf.DUMMYFUNCTION("""COMPUTED_VALUE"""),36888.666666666664)</f>
        <v>36888.66667</v>
      </c>
      <c r="B757" s="1">
        <f>IFERROR(__xludf.DUMMYFUNCTION("""COMPUTED_VALUE"""),1856.76)</f>
        <v>1856.76</v>
      </c>
    </row>
    <row r="758">
      <c r="A758" s="2">
        <f>IFERROR(__xludf.DUMMYFUNCTION("""COMPUTED_VALUE"""),36889.666666666664)</f>
        <v>36889.66667</v>
      </c>
      <c r="B758" s="1">
        <f>IFERROR(__xludf.DUMMYFUNCTION("""COMPUTED_VALUE"""),1837.37)</f>
        <v>1837.37</v>
      </c>
    </row>
    <row r="759">
      <c r="A759" s="2">
        <f>IFERROR(__xludf.DUMMYFUNCTION("""COMPUTED_VALUE"""),36893.666666666664)</f>
        <v>36893.66667</v>
      </c>
      <c r="B759" s="1">
        <f>IFERROR(__xludf.DUMMYFUNCTION("""COMPUTED_VALUE"""),1785.86)</f>
        <v>1785.86</v>
      </c>
    </row>
    <row r="760">
      <c r="A760" s="2">
        <f>IFERROR(__xludf.DUMMYFUNCTION("""COMPUTED_VALUE"""),36894.666666666664)</f>
        <v>36894.66667</v>
      </c>
      <c r="B760" s="1">
        <f>IFERROR(__xludf.DUMMYFUNCTION("""COMPUTED_VALUE"""),1875.56)</f>
        <v>1875.56</v>
      </c>
    </row>
    <row r="761">
      <c r="A761" s="2">
        <f>IFERROR(__xludf.DUMMYFUNCTION("""COMPUTED_VALUE"""),36895.666666666664)</f>
        <v>36895.66667</v>
      </c>
      <c r="B761" s="1">
        <f>IFERROR(__xludf.DUMMYFUNCTION("""COMPUTED_VALUE"""),1855.82)</f>
        <v>1855.82</v>
      </c>
    </row>
    <row r="762">
      <c r="A762" s="2">
        <f>IFERROR(__xludf.DUMMYFUNCTION("""COMPUTED_VALUE"""),36896.666666666664)</f>
        <v>36896.66667</v>
      </c>
      <c r="B762" s="1">
        <f>IFERROR(__xludf.DUMMYFUNCTION("""COMPUTED_VALUE"""),1807.13)</f>
        <v>1807.13</v>
      </c>
    </row>
    <row r="763">
      <c r="A763" s="2">
        <f>IFERROR(__xludf.DUMMYFUNCTION("""COMPUTED_VALUE"""),36899.666666666664)</f>
        <v>36899.66667</v>
      </c>
      <c r="B763" s="1">
        <f>IFERROR(__xludf.DUMMYFUNCTION("""COMPUTED_VALUE"""),1804.04)</f>
        <v>1804.04</v>
      </c>
    </row>
    <row r="764">
      <c r="A764" s="2">
        <f>IFERROR(__xludf.DUMMYFUNCTION("""COMPUTED_VALUE"""),36900.666666666664)</f>
        <v>36900.66667</v>
      </c>
      <c r="B764" s="1">
        <f>IFERROR(__xludf.DUMMYFUNCTION("""COMPUTED_VALUE"""),1810.98)</f>
        <v>1810.98</v>
      </c>
    </row>
    <row r="765">
      <c r="A765" s="2">
        <f>IFERROR(__xludf.DUMMYFUNCTION("""COMPUTED_VALUE"""),36901.666666666664)</f>
        <v>36901.66667</v>
      </c>
      <c r="B765" s="1">
        <f>IFERROR(__xludf.DUMMYFUNCTION("""COMPUTED_VALUE"""),1828.5)</f>
        <v>1828.5</v>
      </c>
    </row>
    <row r="766">
      <c r="A766" s="2">
        <f>IFERROR(__xludf.DUMMYFUNCTION("""COMPUTED_VALUE"""),36902.666666666664)</f>
        <v>36902.66667</v>
      </c>
      <c r="B766" s="1">
        <f>IFERROR(__xludf.DUMMYFUNCTION("""COMPUTED_VALUE"""),1847.37)</f>
        <v>1847.37</v>
      </c>
    </row>
    <row r="767">
      <c r="A767" s="2">
        <f>IFERROR(__xludf.DUMMYFUNCTION("""COMPUTED_VALUE"""),36903.666666666664)</f>
        <v>36903.66667</v>
      </c>
      <c r="B767" s="1">
        <f>IFERROR(__xludf.DUMMYFUNCTION("""COMPUTED_VALUE"""),1835.54)</f>
        <v>1835.54</v>
      </c>
    </row>
    <row r="768">
      <c r="A768" s="2">
        <f>IFERROR(__xludf.DUMMYFUNCTION("""COMPUTED_VALUE"""),36907.666666666664)</f>
        <v>36907.66667</v>
      </c>
      <c r="B768" s="1">
        <f>IFERROR(__xludf.DUMMYFUNCTION("""COMPUTED_VALUE"""),1847.13)</f>
        <v>1847.13</v>
      </c>
    </row>
    <row r="769">
      <c r="A769" s="2">
        <f>IFERROR(__xludf.DUMMYFUNCTION("""COMPUTED_VALUE"""),36908.666666666664)</f>
        <v>36908.66667</v>
      </c>
      <c r="B769" s="1">
        <f>IFERROR(__xludf.DUMMYFUNCTION("""COMPUTED_VALUE"""),1851.16)</f>
        <v>1851.16</v>
      </c>
    </row>
    <row r="770">
      <c r="A770" s="2">
        <f>IFERROR(__xludf.DUMMYFUNCTION("""COMPUTED_VALUE"""),36909.666666666664)</f>
        <v>36909.66667</v>
      </c>
      <c r="B770" s="1">
        <f>IFERROR(__xludf.DUMMYFUNCTION("""COMPUTED_VALUE"""),1876.94)</f>
        <v>1876.94</v>
      </c>
    </row>
    <row r="771">
      <c r="A771" s="2">
        <f>IFERROR(__xludf.DUMMYFUNCTION("""COMPUTED_VALUE"""),36910.666666666664)</f>
        <v>36910.66667</v>
      </c>
      <c r="B771" s="1">
        <f>IFERROR(__xludf.DUMMYFUNCTION("""COMPUTED_VALUE"""),1869.38)</f>
        <v>1869.38</v>
      </c>
    </row>
    <row r="772">
      <c r="A772" s="2">
        <f>IFERROR(__xludf.DUMMYFUNCTION("""COMPUTED_VALUE"""),36913.666666666664)</f>
        <v>36913.66667</v>
      </c>
      <c r="B772" s="1">
        <f>IFERROR(__xludf.DUMMYFUNCTION("""COMPUTED_VALUE"""),1869.89)</f>
        <v>1869.89</v>
      </c>
    </row>
    <row r="773">
      <c r="A773" s="2">
        <f>IFERROR(__xludf.DUMMYFUNCTION("""COMPUTED_VALUE"""),36914.666666666664)</f>
        <v>36914.66667</v>
      </c>
      <c r="B773" s="1">
        <f>IFERROR(__xludf.DUMMYFUNCTION("""COMPUTED_VALUE"""),1894.25)</f>
        <v>1894.25</v>
      </c>
    </row>
    <row r="774">
      <c r="A774" s="2">
        <f>IFERROR(__xludf.DUMMYFUNCTION("""COMPUTED_VALUE"""),36915.666666666664)</f>
        <v>36915.66667</v>
      </c>
      <c r="B774" s="1">
        <f>IFERROR(__xludf.DUMMYFUNCTION("""COMPUTED_VALUE"""),1899.71)</f>
        <v>1899.71</v>
      </c>
    </row>
    <row r="775">
      <c r="A775" s="2">
        <f>IFERROR(__xludf.DUMMYFUNCTION("""COMPUTED_VALUE"""),36916.666666666664)</f>
        <v>36916.66667</v>
      </c>
      <c r="B775" s="1">
        <f>IFERROR(__xludf.DUMMYFUNCTION("""COMPUTED_VALUE"""),1890.27)</f>
        <v>1890.27</v>
      </c>
    </row>
    <row r="776">
      <c r="A776" s="2">
        <f>IFERROR(__xludf.DUMMYFUNCTION("""COMPUTED_VALUE"""),36917.666666666664)</f>
        <v>36917.66667</v>
      </c>
      <c r="B776" s="1">
        <f>IFERROR(__xludf.DUMMYFUNCTION("""COMPUTED_VALUE"""),1886.8)</f>
        <v>1886.8</v>
      </c>
    </row>
    <row r="777">
      <c r="A777" s="2">
        <f>IFERROR(__xludf.DUMMYFUNCTION("""COMPUTED_VALUE"""),36920.666666666664)</f>
        <v>36920.66667</v>
      </c>
      <c r="B777" s="1">
        <f>IFERROR(__xludf.DUMMYFUNCTION("""COMPUTED_VALUE"""),1899.75)</f>
        <v>1899.75</v>
      </c>
    </row>
    <row r="778">
      <c r="A778" s="2">
        <f>IFERROR(__xludf.DUMMYFUNCTION("""COMPUTED_VALUE"""),36921.666666666664)</f>
        <v>36921.66667</v>
      </c>
      <c r="B778" s="1">
        <f>IFERROR(__xludf.DUMMYFUNCTION("""COMPUTED_VALUE"""),1913.12)</f>
        <v>1913.12</v>
      </c>
    </row>
    <row r="779">
      <c r="A779" s="2">
        <f>IFERROR(__xludf.DUMMYFUNCTION("""COMPUTED_VALUE"""),36922.666666666664)</f>
        <v>36922.66667</v>
      </c>
      <c r="B779" s="1">
        <f>IFERROR(__xludf.DUMMYFUNCTION("""COMPUTED_VALUE"""),1902.55)</f>
        <v>1902.55</v>
      </c>
    </row>
    <row r="780">
      <c r="A780" s="2">
        <f>IFERROR(__xludf.DUMMYFUNCTION("""COMPUTED_VALUE"""),36923.666666666664)</f>
        <v>36923.66667</v>
      </c>
      <c r="B780" s="1">
        <f>IFERROR(__xludf.DUMMYFUNCTION("""COMPUTED_VALUE"""),1913.11)</f>
        <v>1913.11</v>
      </c>
    </row>
    <row r="781">
      <c r="A781" s="2">
        <f>IFERROR(__xludf.DUMMYFUNCTION("""COMPUTED_VALUE"""),36924.666666666664)</f>
        <v>36924.66667</v>
      </c>
      <c r="B781" s="1">
        <f>IFERROR(__xludf.DUMMYFUNCTION("""COMPUTED_VALUE"""),1879.69)</f>
        <v>1879.69</v>
      </c>
    </row>
    <row r="782">
      <c r="A782" s="2">
        <f>IFERROR(__xludf.DUMMYFUNCTION("""COMPUTED_VALUE"""),36927.666666666664)</f>
        <v>36927.66667</v>
      </c>
      <c r="B782" s="1">
        <f>IFERROR(__xludf.DUMMYFUNCTION("""COMPUTED_VALUE"""),1886.48)</f>
        <v>1886.48</v>
      </c>
    </row>
    <row r="783">
      <c r="A783" s="2">
        <f>IFERROR(__xludf.DUMMYFUNCTION("""COMPUTED_VALUE"""),36928.666666666664)</f>
        <v>36928.66667</v>
      </c>
      <c r="B783" s="1">
        <f>IFERROR(__xludf.DUMMYFUNCTION("""COMPUTED_VALUE"""),1883.72)</f>
        <v>1883.72</v>
      </c>
    </row>
    <row r="784">
      <c r="A784" s="2">
        <f>IFERROR(__xludf.DUMMYFUNCTION("""COMPUTED_VALUE"""),36929.666666666664)</f>
        <v>36929.66667</v>
      </c>
      <c r="B784" s="1">
        <f>IFERROR(__xludf.DUMMYFUNCTION("""COMPUTED_VALUE"""),1868.29)</f>
        <v>1868.29</v>
      </c>
    </row>
    <row r="785">
      <c r="A785" s="2">
        <f>IFERROR(__xludf.DUMMYFUNCTION("""COMPUTED_VALUE"""),36930.666666666664)</f>
        <v>36930.66667</v>
      </c>
      <c r="B785" s="1">
        <f>IFERROR(__xludf.DUMMYFUNCTION("""COMPUTED_VALUE"""),1856.65)</f>
        <v>1856.65</v>
      </c>
    </row>
    <row r="786">
      <c r="A786" s="2">
        <f>IFERROR(__xludf.DUMMYFUNCTION("""COMPUTED_VALUE"""),36931.666666666664)</f>
        <v>36931.66667</v>
      </c>
      <c r="B786" s="1">
        <f>IFERROR(__xludf.DUMMYFUNCTION("""COMPUTED_VALUE"""),1831.96)</f>
        <v>1831.96</v>
      </c>
    </row>
    <row r="787">
      <c r="A787" s="2">
        <f>IFERROR(__xludf.DUMMYFUNCTION("""COMPUTED_VALUE"""),36934.666666666664)</f>
        <v>36934.66667</v>
      </c>
      <c r="B787" s="1">
        <f>IFERROR(__xludf.DUMMYFUNCTION("""COMPUTED_VALUE"""),1853.65)</f>
        <v>1853.65</v>
      </c>
    </row>
    <row r="788">
      <c r="A788" s="2">
        <f>IFERROR(__xludf.DUMMYFUNCTION("""COMPUTED_VALUE"""),36935.666666666664)</f>
        <v>36935.66667</v>
      </c>
      <c r="B788" s="1">
        <f>IFERROR(__xludf.DUMMYFUNCTION("""COMPUTED_VALUE"""),1837.77)</f>
        <v>1837.77</v>
      </c>
    </row>
    <row r="789">
      <c r="A789" s="2">
        <f>IFERROR(__xludf.DUMMYFUNCTION("""COMPUTED_VALUE"""),36936.666666666664)</f>
        <v>36936.66667</v>
      </c>
      <c r="B789" s="1">
        <f>IFERROR(__xludf.DUMMYFUNCTION("""COMPUTED_VALUE"""),1834.1)</f>
        <v>1834.1</v>
      </c>
    </row>
    <row r="790">
      <c r="A790" s="2">
        <f>IFERROR(__xludf.DUMMYFUNCTION("""COMPUTED_VALUE"""),36937.666666666664)</f>
        <v>36937.66667</v>
      </c>
      <c r="B790" s="1">
        <f>IFERROR(__xludf.DUMMYFUNCTION("""COMPUTED_VALUE"""),1849.15)</f>
        <v>1849.15</v>
      </c>
    </row>
    <row r="791">
      <c r="A791" s="2">
        <f>IFERROR(__xludf.DUMMYFUNCTION("""COMPUTED_VALUE"""),36938.666666666664)</f>
        <v>36938.66667</v>
      </c>
      <c r="B791" s="1">
        <f>IFERROR(__xludf.DUMMYFUNCTION("""COMPUTED_VALUE"""),1814.22)</f>
        <v>1814.22</v>
      </c>
    </row>
    <row r="792">
      <c r="A792" s="2">
        <f>IFERROR(__xludf.DUMMYFUNCTION("""COMPUTED_VALUE"""),36942.666666666664)</f>
        <v>36942.66667</v>
      </c>
      <c r="B792" s="1">
        <f>IFERROR(__xludf.DUMMYFUNCTION("""COMPUTED_VALUE"""),1782.75)</f>
        <v>1782.75</v>
      </c>
    </row>
    <row r="793">
      <c r="A793" s="2">
        <f>IFERROR(__xludf.DUMMYFUNCTION("""COMPUTED_VALUE"""),36943.666666666664)</f>
        <v>36943.66667</v>
      </c>
      <c r="B793" s="1">
        <f>IFERROR(__xludf.DUMMYFUNCTION("""COMPUTED_VALUE"""),1749.86)</f>
        <v>1749.86</v>
      </c>
    </row>
    <row r="794">
      <c r="A794" s="2">
        <f>IFERROR(__xludf.DUMMYFUNCTION("""COMPUTED_VALUE"""),36944.666666666664)</f>
        <v>36944.66667</v>
      </c>
      <c r="B794" s="1">
        <f>IFERROR(__xludf.DUMMYFUNCTION("""COMPUTED_VALUE"""),1746.5)</f>
        <v>1746.5</v>
      </c>
    </row>
    <row r="795">
      <c r="A795" s="2">
        <f>IFERROR(__xludf.DUMMYFUNCTION("""COMPUTED_VALUE"""),36945.666666666664)</f>
        <v>36945.66667</v>
      </c>
      <c r="B795" s="1">
        <f>IFERROR(__xludf.DUMMYFUNCTION("""COMPUTED_VALUE"""),1736.82)</f>
        <v>1736.82</v>
      </c>
    </row>
    <row r="796">
      <c r="A796" s="2">
        <f>IFERROR(__xludf.DUMMYFUNCTION("""COMPUTED_VALUE"""),36948.666666666664)</f>
        <v>36948.66667</v>
      </c>
      <c r="B796" s="1">
        <f>IFERROR(__xludf.DUMMYFUNCTION("""COMPUTED_VALUE"""),1767.29)</f>
        <v>1767.29</v>
      </c>
    </row>
    <row r="797">
      <c r="A797" s="2">
        <f>IFERROR(__xludf.DUMMYFUNCTION("""COMPUTED_VALUE"""),36949.666666666664)</f>
        <v>36949.66667</v>
      </c>
      <c r="B797" s="1">
        <f>IFERROR(__xludf.DUMMYFUNCTION("""COMPUTED_VALUE"""),1753.88)</f>
        <v>1753.88</v>
      </c>
    </row>
    <row r="798">
      <c r="A798" s="2">
        <f>IFERROR(__xludf.DUMMYFUNCTION("""COMPUTED_VALUE"""),36950.666666666664)</f>
        <v>36950.66667</v>
      </c>
      <c r="B798" s="1">
        <f>IFERROR(__xludf.DUMMYFUNCTION("""COMPUTED_VALUE"""),1729.08)</f>
        <v>1729.08</v>
      </c>
    </row>
    <row r="799">
      <c r="A799" s="2">
        <f>IFERROR(__xludf.DUMMYFUNCTION("""COMPUTED_VALUE"""),36951.666666666664)</f>
        <v>36951.66667</v>
      </c>
      <c r="B799" s="1">
        <f>IFERROR(__xludf.DUMMYFUNCTION("""COMPUTED_VALUE"""),1730.92)</f>
        <v>1730.92</v>
      </c>
    </row>
    <row r="800">
      <c r="A800" s="2">
        <f>IFERROR(__xludf.DUMMYFUNCTION("""COMPUTED_VALUE"""),36952.666666666664)</f>
        <v>36952.66667</v>
      </c>
      <c r="B800" s="1">
        <f>IFERROR(__xludf.DUMMYFUNCTION("""COMPUTED_VALUE"""),1721.09)</f>
        <v>1721.09</v>
      </c>
    </row>
    <row r="801">
      <c r="A801" s="2">
        <f>IFERROR(__xludf.DUMMYFUNCTION("""COMPUTED_VALUE"""),36955.666666666664)</f>
        <v>36955.66667</v>
      </c>
      <c r="B801" s="1">
        <f>IFERROR(__xludf.DUMMYFUNCTION("""COMPUTED_VALUE"""),1731.42)</f>
        <v>1731.42</v>
      </c>
    </row>
    <row r="802">
      <c r="A802" s="2">
        <f>IFERROR(__xludf.DUMMYFUNCTION("""COMPUTED_VALUE"""),36956.666666666664)</f>
        <v>36956.66667</v>
      </c>
      <c r="B802" s="1">
        <f>IFERROR(__xludf.DUMMYFUNCTION("""COMPUTED_VALUE"""),1748.74)</f>
        <v>1748.74</v>
      </c>
    </row>
    <row r="803">
      <c r="A803" s="2">
        <f>IFERROR(__xludf.DUMMYFUNCTION("""COMPUTED_VALUE"""),36957.666666666664)</f>
        <v>36957.66667</v>
      </c>
      <c r="B803" s="1">
        <f>IFERROR(__xludf.DUMMYFUNCTION("""COMPUTED_VALUE"""),1760.36)</f>
        <v>1760.36</v>
      </c>
    </row>
    <row r="804">
      <c r="A804" s="2">
        <f>IFERROR(__xludf.DUMMYFUNCTION("""COMPUTED_VALUE"""),36958.666666666664)</f>
        <v>36958.66667</v>
      </c>
      <c r="B804" s="1">
        <f>IFERROR(__xludf.DUMMYFUNCTION("""COMPUTED_VALUE"""),1764.39)</f>
        <v>1764.39</v>
      </c>
    </row>
    <row r="805">
      <c r="A805" s="2">
        <f>IFERROR(__xludf.DUMMYFUNCTION("""COMPUTED_VALUE"""),36959.666666666664)</f>
        <v>36959.66667</v>
      </c>
      <c r="B805" s="1">
        <f>IFERROR(__xludf.DUMMYFUNCTION("""COMPUTED_VALUE"""),1720.71)</f>
        <v>1720.71</v>
      </c>
    </row>
    <row r="806">
      <c r="A806" s="2">
        <f>IFERROR(__xludf.DUMMYFUNCTION("""COMPUTED_VALUE"""),36962.666666666664)</f>
        <v>36962.66667</v>
      </c>
      <c r="B806" s="1">
        <f>IFERROR(__xludf.DUMMYFUNCTION("""COMPUTED_VALUE"""),1646.42)</f>
        <v>1646.42</v>
      </c>
    </row>
    <row r="807">
      <c r="A807" s="2">
        <f>IFERROR(__xludf.DUMMYFUNCTION("""COMPUTED_VALUE"""),36963.666666666664)</f>
        <v>36963.66667</v>
      </c>
      <c r="B807" s="1">
        <f>IFERROR(__xludf.DUMMYFUNCTION("""COMPUTED_VALUE"""),1671.19)</f>
        <v>1671.19</v>
      </c>
    </row>
    <row r="808">
      <c r="A808" s="2">
        <f>IFERROR(__xludf.DUMMYFUNCTION("""COMPUTED_VALUE"""),36964.666666666664)</f>
        <v>36964.66667</v>
      </c>
      <c r="B808" s="1">
        <f>IFERROR(__xludf.DUMMYFUNCTION("""COMPUTED_VALUE"""),1628.02)</f>
        <v>1628.02</v>
      </c>
    </row>
    <row r="809">
      <c r="A809" s="2">
        <f>IFERROR(__xludf.DUMMYFUNCTION("""COMPUTED_VALUE"""),36965.666666666664)</f>
        <v>36965.66667</v>
      </c>
      <c r="B809" s="1">
        <f>IFERROR(__xludf.DUMMYFUNCTION("""COMPUTED_VALUE"""),1637.61)</f>
        <v>1637.61</v>
      </c>
    </row>
    <row r="810">
      <c r="A810" s="2">
        <f>IFERROR(__xludf.DUMMYFUNCTION("""COMPUTED_VALUE"""),36966.666666666664)</f>
        <v>36966.66667</v>
      </c>
      <c r="B810" s="1">
        <f>IFERROR(__xludf.DUMMYFUNCTION("""COMPUTED_VALUE"""),1605.48)</f>
        <v>1605.48</v>
      </c>
    </row>
    <row r="811">
      <c r="A811" s="2">
        <f>IFERROR(__xludf.DUMMYFUNCTION("""COMPUTED_VALUE"""),36969.666666666664)</f>
        <v>36969.66667</v>
      </c>
      <c r="B811" s="1">
        <f>IFERROR(__xludf.DUMMYFUNCTION("""COMPUTED_VALUE"""),1633.81)</f>
        <v>1633.81</v>
      </c>
    </row>
    <row r="812">
      <c r="A812" s="2">
        <f>IFERROR(__xludf.DUMMYFUNCTION("""COMPUTED_VALUE"""),36970.666666666664)</f>
        <v>36970.66667</v>
      </c>
      <c r="B812" s="1">
        <f>IFERROR(__xludf.DUMMYFUNCTION("""COMPUTED_VALUE"""),1594.5)</f>
        <v>1594.5</v>
      </c>
    </row>
    <row r="813">
      <c r="A813" s="2">
        <f>IFERROR(__xludf.DUMMYFUNCTION("""COMPUTED_VALUE"""),36971.666666666664)</f>
        <v>36971.66667</v>
      </c>
      <c r="B813" s="1">
        <f>IFERROR(__xludf.DUMMYFUNCTION("""COMPUTED_VALUE"""),1565.98)</f>
        <v>1565.98</v>
      </c>
    </row>
    <row r="814">
      <c r="A814" s="2">
        <f>IFERROR(__xludf.DUMMYFUNCTION("""COMPUTED_VALUE"""),36972.666666666664)</f>
        <v>36972.66667</v>
      </c>
      <c r="B814" s="1">
        <f>IFERROR(__xludf.DUMMYFUNCTION("""COMPUTED_VALUE"""),1559.65)</f>
        <v>1559.65</v>
      </c>
    </row>
    <row r="815">
      <c r="A815" s="2">
        <f>IFERROR(__xludf.DUMMYFUNCTION("""COMPUTED_VALUE"""),36973.666666666664)</f>
        <v>36973.66667</v>
      </c>
      <c r="B815" s="1">
        <f>IFERROR(__xludf.DUMMYFUNCTION("""COMPUTED_VALUE"""),1590.7)</f>
        <v>1590.7</v>
      </c>
    </row>
    <row r="816">
      <c r="A816" s="2">
        <f>IFERROR(__xludf.DUMMYFUNCTION("""COMPUTED_VALUE"""),36976.666666666664)</f>
        <v>36976.66667</v>
      </c>
      <c r="B816" s="1">
        <f>IFERROR(__xludf.DUMMYFUNCTION("""COMPUTED_VALUE"""),1608.65)</f>
        <v>1608.65</v>
      </c>
    </row>
    <row r="817">
      <c r="A817" s="2">
        <f>IFERROR(__xludf.DUMMYFUNCTION("""COMPUTED_VALUE"""),36977.666666666664)</f>
        <v>36977.66667</v>
      </c>
      <c r="B817" s="1">
        <f>IFERROR(__xludf.DUMMYFUNCTION("""COMPUTED_VALUE"""),1649.79)</f>
        <v>1649.79</v>
      </c>
    </row>
    <row r="818">
      <c r="A818" s="2">
        <f>IFERROR(__xludf.DUMMYFUNCTION("""COMPUTED_VALUE"""),36978.666666666664)</f>
        <v>36978.66667</v>
      </c>
      <c r="B818" s="1">
        <f>IFERROR(__xludf.DUMMYFUNCTION("""COMPUTED_VALUE"""),1609.67)</f>
        <v>1609.67</v>
      </c>
    </row>
    <row r="819">
      <c r="A819" s="2">
        <f>IFERROR(__xludf.DUMMYFUNCTION("""COMPUTED_VALUE"""),36979.666666666664)</f>
        <v>36979.66667</v>
      </c>
      <c r="B819" s="1">
        <f>IFERROR(__xludf.DUMMYFUNCTION("""COMPUTED_VALUE"""),1602.26)</f>
        <v>1602.26</v>
      </c>
    </row>
    <row r="820">
      <c r="A820" s="2">
        <f>IFERROR(__xludf.DUMMYFUNCTION("""COMPUTED_VALUE"""),36980.666666666664)</f>
        <v>36980.66667</v>
      </c>
      <c r="B820" s="1">
        <f>IFERROR(__xludf.DUMMYFUNCTION("""COMPUTED_VALUE"""),1619.54)</f>
        <v>1619.54</v>
      </c>
    </row>
    <row r="821">
      <c r="A821" s="2">
        <f>IFERROR(__xludf.DUMMYFUNCTION("""COMPUTED_VALUE"""),36983.666666666664)</f>
        <v>36983.66667</v>
      </c>
      <c r="B821" s="1">
        <f>IFERROR(__xludf.DUMMYFUNCTION("""COMPUTED_VALUE"""),1599.36)</f>
        <v>1599.36</v>
      </c>
    </row>
    <row r="822">
      <c r="A822" s="2">
        <f>IFERROR(__xludf.DUMMYFUNCTION("""COMPUTED_VALUE"""),36984.666666666664)</f>
        <v>36984.66667</v>
      </c>
      <c r="B822" s="1">
        <f>IFERROR(__xludf.DUMMYFUNCTION("""COMPUTED_VALUE"""),1544.35)</f>
        <v>1544.35</v>
      </c>
    </row>
    <row r="823">
      <c r="A823" s="2">
        <f>IFERROR(__xludf.DUMMYFUNCTION("""COMPUTED_VALUE"""),36985.666666666664)</f>
        <v>36985.66667</v>
      </c>
      <c r="B823" s="1">
        <f>IFERROR(__xludf.DUMMYFUNCTION("""COMPUTED_VALUE"""),1540.17)</f>
        <v>1540.17</v>
      </c>
    </row>
    <row r="824">
      <c r="A824" s="2">
        <f>IFERROR(__xludf.DUMMYFUNCTION("""COMPUTED_VALUE"""),36986.666666666664)</f>
        <v>36986.66667</v>
      </c>
      <c r="B824" s="1">
        <f>IFERROR(__xludf.DUMMYFUNCTION("""COMPUTED_VALUE"""),1607.46)</f>
        <v>1607.46</v>
      </c>
    </row>
    <row r="825">
      <c r="A825" s="2">
        <f>IFERROR(__xludf.DUMMYFUNCTION("""COMPUTED_VALUE"""),36987.666666666664)</f>
        <v>36987.66667</v>
      </c>
      <c r="B825" s="1">
        <f>IFERROR(__xludf.DUMMYFUNCTION("""COMPUTED_VALUE"""),1575.71)</f>
        <v>1575.71</v>
      </c>
    </row>
    <row r="826">
      <c r="A826" s="2">
        <f>IFERROR(__xludf.DUMMYFUNCTION("""COMPUTED_VALUE"""),36990.666666666664)</f>
        <v>36990.66667</v>
      </c>
      <c r="B826" s="1">
        <f>IFERROR(__xludf.DUMMYFUNCTION("""COMPUTED_VALUE"""),1588.5)</f>
        <v>1588.5</v>
      </c>
    </row>
    <row r="827">
      <c r="A827" s="2">
        <f>IFERROR(__xludf.DUMMYFUNCTION("""COMPUTED_VALUE"""),36991.666666666664)</f>
        <v>36991.66667</v>
      </c>
      <c r="B827" s="1">
        <f>IFERROR(__xludf.DUMMYFUNCTION("""COMPUTED_VALUE"""),1631.69)</f>
        <v>1631.69</v>
      </c>
    </row>
    <row r="828">
      <c r="A828" s="2">
        <f>IFERROR(__xludf.DUMMYFUNCTION("""COMPUTED_VALUE"""),36992.666666666664)</f>
        <v>36992.66667</v>
      </c>
      <c r="B828" s="1">
        <f>IFERROR(__xludf.DUMMYFUNCTION("""COMPUTED_VALUE"""),1628.23)</f>
        <v>1628.23</v>
      </c>
    </row>
    <row r="829">
      <c r="A829" s="2">
        <f>IFERROR(__xludf.DUMMYFUNCTION("""COMPUTED_VALUE"""),36993.666666666664)</f>
        <v>36993.66667</v>
      </c>
      <c r="B829" s="1">
        <f>IFERROR(__xludf.DUMMYFUNCTION("""COMPUTED_VALUE"""),1652.83)</f>
        <v>1652.83</v>
      </c>
    </row>
    <row r="830">
      <c r="A830" s="2">
        <f>IFERROR(__xludf.DUMMYFUNCTION("""COMPUTED_VALUE"""),36997.666666666664)</f>
        <v>36997.66667</v>
      </c>
      <c r="B830" s="1">
        <f>IFERROR(__xludf.DUMMYFUNCTION("""COMPUTED_VALUE"""),1647.5)</f>
        <v>1647.5</v>
      </c>
    </row>
    <row r="831">
      <c r="A831" s="2">
        <f>IFERROR(__xludf.DUMMYFUNCTION("""COMPUTED_VALUE"""),36998.666666666664)</f>
        <v>36998.66667</v>
      </c>
      <c r="B831" s="1">
        <f>IFERROR(__xludf.DUMMYFUNCTION("""COMPUTED_VALUE"""),1664.44)</f>
        <v>1664.44</v>
      </c>
    </row>
    <row r="832">
      <c r="A832" s="2">
        <f>IFERROR(__xludf.DUMMYFUNCTION("""COMPUTED_VALUE"""),36999.666666666664)</f>
        <v>36999.66667</v>
      </c>
      <c r="B832" s="1">
        <f>IFERROR(__xludf.DUMMYFUNCTION("""COMPUTED_VALUE"""),1729.26)</f>
        <v>1729.26</v>
      </c>
    </row>
    <row r="833">
      <c r="A833" s="2">
        <f>IFERROR(__xludf.DUMMYFUNCTION("""COMPUTED_VALUE"""),37000.666666666664)</f>
        <v>37000.66667</v>
      </c>
      <c r="B833" s="1">
        <f>IFERROR(__xludf.DUMMYFUNCTION("""COMPUTED_VALUE"""),1750.98)</f>
        <v>1750.98</v>
      </c>
    </row>
    <row r="834">
      <c r="A834" s="2">
        <f>IFERROR(__xludf.DUMMYFUNCTION("""COMPUTED_VALUE"""),37001.666666666664)</f>
        <v>37001.66667</v>
      </c>
      <c r="B834" s="1">
        <f>IFERROR(__xludf.DUMMYFUNCTION("""COMPUTED_VALUE"""),1736.02)</f>
        <v>1736.02</v>
      </c>
    </row>
    <row r="835">
      <c r="A835" s="2">
        <f>IFERROR(__xludf.DUMMYFUNCTION("""COMPUTED_VALUE"""),37004.666666666664)</f>
        <v>37004.66667</v>
      </c>
      <c r="B835" s="1">
        <f>IFERROR(__xludf.DUMMYFUNCTION("""COMPUTED_VALUE"""),1710.01)</f>
        <v>1710.01</v>
      </c>
    </row>
    <row r="836">
      <c r="A836" s="2">
        <f>IFERROR(__xludf.DUMMYFUNCTION("""COMPUTED_VALUE"""),37005.666666666664)</f>
        <v>37005.66667</v>
      </c>
      <c r="B836" s="1">
        <f>IFERROR(__xludf.DUMMYFUNCTION("""COMPUTED_VALUE"""),1689.23)</f>
        <v>1689.23</v>
      </c>
    </row>
    <row r="837">
      <c r="A837" s="2">
        <f>IFERROR(__xludf.DUMMYFUNCTION("""COMPUTED_VALUE"""),37006.666666666664)</f>
        <v>37006.66667</v>
      </c>
      <c r="B837" s="1">
        <f>IFERROR(__xludf.DUMMYFUNCTION("""COMPUTED_VALUE"""),1716.17)</f>
        <v>1716.17</v>
      </c>
    </row>
    <row r="838">
      <c r="A838" s="2">
        <f>IFERROR(__xludf.DUMMYFUNCTION("""COMPUTED_VALUE"""),37007.666666666664)</f>
        <v>37007.66667</v>
      </c>
      <c r="B838" s="1">
        <f>IFERROR(__xludf.DUMMYFUNCTION("""COMPUTED_VALUE"""),1724.38)</f>
        <v>1724.38</v>
      </c>
    </row>
    <row r="839">
      <c r="A839" s="2">
        <f>IFERROR(__xludf.DUMMYFUNCTION("""COMPUTED_VALUE"""),37008.666666666664)</f>
        <v>37008.66667</v>
      </c>
      <c r="B839" s="1">
        <f>IFERROR(__xludf.DUMMYFUNCTION("""COMPUTED_VALUE"""),1750.32)</f>
        <v>1750.32</v>
      </c>
    </row>
    <row r="840">
      <c r="A840" s="2">
        <f>IFERROR(__xludf.DUMMYFUNCTION("""COMPUTED_VALUE"""),37011.666666666664)</f>
        <v>37011.66667</v>
      </c>
      <c r="B840" s="1">
        <f>IFERROR(__xludf.DUMMYFUNCTION("""COMPUTED_VALUE"""),1745.39)</f>
        <v>1745.39</v>
      </c>
    </row>
    <row r="841">
      <c r="A841" s="2">
        <f>IFERROR(__xludf.DUMMYFUNCTION("""COMPUTED_VALUE"""),37012.666666666664)</f>
        <v>37012.66667</v>
      </c>
      <c r="B841" s="1">
        <f>IFERROR(__xludf.DUMMYFUNCTION("""COMPUTED_VALUE"""),1769.12)</f>
        <v>1769.12</v>
      </c>
    </row>
    <row r="842">
      <c r="A842" s="2">
        <f>IFERROR(__xludf.DUMMYFUNCTION("""COMPUTED_VALUE"""),37013.666666666664)</f>
        <v>37013.66667</v>
      </c>
      <c r="B842" s="1">
        <f>IFERROR(__xludf.DUMMYFUNCTION("""COMPUTED_VALUE"""),1770.66)</f>
        <v>1770.66</v>
      </c>
    </row>
    <row r="843">
      <c r="A843" s="2">
        <f>IFERROR(__xludf.DUMMYFUNCTION("""COMPUTED_VALUE"""),37014.666666666664)</f>
        <v>37014.66667</v>
      </c>
      <c r="B843" s="1">
        <f>IFERROR(__xludf.DUMMYFUNCTION("""COMPUTED_VALUE"""),1744.54)</f>
        <v>1744.54</v>
      </c>
    </row>
    <row r="844">
      <c r="A844" s="2">
        <f>IFERROR(__xludf.DUMMYFUNCTION("""COMPUTED_VALUE"""),37015.666666666664)</f>
        <v>37015.66667</v>
      </c>
      <c r="B844" s="1">
        <f>IFERROR(__xludf.DUMMYFUNCTION("""COMPUTED_VALUE"""),1769.78)</f>
        <v>1769.78</v>
      </c>
    </row>
    <row r="845">
      <c r="A845" s="2">
        <f>IFERROR(__xludf.DUMMYFUNCTION("""COMPUTED_VALUE"""),37018.666666666664)</f>
        <v>37018.66667</v>
      </c>
      <c r="B845" s="1">
        <f>IFERROR(__xludf.DUMMYFUNCTION("""COMPUTED_VALUE"""),1765.49)</f>
        <v>1765.49</v>
      </c>
    </row>
    <row r="846">
      <c r="A846" s="2">
        <f>IFERROR(__xludf.DUMMYFUNCTION("""COMPUTED_VALUE"""),37019.666666666664)</f>
        <v>37019.66667</v>
      </c>
      <c r="B846" s="1">
        <f>IFERROR(__xludf.DUMMYFUNCTION("""COMPUTED_VALUE"""),1762.41)</f>
        <v>1762.41</v>
      </c>
    </row>
    <row r="847">
      <c r="A847" s="2">
        <f>IFERROR(__xludf.DUMMYFUNCTION("""COMPUTED_VALUE"""),37020.666666666664)</f>
        <v>37020.66667</v>
      </c>
      <c r="B847" s="1">
        <f>IFERROR(__xludf.DUMMYFUNCTION("""COMPUTED_VALUE"""),1754.72)</f>
        <v>1754.72</v>
      </c>
    </row>
    <row r="848">
      <c r="A848" s="2">
        <f>IFERROR(__xludf.DUMMYFUNCTION("""COMPUTED_VALUE"""),37021.666666666664)</f>
        <v>37021.66667</v>
      </c>
      <c r="B848" s="1">
        <f>IFERROR(__xludf.DUMMYFUNCTION("""COMPUTED_VALUE"""),1754.46)</f>
        <v>1754.46</v>
      </c>
    </row>
    <row r="849">
      <c r="A849" s="2">
        <f>IFERROR(__xludf.DUMMYFUNCTION("""COMPUTED_VALUE"""),37022.666666666664)</f>
        <v>37022.66667</v>
      </c>
      <c r="B849" s="1">
        <f>IFERROR(__xludf.DUMMYFUNCTION("""COMPUTED_VALUE"""),1741.33)</f>
        <v>1741.33</v>
      </c>
    </row>
    <row r="850">
      <c r="A850" s="2">
        <f>IFERROR(__xludf.DUMMYFUNCTION("""COMPUTED_VALUE"""),37025.666666666664)</f>
        <v>37025.66667</v>
      </c>
      <c r="B850" s="1">
        <f>IFERROR(__xludf.DUMMYFUNCTION("""COMPUTED_VALUE"""),1746.01)</f>
        <v>1746.01</v>
      </c>
    </row>
    <row r="851">
      <c r="A851" s="2">
        <f>IFERROR(__xludf.DUMMYFUNCTION("""COMPUTED_VALUE"""),37026.666666666664)</f>
        <v>37026.66667</v>
      </c>
      <c r="B851" s="1">
        <f>IFERROR(__xludf.DUMMYFUNCTION("""COMPUTED_VALUE"""),1746.75)</f>
        <v>1746.75</v>
      </c>
    </row>
    <row r="852">
      <c r="A852" s="2">
        <f>IFERROR(__xludf.DUMMYFUNCTION("""COMPUTED_VALUE"""),37027.666666666664)</f>
        <v>37027.66667</v>
      </c>
      <c r="B852" s="1">
        <f>IFERROR(__xludf.DUMMYFUNCTION("""COMPUTED_VALUE"""),1796.72)</f>
        <v>1796.72</v>
      </c>
    </row>
    <row r="853">
      <c r="A853" s="2">
        <f>IFERROR(__xludf.DUMMYFUNCTION("""COMPUTED_VALUE"""),37028.666666666664)</f>
        <v>37028.66667</v>
      </c>
      <c r="B853" s="1">
        <f>IFERROR(__xludf.DUMMYFUNCTION("""COMPUTED_VALUE"""),1801.63)</f>
        <v>1801.63</v>
      </c>
    </row>
    <row r="854">
      <c r="A854" s="2">
        <f>IFERROR(__xludf.DUMMYFUNCTION("""COMPUTED_VALUE"""),37029.666666666664)</f>
        <v>37029.66667</v>
      </c>
      <c r="B854" s="1">
        <f>IFERROR(__xludf.DUMMYFUNCTION("""COMPUTED_VALUE"""),1806.83)</f>
        <v>1806.83</v>
      </c>
    </row>
    <row r="855">
      <c r="A855" s="2">
        <f>IFERROR(__xludf.DUMMYFUNCTION("""COMPUTED_VALUE"""),37032.666666666664)</f>
        <v>37032.66667</v>
      </c>
      <c r="B855" s="1">
        <f>IFERROR(__xludf.DUMMYFUNCTION("""COMPUTED_VALUE"""),1836.02)</f>
        <v>1836.02</v>
      </c>
    </row>
    <row r="856">
      <c r="A856" s="2">
        <f>IFERROR(__xludf.DUMMYFUNCTION("""COMPUTED_VALUE"""),37033.666666666664)</f>
        <v>37033.66667</v>
      </c>
      <c r="B856" s="1">
        <f>IFERROR(__xludf.DUMMYFUNCTION("""COMPUTED_VALUE"""),1831.2)</f>
        <v>1831.2</v>
      </c>
    </row>
    <row r="857">
      <c r="A857" s="2">
        <f>IFERROR(__xludf.DUMMYFUNCTION("""COMPUTED_VALUE"""),37034.666666666664)</f>
        <v>37034.66667</v>
      </c>
      <c r="B857" s="1">
        <f>IFERROR(__xludf.DUMMYFUNCTION("""COMPUTED_VALUE"""),1802.84)</f>
        <v>1802.84</v>
      </c>
    </row>
    <row r="858">
      <c r="A858" s="2">
        <f>IFERROR(__xludf.DUMMYFUNCTION("""COMPUTED_VALUE"""),37035.666666666664)</f>
        <v>37035.66667</v>
      </c>
      <c r="B858" s="1">
        <f>IFERROR(__xludf.DUMMYFUNCTION("""COMPUTED_VALUE"""),1808.64)</f>
        <v>1808.64</v>
      </c>
    </row>
    <row r="859">
      <c r="A859" s="2">
        <f>IFERROR(__xludf.DUMMYFUNCTION("""COMPUTED_VALUE"""),37036.666666666664)</f>
        <v>37036.66667</v>
      </c>
      <c r="B859" s="1">
        <f>IFERROR(__xludf.DUMMYFUNCTION("""COMPUTED_VALUE"""),1787.28)</f>
        <v>1787.28</v>
      </c>
    </row>
    <row r="860">
      <c r="A860" s="2">
        <f>IFERROR(__xludf.DUMMYFUNCTION("""COMPUTED_VALUE"""),37040.666666666664)</f>
        <v>37040.66667</v>
      </c>
      <c r="B860" s="1">
        <f>IFERROR(__xludf.DUMMYFUNCTION("""COMPUTED_VALUE"""),1773.46)</f>
        <v>1773.46</v>
      </c>
    </row>
    <row r="861">
      <c r="A861" s="2">
        <f>IFERROR(__xludf.DUMMYFUNCTION("""COMPUTED_VALUE"""),37041.666666666664)</f>
        <v>37041.66667</v>
      </c>
      <c r="B861" s="1">
        <f>IFERROR(__xludf.DUMMYFUNCTION("""COMPUTED_VALUE"""),1746.11)</f>
        <v>1746.11</v>
      </c>
    </row>
    <row r="862">
      <c r="A862" s="2">
        <f>IFERROR(__xludf.DUMMYFUNCTION("""COMPUTED_VALUE"""),37042.666666666664)</f>
        <v>37042.66667</v>
      </c>
      <c r="B862" s="1">
        <f>IFERROR(__xludf.DUMMYFUNCTION("""COMPUTED_VALUE"""),1757.09)</f>
        <v>1757.09</v>
      </c>
    </row>
    <row r="863">
      <c r="A863" s="2">
        <f>IFERROR(__xludf.DUMMYFUNCTION("""COMPUTED_VALUE"""),37043.666666666664)</f>
        <v>37043.66667</v>
      </c>
      <c r="B863" s="1">
        <f>IFERROR(__xludf.DUMMYFUNCTION("""COMPUTED_VALUE"""),1763.87)</f>
        <v>1763.87</v>
      </c>
    </row>
    <row r="864">
      <c r="A864" s="2">
        <f>IFERROR(__xludf.DUMMYFUNCTION("""COMPUTED_VALUE"""),37046.666666666664)</f>
        <v>37046.66667</v>
      </c>
      <c r="B864" s="1">
        <f>IFERROR(__xludf.DUMMYFUNCTION("""COMPUTED_VALUE"""),1772.92)</f>
        <v>1772.92</v>
      </c>
    </row>
    <row r="865">
      <c r="A865" s="2">
        <f>IFERROR(__xludf.DUMMYFUNCTION("""COMPUTED_VALUE"""),37047.666666666664)</f>
        <v>37047.66667</v>
      </c>
      <c r="B865" s="1">
        <f>IFERROR(__xludf.DUMMYFUNCTION("""COMPUTED_VALUE"""),1795.96)</f>
        <v>1795.96</v>
      </c>
    </row>
    <row r="866">
      <c r="A866" s="2">
        <f>IFERROR(__xludf.DUMMYFUNCTION("""COMPUTED_VALUE"""),37048.666666666664)</f>
        <v>37048.66667</v>
      </c>
      <c r="B866" s="1">
        <f>IFERROR(__xludf.DUMMYFUNCTION("""COMPUTED_VALUE"""),1777.25)</f>
        <v>1777.25</v>
      </c>
    </row>
    <row r="867">
      <c r="A867" s="2">
        <f>IFERROR(__xludf.DUMMYFUNCTION("""COMPUTED_VALUE"""),37049.666666666664)</f>
        <v>37049.66667</v>
      </c>
      <c r="B867" s="1">
        <f>IFERROR(__xludf.DUMMYFUNCTION("""COMPUTED_VALUE"""),1786.99)</f>
        <v>1786.99</v>
      </c>
    </row>
    <row r="868">
      <c r="A868" s="2">
        <f>IFERROR(__xludf.DUMMYFUNCTION("""COMPUTED_VALUE"""),37050.666666666664)</f>
        <v>37050.66667</v>
      </c>
      <c r="B868" s="1">
        <f>IFERROR(__xludf.DUMMYFUNCTION("""COMPUTED_VALUE"""),1770.21)</f>
        <v>1770.21</v>
      </c>
    </row>
    <row r="869">
      <c r="A869" s="2">
        <f>IFERROR(__xludf.DUMMYFUNCTION("""COMPUTED_VALUE"""),37053.666666666664)</f>
        <v>37053.66667</v>
      </c>
      <c r="B869" s="1">
        <f>IFERROR(__xludf.DUMMYFUNCTION("""COMPUTED_VALUE"""),1755.43)</f>
        <v>1755.43</v>
      </c>
    </row>
    <row r="870">
      <c r="A870" s="2">
        <f>IFERROR(__xludf.DUMMYFUNCTION("""COMPUTED_VALUE"""),37054.666666666664)</f>
        <v>37054.66667</v>
      </c>
      <c r="B870" s="1">
        <f>IFERROR(__xludf.DUMMYFUNCTION("""COMPUTED_VALUE"""),1757.48)</f>
        <v>1757.48</v>
      </c>
    </row>
    <row r="871">
      <c r="A871" s="2">
        <f>IFERROR(__xludf.DUMMYFUNCTION("""COMPUTED_VALUE"""),37055.666666666664)</f>
        <v>37055.66667</v>
      </c>
      <c r="B871" s="1">
        <f>IFERROR(__xludf.DUMMYFUNCTION("""COMPUTED_VALUE"""),1737.94)</f>
        <v>1737.94</v>
      </c>
    </row>
    <row r="872">
      <c r="A872" s="2">
        <f>IFERROR(__xludf.DUMMYFUNCTION("""COMPUTED_VALUE"""),37056.666666666664)</f>
        <v>37056.66667</v>
      </c>
      <c r="B872" s="1">
        <f>IFERROR(__xludf.DUMMYFUNCTION("""COMPUTED_VALUE"""),1707.56)</f>
        <v>1707.56</v>
      </c>
    </row>
    <row r="873">
      <c r="A873" s="2">
        <f>IFERROR(__xludf.DUMMYFUNCTION("""COMPUTED_VALUE"""),37057.666666666664)</f>
        <v>37057.66667</v>
      </c>
      <c r="B873" s="1">
        <f>IFERROR(__xludf.DUMMYFUNCTION("""COMPUTED_VALUE"""),1699.85)</f>
        <v>1699.85</v>
      </c>
    </row>
    <row r="874">
      <c r="A874" s="2">
        <f>IFERROR(__xludf.DUMMYFUNCTION("""COMPUTED_VALUE"""),37060.666666666664)</f>
        <v>37060.66667</v>
      </c>
      <c r="B874" s="1">
        <f>IFERROR(__xludf.DUMMYFUNCTION("""COMPUTED_VALUE"""),1691.59)</f>
        <v>1691.59</v>
      </c>
    </row>
    <row r="875">
      <c r="A875" s="2">
        <f>IFERROR(__xludf.DUMMYFUNCTION("""COMPUTED_VALUE"""),37061.666666666664)</f>
        <v>37061.66667</v>
      </c>
      <c r="B875" s="1">
        <f>IFERROR(__xludf.DUMMYFUNCTION("""COMPUTED_VALUE"""),1697.41)</f>
        <v>1697.41</v>
      </c>
    </row>
    <row r="876">
      <c r="A876" s="2">
        <f>IFERROR(__xludf.DUMMYFUNCTION("""COMPUTED_VALUE"""),37062.666666666664)</f>
        <v>37062.66667</v>
      </c>
      <c r="B876" s="1">
        <f>IFERROR(__xludf.DUMMYFUNCTION("""COMPUTED_VALUE"""),1712.26)</f>
        <v>1712.26</v>
      </c>
    </row>
    <row r="877">
      <c r="A877" s="2">
        <f>IFERROR(__xludf.DUMMYFUNCTION("""COMPUTED_VALUE"""),37063.666666666664)</f>
        <v>37063.66667</v>
      </c>
      <c r="B877" s="1">
        <f>IFERROR(__xludf.DUMMYFUNCTION("""COMPUTED_VALUE"""),1731.75)</f>
        <v>1731.75</v>
      </c>
    </row>
    <row r="878">
      <c r="A878" s="2">
        <f>IFERROR(__xludf.DUMMYFUNCTION("""COMPUTED_VALUE"""),37064.666666666664)</f>
        <v>37064.66667</v>
      </c>
      <c r="B878" s="1">
        <f>IFERROR(__xludf.DUMMYFUNCTION("""COMPUTED_VALUE"""),1715.39)</f>
        <v>1715.39</v>
      </c>
    </row>
    <row r="879">
      <c r="A879" s="2">
        <f>IFERROR(__xludf.DUMMYFUNCTION("""COMPUTED_VALUE"""),37067.666666666664)</f>
        <v>37067.66667</v>
      </c>
      <c r="B879" s="1">
        <f>IFERROR(__xludf.DUMMYFUNCTION("""COMPUTED_VALUE"""),1705.97)</f>
        <v>1705.97</v>
      </c>
    </row>
    <row r="880">
      <c r="A880" s="2">
        <f>IFERROR(__xludf.DUMMYFUNCTION("""COMPUTED_VALUE"""),37068.666666666664)</f>
        <v>37068.66667</v>
      </c>
      <c r="B880" s="1">
        <f>IFERROR(__xludf.DUMMYFUNCTION("""COMPUTED_VALUE"""),1703.37)</f>
        <v>1703.37</v>
      </c>
    </row>
    <row r="881">
      <c r="A881" s="2">
        <f>IFERROR(__xludf.DUMMYFUNCTION("""COMPUTED_VALUE"""),37069.666666666664)</f>
        <v>37069.66667</v>
      </c>
      <c r="B881" s="1">
        <f>IFERROR(__xludf.DUMMYFUNCTION("""COMPUTED_VALUE"""),1695.61)</f>
        <v>1695.61</v>
      </c>
    </row>
    <row r="882">
      <c r="A882" s="2">
        <f>IFERROR(__xludf.DUMMYFUNCTION("""COMPUTED_VALUE"""),37070.666666666664)</f>
        <v>37070.66667</v>
      </c>
      <c r="B882" s="1">
        <f>IFERROR(__xludf.DUMMYFUNCTION("""COMPUTED_VALUE"""),1716.81)</f>
        <v>1716.81</v>
      </c>
    </row>
    <row r="883">
      <c r="A883" s="2">
        <f>IFERROR(__xludf.DUMMYFUNCTION("""COMPUTED_VALUE"""),37071.666666666664)</f>
        <v>37071.66667</v>
      </c>
      <c r="B883" s="1">
        <f>IFERROR(__xludf.DUMMYFUNCTION("""COMPUTED_VALUE"""),1714.32)</f>
        <v>1714.32</v>
      </c>
    </row>
    <row r="884">
      <c r="A884" s="2">
        <f>IFERROR(__xludf.DUMMYFUNCTION("""COMPUTED_VALUE"""),37074.666666666664)</f>
        <v>37074.66667</v>
      </c>
      <c r="B884" s="1">
        <f>IFERROR(__xludf.DUMMYFUNCTION("""COMPUTED_VALUE"""),1731.53)</f>
        <v>1731.53</v>
      </c>
    </row>
    <row r="885">
      <c r="A885" s="2">
        <f>IFERROR(__xludf.DUMMYFUNCTION("""COMPUTED_VALUE"""),37075.666666666664)</f>
        <v>37075.66667</v>
      </c>
      <c r="B885" s="1">
        <f>IFERROR(__xludf.DUMMYFUNCTION("""COMPUTED_VALUE"""),1728.65)</f>
        <v>1728.65</v>
      </c>
    </row>
    <row r="886">
      <c r="A886" s="2">
        <f>IFERROR(__xludf.DUMMYFUNCTION("""COMPUTED_VALUE"""),37077.666666666664)</f>
        <v>37077.66667</v>
      </c>
      <c r="B886" s="1">
        <f>IFERROR(__xludf.DUMMYFUNCTION("""COMPUTED_VALUE"""),1707.68)</f>
        <v>1707.68</v>
      </c>
    </row>
    <row r="887">
      <c r="A887" s="2">
        <f>IFERROR(__xludf.DUMMYFUNCTION("""COMPUTED_VALUE"""),37078.666666666664)</f>
        <v>37078.66667</v>
      </c>
      <c r="B887" s="1">
        <f>IFERROR(__xludf.DUMMYFUNCTION("""COMPUTED_VALUE"""),1667.9)</f>
        <v>1667.9</v>
      </c>
    </row>
    <row r="888">
      <c r="A888" s="2">
        <f>IFERROR(__xludf.DUMMYFUNCTION("""COMPUTED_VALUE"""),37081.666666666664)</f>
        <v>37081.66667</v>
      </c>
      <c r="B888" s="1">
        <f>IFERROR(__xludf.DUMMYFUNCTION("""COMPUTED_VALUE"""),1679.4)</f>
        <v>1679.4</v>
      </c>
    </row>
    <row r="889">
      <c r="A889" s="2">
        <f>IFERROR(__xludf.DUMMYFUNCTION("""COMPUTED_VALUE"""),37082.666666666664)</f>
        <v>37082.66667</v>
      </c>
      <c r="B889" s="1">
        <f>IFERROR(__xludf.DUMMYFUNCTION("""COMPUTED_VALUE"""),1655.31)</f>
        <v>1655.31</v>
      </c>
    </row>
    <row r="890">
      <c r="A890" s="2">
        <f>IFERROR(__xludf.DUMMYFUNCTION("""COMPUTED_VALUE"""),37083.666666666664)</f>
        <v>37083.66667</v>
      </c>
      <c r="B890" s="1">
        <f>IFERROR(__xludf.DUMMYFUNCTION("""COMPUTED_VALUE"""),1653.54)</f>
        <v>1653.54</v>
      </c>
    </row>
    <row r="891">
      <c r="A891" s="2">
        <f>IFERROR(__xludf.DUMMYFUNCTION("""COMPUTED_VALUE"""),37084.666666666664)</f>
        <v>37084.66667</v>
      </c>
      <c r="B891" s="1">
        <f>IFERROR(__xludf.DUMMYFUNCTION("""COMPUTED_VALUE"""),1692.73)</f>
        <v>1692.73</v>
      </c>
    </row>
    <row r="892">
      <c r="A892" s="2">
        <f>IFERROR(__xludf.DUMMYFUNCTION("""COMPUTED_VALUE"""),37085.666666666664)</f>
        <v>37085.66667</v>
      </c>
      <c r="B892" s="1">
        <f>IFERROR(__xludf.DUMMYFUNCTION("""COMPUTED_VALUE"""),1703.31)</f>
        <v>1703.31</v>
      </c>
    </row>
    <row r="893">
      <c r="A893" s="2">
        <f>IFERROR(__xludf.DUMMYFUNCTION("""COMPUTED_VALUE"""),37088.666666666664)</f>
        <v>37088.66667</v>
      </c>
      <c r="B893" s="1">
        <f>IFERROR(__xludf.DUMMYFUNCTION("""COMPUTED_VALUE"""),1684.77)</f>
        <v>1684.77</v>
      </c>
    </row>
    <row r="894">
      <c r="A894" s="2">
        <f>IFERROR(__xludf.DUMMYFUNCTION("""COMPUTED_VALUE"""),37089.666666666664)</f>
        <v>37089.66667</v>
      </c>
      <c r="B894" s="1">
        <f>IFERROR(__xludf.DUMMYFUNCTION("""COMPUTED_VALUE"""),1701.57)</f>
        <v>1701.57</v>
      </c>
    </row>
    <row r="895">
      <c r="A895" s="2">
        <f>IFERROR(__xludf.DUMMYFUNCTION("""COMPUTED_VALUE"""),37090.666666666664)</f>
        <v>37090.66667</v>
      </c>
      <c r="B895" s="1">
        <f>IFERROR(__xludf.DUMMYFUNCTION("""COMPUTED_VALUE"""),1692.27)</f>
        <v>1692.27</v>
      </c>
    </row>
    <row r="896">
      <c r="A896" s="2">
        <f>IFERROR(__xludf.DUMMYFUNCTION("""COMPUTED_VALUE"""),37091.666666666664)</f>
        <v>37091.66667</v>
      </c>
      <c r="B896" s="1">
        <f>IFERROR(__xludf.DUMMYFUNCTION("""COMPUTED_VALUE"""),1702.52)</f>
        <v>1702.52</v>
      </c>
    </row>
    <row r="897">
      <c r="A897" s="2">
        <f>IFERROR(__xludf.DUMMYFUNCTION("""COMPUTED_VALUE"""),37092.666666666664)</f>
        <v>37092.66667</v>
      </c>
      <c r="B897" s="1">
        <f>IFERROR(__xludf.DUMMYFUNCTION("""COMPUTED_VALUE"""),1696.67)</f>
        <v>1696.67</v>
      </c>
    </row>
    <row r="898">
      <c r="A898" s="2">
        <f>IFERROR(__xludf.DUMMYFUNCTION("""COMPUTED_VALUE"""),37095.666666666664)</f>
        <v>37095.66667</v>
      </c>
      <c r="B898" s="1">
        <f>IFERROR(__xludf.DUMMYFUNCTION("""COMPUTED_VALUE"""),1668.9)</f>
        <v>1668.9</v>
      </c>
    </row>
    <row r="899">
      <c r="A899" s="2">
        <f>IFERROR(__xludf.DUMMYFUNCTION("""COMPUTED_VALUE"""),37096.666666666664)</f>
        <v>37096.66667</v>
      </c>
      <c r="B899" s="1">
        <f>IFERROR(__xludf.DUMMYFUNCTION("""COMPUTED_VALUE"""),1641.76)</f>
        <v>1641.76</v>
      </c>
    </row>
    <row r="900">
      <c r="A900" s="2">
        <f>IFERROR(__xludf.DUMMYFUNCTION("""COMPUTED_VALUE"""),37097.666666666664)</f>
        <v>37097.66667</v>
      </c>
      <c r="B900" s="1">
        <f>IFERROR(__xludf.DUMMYFUNCTION("""COMPUTED_VALUE"""),1668.16)</f>
        <v>1668.16</v>
      </c>
    </row>
    <row r="901">
      <c r="A901" s="2">
        <f>IFERROR(__xludf.DUMMYFUNCTION("""COMPUTED_VALUE"""),37098.666666666664)</f>
        <v>37098.66667</v>
      </c>
      <c r="B901" s="1">
        <f>IFERROR(__xludf.DUMMYFUNCTION("""COMPUTED_VALUE"""),1685.62)</f>
        <v>1685.62</v>
      </c>
    </row>
    <row r="902">
      <c r="A902" s="2">
        <f>IFERROR(__xludf.DUMMYFUNCTION("""COMPUTED_VALUE"""),37099.666666666664)</f>
        <v>37099.66667</v>
      </c>
      <c r="B902" s="1">
        <f>IFERROR(__xludf.DUMMYFUNCTION("""COMPUTED_VALUE"""),1689.79)</f>
        <v>1689.79</v>
      </c>
    </row>
    <row r="903">
      <c r="A903" s="2">
        <f>IFERROR(__xludf.DUMMYFUNCTION("""COMPUTED_VALUE"""),37102.666666666664)</f>
        <v>37102.66667</v>
      </c>
      <c r="B903" s="1">
        <f>IFERROR(__xludf.DUMMYFUNCTION("""COMPUTED_VALUE"""),1688.03)</f>
        <v>1688.03</v>
      </c>
    </row>
    <row r="904">
      <c r="A904" s="2">
        <f>IFERROR(__xludf.DUMMYFUNCTION("""COMPUTED_VALUE"""),37103.666666666664)</f>
        <v>37103.66667</v>
      </c>
      <c r="B904" s="1">
        <f>IFERROR(__xludf.DUMMYFUNCTION("""COMPUTED_VALUE"""),1697.45)</f>
        <v>1697.45</v>
      </c>
    </row>
    <row r="905">
      <c r="A905" s="2">
        <f>IFERROR(__xludf.DUMMYFUNCTION("""COMPUTED_VALUE"""),37104.666666666664)</f>
        <v>37104.66667</v>
      </c>
      <c r="B905" s="1">
        <f>IFERROR(__xludf.DUMMYFUNCTION("""COMPUTED_VALUE"""),1704.24)</f>
        <v>1704.24</v>
      </c>
    </row>
    <row r="906">
      <c r="A906" s="2">
        <f>IFERROR(__xludf.DUMMYFUNCTION("""COMPUTED_VALUE"""),37105.666666666664)</f>
        <v>37105.66667</v>
      </c>
      <c r="B906" s="1">
        <f>IFERROR(__xludf.DUMMYFUNCTION("""COMPUTED_VALUE"""),1711.17)</f>
        <v>1711.17</v>
      </c>
    </row>
    <row r="907">
      <c r="A907" s="2">
        <f>IFERROR(__xludf.DUMMYFUNCTION("""COMPUTED_VALUE"""),37106.666666666664)</f>
        <v>37106.66667</v>
      </c>
      <c r="B907" s="1">
        <f>IFERROR(__xludf.DUMMYFUNCTION("""COMPUTED_VALUE"""),1702.43)</f>
        <v>1702.43</v>
      </c>
    </row>
    <row r="908">
      <c r="A908" s="2">
        <f>IFERROR(__xludf.DUMMYFUNCTION("""COMPUTED_VALUE"""),37109.666666666664)</f>
        <v>37109.66667</v>
      </c>
      <c r="B908" s="1">
        <f>IFERROR(__xludf.DUMMYFUNCTION("""COMPUTED_VALUE"""),1683.03)</f>
        <v>1683.03</v>
      </c>
    </row>
    <row r="909">
      <c r="A909" s="2">
        <f>IFERROR(__xludf.DUMMYFUNCTION("""COMPUTED_VALUE"""),37110.666666666664)</f>
        <v>37110.66667</v>
      </c>
      <c r="B909" s="1">
        <f>IFERROR(__xludf.DUMMYFUNCTION("""COMPUTED_VALUE"""),1688.6)</f>
        <v>1688.6</v>
      </c>
    </row>
    <row r="910">
      <c r="A910" s="2">
        <f>IFERROR(__xludf.DUMMYFUNCTION("""COMPUTED_VALUE"""),37111.666666666664)</f>
        <v>37111.66667</v>
      </c>
      <c r="B910" s="1">
        <f>IFERROR(__xludf.DUMMYFUNCTION("""COMPUTED_VALUE"""),1659.58)</f>
        <v>1659.58</v>
      </c>
    </row>
    <row r="911">
      <c r="A911" s="2">
        <f>IFERROR(__xludf.DUMMYFUNCTION("""COMPUTED_VALUE"""),37112.666666666664)</f>
        <v>37112.66667</v>
      </c>
      <c r="B911" s="1">
        <f>IFERROR(__xludf.DUMMYFUNCTION("""COMPUTED_VALUE"""),1659.76)</f>
        <v>1659.76</v>
      </c>
    </row>
    <row r="912">
      <c r="A912" s="2">
        <f>IFERROR(__xludf.DUMMYFUNCTION("""COMPUTED_VALUE"""),37113.666666666664)</f>
        <v>37113.66667</v>
      </c>
      <c r="B912" s="1">
        <f>IFERROR(__xludf.DUMMYFUNCTION("""COMPUTED_VALUE"""),1669.21)</f>
        <v>1669.21</v>
      </c>
    </row>
    <row r="913">
      <c r="A913" s="2">
        <f>IFERROR(__xludf.DUMMYFUNCTION("""COMPUTED_VALUE"""),37116.666666666664)</f>
        <v>37116.66667</v>
      </c>
      <c r="B913" s="1">
        <f>IFERROR(__xludf.DUMMYFUNCTION("""COMPUTED_VALUE"""),1670.95)</f>
        <v>1670.95</v>
      </c>
    </row>
    <row r="914">
      <c r="A914" s="2">
        <f>IFERROR(__xludf.DUMMYFUNCTION("""COMPUTED_VALUE"""),37117.666666666664)</f>
        <v>37117.66667</v>
      </c>
      <c r="B914" s="1">
        <f>IFERROR(__xludf.DUMMYFUNCTION("""COMPUTED_VALUE"""),1664.61)</f>
        <v>1664.61</v>
      </c>
    </row>
    <row r="915">
      <c r="A915" s="2">
        <f>IFERROR(__xludf.DUMMYFUNCTION("""COMPUTED_VALUE"""),37118.666666666664)</f>
        <v>37118.66667</v>
      </c>
      <c r="B915" s="1">
        <f>IFERROR(__xludf.DUMMYFUNCTION("""COMPUTED_VALUE"""),1652.71)</f>
        <v>1652.71</v>
      </c>
    </row>
    <row r="916">
      <c r="A916" s="2">
        <f>IFERROR(__xludf.DUMMYFUNCTION("""COMPUTED_VALUE"""),37119.666666666664)</f>
        <v>37119.66667</v>
      </c>
      <c r="B916" s="1">
        <f>IFERROR(__xludf.DUMMYFUNCTION("""COMPUTED_VALUE"""),1657.88)</f>
        <v>1657.88</v>
      </c>
    </row>
    <row r="917">
      <c r="A917" s="2">
        <f>IFERROR(__xludf.DUMMYFUNCTION("""COMPUTED_VALUE"""),37120.666666666664)</f>
        <v>37120.66667</v>
      </c>
      <c r="B917" s="1">
        <f>IFERROR(__xludf.DUMMYFUNCTION("""COMPUTED_VALUE"""),1630.35)</f>
        <v>1630.35</v>
      </c>
    </row>
    <row r="918">
      <c r="A918" s="2">
        <f>IFERROR(__xludf.DUMMYFUNCTION("""COMPUTED_VALUE"""),37123.666666666664)</f>
        <v>37123.66667</v>
      </c>
      <c r="B918" s="1">
        <f>IFERROR(__xludf.DUMMYFUNCTION("""COMPUTED_VALUE"""),1643.59)</f>
        <v>1643.59</v>
      </c>
    </row>
    <row r="919">
      <c r="A919" s="2">
        <f>IFERROR(__xludf.DUMMYFUNCTION("""COMPUTED_VALUE"""),37124.666666666664)</f>
        <v>37124.66667</v>
      </c>
      <c r="B919" s="1">
        <f>IFERROR(__xludf.DUMMYFUNCTION("""COMPUTED_VALUE"""),1623.74)</f>
        <v>1623.74</v>
      </c>
    </row>
    <row r="920">
      <c r="A920" s="2">
        <f>IFERROR(__xludf.DUMMYFUNCTION("""COMPUTED_VALUE"""),37125.666666666664)</f>
        <v>37125.66667</v>
      </c>
      <c r="B920" s="1">
        <f>IFERROR(__xludf.DUMMYFUNCTION("""COMPUTED_VALUE"""),1635.16)</f>
        <v>1635.16</v>
      </c>
    </row>
    <row r="921">
      <c r="A921" s="2">
        <f>IFERROR(__xludf.DUMMYFUNCTION("""COMPUTED_VALUE"""),37126.666666666664)</f>
        <v>37126.66667</v>
      </c>
      <c r="B921" s="1">
        <f>IFERROR(__xludf.DUMMYFUNCTION("""COMPUTED_VALUE"""),1630.67)</f>
        <v>1630.67</v>
      </c>
    </row>
    <row r="922">
      <c r="A922" s="2">
        <f>IFERROR(__xludf.DUMMYFUNCTION("""COMPUTED_VALUE"""),37127.666666666664)</f>
        <v>37127.66667</v>
      </c>
      <c r="B922" s="1">
        <f>IFERROR(__xludf.DUMMYFUNCTION("""COMPUTED_VALUE"""),1662.74)</f>
        <v>1662.74</v>
      </c>
    </row>
    <row r="923">
      <c r="A923" s="2">
        <f>IFERROR(__xludf.DUMMYFUNCTION("""COMPUTED_VALUE"""),37130.666666666664)</f>
        <v>37130.66667</v>
      </c>
      <c r="B923" s="1">
        <f>IFERROR(__xludf.DUMMYFUNCTION("""COMPUTED_VALUE"""),1654.72)</f>
        <v>1654.72</v>
      </c>
    </row>
    <row r="924">
      <c r="A924" s="2">
        <f>IFERROR(__xludf.DUMMYFUNCTION("""COMPUTED_VALUE"""),37131.666666666664)</f>
        <v>37131.66667</v>
      </c>
      <c r="B924" s="1">
        <f>IFERROR(__xludf.DUMMYFUNCTION("""COMPUTED_VALUE"""),1629.91)</f>
        <v>1629.91</v>
      </c>
    </row>
    <row r="925">
      <c r="A925" s="2">
        <f>IFERROR(__xludf.DUMMYFUNCTION("""COMPUTED_VALUE"""),37132.666666666664)</f>
        <v>37132.66667</v>
      </c>
      <c r="B925" s="1">
        <f>IFERROR(__xludf.DUMMYFUNCTION("""COMPUTED_VALUE"""),1612.05)</f>
        <v>1612.05</v>
      </c>
    </row>
    <row r="926">
      <c r="A926" s="2">
        <f>IFERROR(__xludf.DUMMYFUNCTION("""COMPUTED_VALUE"""),37133.666666666664)</f>
        <v>37133.66667</v>
      </c>
      <c r="B926" s="1">
        <f>IFERROR(__xludf.DUMMYFUNCTION("""COMPUTED_VALUE"""),1584.77)</f>
        <v>1584.77</v>
      </c>
    </row>
    <row r="927">
      <c r="A927" s="2">
        <f>IFERROR(__xludf.DUMMYFUNCTION("""COMPUTED_VALUE"""),37134.666666666664)</f>
        <v>37134.66667</v>
      </c>
      <c r="B927" s="1">
        <f>IFERROR(__xludf.DUMMYFUNCTION("""COMPUTED_VALUE"""),1591.18)</f>
        <v>1591.18</v>
      </c>
    </row>
    <row r="928">
      <c r="A928" s="2">
        <f>IFERROR(__xludf.DUMMYFUNCTION("""COMPUTED_VALUE"""),37138.666666666664)</f>
        <v>37138.66667</v>
      </c>
      <c r="B928" s="1">
        <f>IFERROR(__xludf.DUMMYFUNCTION("""COMPUTED_VALUE"""),1590.29)</f>
        <v>1590.29</v>
      </c>
    </row>
    <row r="929">
      <c r="A929" s="2">
        <f>IFERROR(__xludf.DUMMYFUNCTION("""COMPUTED_VALUE"""),37139.666666666664)</f>
        <v>37139.66667</v>
      </c>
      <c r="B929" s="1">
        <f>IFERROR(__xludf.DUMMYFUNCTION("""COMPUTED_VALUE"""),1588.93)</f>
        <v>1588.93</v>
      </c>
    </row>
    <row r="930">
      <c r="A930" s="2">
        <f>IFERROR(__xludf.DUMMYFUNCTION("""COMPUTED_VALUE"""),37140.666666666664)</f>
        <v>37140.66667</v>
      </c>
      <c r="B930" s="1">
        <f>IFERROR(__xludf.DUMMYFUNCTION("""COMPUTED_VALUE"""),1553.41)</f>
        <v>1553.41</v>
      </c>
    </row>
    <row r="931">
      <c r="A931" s="2">
        <f>IFERROR(__xludf.DUMMYFUNCTION("""COMPUTED_VALUE"""),37141.666666666664)</f>
        <v>37141.66667</v>
      </c>
      <c r="B931" s="1">
        <f>IFERROR(__xludf.DUMMYFUNCTION("""COMPUTED_VALUE"""),1524.47)</f>
        <v>1524.47</v>
      </c>
    </row>
    <row r="932">
      <c r="A932" s="2">
        <f>IFERROR(__xludf.DUMMYFUNCTION("""COMPUTED_VALUE"""),37144.666666666664)</f>
        <v>37144.66667</v>
      </c>
      <c r="B932" s="1">
        <f>IFERROR(__xludf.DUMMYFUNCTION("""COMPUTED_VALUE"""),1533.98)</f>
        <v>1533.98</v>
      </c>
    </row>
    <row r="933">
      <c r="A933" s="2">
        <f>IFERROR(__xludf.DUMMYFUNCTION("""COMPUTED_VALUE"""),37151.666666666664)</f>
        <v>37151.66667</v>
      </c>
      <c r="B933" s="1">
        <f>IFERROR(__xludf.DUMMYFUNCTION("""COMPUTED_VALUE"""),1459.0)</f>
        <v>1459</v>
      </c>
    </row>
    <row r="934">
      <c r="A934" s="2">
        <f>IFERROR(__xludf.DUMMYFUNCTION("""COMPUTED_VALUE"""),37152.666666666664)</f>
        <v>37152.66667</v>
      </c>
      <c r="B934" s="1">
        <f>IFERROR(__xludf.DUMMYFUNCTION("""COMPUTED_VALUE"""),1450.54)</f>
        <v>1450.54</v>
      </c>
    </row>
    <row r="935">
      <c r="A935" s="2">
        <f>IFERROR(__xludf.DUMMYFUNCTION("""COMPUTED_VALUE"""),37153.666666666664)</f>
        <v>37153.66667</v>
      </c>
      <c r="B935" s="1">
        <f>IFERROR(__xludf.DUMMYFUNCTION("""COMPUTED_VALUE"""),1427.25)</f>
        <v>1427.25</v>
      </c>
    </row>
    <row r="936">
      <c r="A936" s="2">
        <f>IFERROR(__xludf.DUMMYFUNCTION("""COMPUTED_VALUE"""),37154.666666666664)</f>
        <v>37154.66667</v>
      </c>
      <c r="B936" s="1">
        <f>IFERROR(__xludf.DUMMYFUNCTION("""COMPUTED_VALUE"""),1382.93)</f>
        <v>1382.93</v>
      </c>
    </row>
    <row r="937">
      <c r="A937" s="2">
        <f>IFERROR(__xludf.DUMMYFUNCTION("""COMPUTED_VALUE"""),37155.666666666664)</f>
        <v>37155.66667</v>
      </c>
      <c r="B937" s="1">
        <f>IFERROR(__xludf.DUMMYFUNCTION("""COMPUTED_VALUE"""),1356.61)</f>
        <v>1356.61</v>
      </c>
    </row>
    <row r="938">
      <c r="A938" s="2">
        <f>IFERROR(__xludf.DUMMYFUNCTION("""COMPUTED_VALUE"""),37158.666666666664)</f>
        <v>37158.66667</v>
      </c>
      <c r="B938" s="1">
        <f>IFERROR(__xludf.DUMMYFUNCTION("""COMPUTED_VALUE"""),1409.5)</f>
        <v>1409.5</v>
      </c>
    </row>
    <row r="939">
      <c r="A939" s="2">
        <f>IFERROR(__xludf.DUMMYFUNCTION("""COMPUTED_VALUE"""),37159.666666666664)</f>
        <v>37159.66667</v>
      </c>
      <c r="B939" s="1">
        <f>IFERROR(__xludf.DUMMYFUNCTION("""COMPUTED_VALUE"""),1421.91)</f>
        <v>1421.91</v>
      </c>
    </row>
    <row r="940">
      <c r="A940" s="2">
        <f>IFERROR(__xludf.DUMMYFUNCTION("""COMPUTED_VALUE"""),37160.666666666664)</f>
        <v>37160.66667</v>
      </c>
      <c r="B940" s="1">
        <f>IFERROR(__xludf.DUMMYFUNCTION("""COMPUTED_VALUE"""),1415.01)</f>
        <v>1415.01</v>
      </c>
    </row>
    <row r="941">
      <c r="A941" s="2">
        <f>IFERROR(__xludf.DUMMYFUNCTION("""COMPUTED_VALUE"""),37161.666666666664)</f>
        <v>37161.66667</v>
      </c>
      <c r="B941" s="1">
        <f>IFERROR(__xludf.DUMMYFUNCTION("""COMPUTED_VALUE"""),1431.29)</f>
        <v>1431.29</v>
      </c>
    </row>
    <row r="942">
      <c r="A942" s="2">
        <f>IFERROR(__xludf.DUMMYFUNCTION("""COMPUTED_VALUE"""),37162.666666666664)</f>
        <v>37162.66667</v>
      </c>
      <c r="B942" s="1">
        <f>IFERROR(__xludf.DUMMYFUNCTION("""COMPUTED_VALUE"""),1462.69)</f>
        <v>1462.69</v>
      </c>
    </row>
    <row r="943">
      <c r="A943" s="2">
        <f>IFERROR(__xludf.DUMMYFUNCTION("""COMPUTED_VALUE"""),37165.666666666664)</f>
        <v>37165.66667</v>
      </c>
      <c r="B943" s="1">
        <f>IFERROR(__xludf.DUMMYFUNCTION("""COMPUTED_VALUE"""),1459.33)</f>
        <v>1459.33</v>
      </c>
    </row>
    <row r="944">
      <c r="A944" s="2">
        <f>IFERROR(__xludf.DUMMYFUNCTION("""COMPUTED_VALUE"""),37166.666666666664)</f>
        <v>37166.66667</v>
      </c>
      <c r="B944" s="1">
        <f>IFERROR(__xludf.DUMMYFUNCTION("""COMPUTED_VALUE"""),1477.29)</f>
        <v>1477.29</v>
      </c>
    </row>
    <row r="945">
      <c r="A945" s="2">
        <f>IFERROR(__xludf.DUMMYFUNCTION("""COMPUTED_VALUE"""),37167.666666666664)</f>
        <v>37167.66667</v>
      </c>
      <c r="B945" s="1">
        <f>IFERROR(__xludf.DUMMYFUNCTION("""COMPUTED_VALUE"""),1507.03)</f>
        <v>1507.03</v>
      </c>
    </row>
    <row r="946">
      <c r="A946" s="2">
        <f>IFERROR(__xludf.DUMMYFUNCTION("""COMPUTED_VALUE"""),37168.666666666664)</f>
        <v>37168.66667</v>
      </c>
      <c r="B946" s="1">
        <f>IFERROR(__xludf.DUMMYFUNCTION("""COMPUTED_VALUE"""),1503.31)</f>
        <v>1503.31</v>
      </c>
    </row>
    <row r="947">
      <c r="A947" s="2">
        <f>IFERROR(__xludf.DUMMYFUNCTION("""COMPUTED_VALUE"""),37169.666666666664)</f>
        <v>37169.66667</v>
      </c>
      <c r="B947" s="1">
        <f>IFERROR(__xludf.DUMMYFUNCTION("""COMPUTED_VALUE"""),1506.11)</f>
        <v>1506.11</v>
      </c>
    </row>
    <row r="948">
      <c r="A948" s="2">
        <f>IFERROR(__xludf.DUMMYFUNCTION("""COMPUTED_VALUE"""),37172.666666666664)</f>
        <v>37172.66667</v>
      </c>
      <c r="B948" s="1">
        <f>IFERROR(__xludf.DUMMYFUNCTION("""COMPUTED_VALUE"""),1493.54)</f>
        <v>1493.54</v>
      </c>
    </row>
    <row r="949">
      <c r="A949" s="2">
        <f>IFERROR(__xludf.DUMMYFUNCTION("""COMPUTED_VALUE"""),37173.666666666664)</f>
        <v>37173.66667</v>
      </c>
      <c r="B949" s="1">
        <f>IFERROR(__xludf.DUMMYFUNCTION("""COMPUTED_VALUE"""),1485.63)</f>
        <v>1485.63</v>
      </c>
    </row>
    <row r="950">
      <c r="A950" s="2">
        <f>IFERROR(__xludf.DUMMYFUNCTION("""COMPUTED_VALUE"""),37174.666666666664)</f>
        <v>37174.66667</v>
      </c>
      <c r="B950" s="1">
        <f>IFERROR(__xludf.DUMMYFUNCTION("""COMPUTED_VALUE"""),1519.77)</f>
        <v>1519.77</v>
      </c>
    </row>
    <row r="951">
      <c r="A951" s="2">
        <f>IFERROR(__xludf.DUMMYFUNCTION("""COMPUTED_VALUE"""),37175.666666666664)</f>
        <v>37175.66667</v>
      </c>
      <c r="B951" s="1">
        <f>IFERROR(__xludf.DUMMYFUNCTION("""COMPUTED_VALUE"""),1542.98)</f>
        <v>1542.98</v>
      </c>
    </row>
    <row r="952">
      <c r="A952" s="2">
        <f>IFERROR(__xludf.DUMMYFUNCTION("""COMPUTED_VALUE"""),37176.666666666664)</f>
        <v>37176.66667</v>
      </c>
      <c r="B952" s="1">
        <f>IFERROR(__xludf.DUMMYFUNCTION("""COMPUTED_VALUE"""),1534.86)</f>
        <v>1534.86</v>
      </c>
    </row>
    <row r="953">
      <c r="A953" s="2">
        <f>IFERROR(__xludf.DUMMYFUNCTION("""COMPUTED_VALUE"""),37179.666666666664)</f>
        <v>37179.66667</v>
      </c>
      <c r="B953" s="1">
        <f>IFERROR(__xludf.DUMMYFUNCTION("""COMPUTED_VALUE"""),1532.52)</f>
        <v>1532.52</v>
      </c>
    </row>
    <row r="954">
      <c r="A954" s="2">
        <f>IFERROR(__xludf.DUMMYFUNCTION("""COMPUTED_VALUE"""),37180.666666666664)</f>
        <v>37180.66667</v>
      </c>
      <c r="B954" s="1">
        <f>IFERROR(__xludf.DUMMYFUNCTION("""COMPUTED_VALUE"""),1543.15)</f>
        <v>1543.15</v>
      </c>
    </row>
    <row r="955">
      <c r="A955" s="2">
        <f>IFERROR(__xludf.DUMMYFUNCTION("""COMPUTED_VALUE"""),37181.666666666664)</f>
        <v>37181.66667</v>
      </c>
      <c r="B955" s="1">
        <f>IFERROR(__xludf.DUMMYFUNCTION("""COMPUTED_VALUE"""),1514.5)</f>
        <v>1514.5</v>
      </c>
    </row>
    <row r="956">
      <c r="A956" s="2">
        <f>IFERROR(__xludf.DUMMYFUNCTION("""COMPUTED_VALUE"""),37182.666666666664)</f>
        <v>37182.66667</v>
      </c>
      <c r="B956" s="1">
        <f>IFERROR(__xludf.DUMMYFUNCTION("""COMPUTED_VALUE"""),1502.61)</f>
        <v>1502.61</v>
      </c>
    </row>
    <row r="957">
      <c r="A957" s="2">
        <f>IFERROR(__xludf.DUMMYFUNCTION("""COMPUTED_VALUE"""),37183.666666666664)</f>
        <v>37183.66667</v>
      </c>
      <c r="B957" s="1">
        <f>IFERROR(__xludf.DUMMYFUNCTION("""COMPUTED_VALUE"""),1509.46)</f>
        <v>1509.46</v>
      </c>
    </row>
    <row r="958">
      <c r="A958" s="2">
        <f>IFERROR(__xludf.DUMMYFUNCTION("""COMPUTED_VALUE"""),37186.666666666664)</f>
        <v>37186.66667</v>
      </c>
      <c r="B958" s="1">
        <f>IFERROR(__xludf.DUMMYFUNCTION("""COMPUTED_VALUE"""),1532.55)</f>
        <v>1532.55</v>
      </c>
    </row>
    <row r="959">
      <c r="A959" s="2">
        <f>IFERROR(__xludf.DUMMYFUNCTION("""COMPUTED_VALUE"""),37187.666666666664)</f>
        <v>37187.66667</v>
      </c>
      <c r="B959" s="1">
        <f>IFERROR(__xludf.DUMMYFUNCTION("""COMPUTED_VALUE"""),1525.35)</f>
        <v>1525.35</v>
      </c>
    </row>
    <row r="960">
      <c r="A960" s="2">
        <f>IFERROR(__xludf.DUMMYFUNCTION("""COMPUTED_VALUE"""),37188.666666666664)</f>
        <v>37188.66667</v>
      </c>
      <c r="B960" s="1">
        <f>IFERROR(__xludf.DUMMYFUNCTION("""COMPUTED_VALUE"""),1525.96)</f>
        <v>1525.96</v>
      </c>
    </row>
    <row r="961">
      <c r="A961" s="2">
        <f>IFERROR(__xludf.DUMMYFUNCTION("""COMPUTED_VALUE"""),37189.666666666664)</f>
        <v>37189.66667</v>
      </c>
      <c r="B961" s="1">
        <f>IFERROR(__xludf.DUMMYFUNCTION("""COMPUTED_VALUE"""),1546.9)</f>
        <v>1546.9</v>
      </c>
    </row>
    <row r="962">
      <c r="A962" s="2">
        <f>IFERROR(__xludf.DUMMYFUNCTION("""COMPUTED_VALUE"""),37190.666666666664)</f>
        <v>37190.66667</v>
      </c>
      <c r="B962" s="1">
        <f>IFERROR(__xludf.DUMMYFUNCTION("""COMPUTED_VALUE"""),1553.26)</f>
        <v>1553.26</v>
      </c>
    </row>
    <row r="963">
      <c r="A963" s="2">
        <f>IFERROR(__xludf.DUMMYFUNCTION("""COMPUTED_VALUE"""),37193.666666666664)</f>
        <v>37193.66667</v>
      </c>
      <c r="B963" s="1">
        <f>IFERROR(__xludf.DUMMYFUNCTION("""COMPUTED_VALUE"""),1516.39)</f>
        <v>1516.39</v>
      </c>
    </row>
    <row r="964">
      <c r="A964" s="2">
        <f>IFERROR(__xludf.DUMMYFUNCTION("""COMPUTED_VALUE"""),37194.666666666664)</f>
        <v>37194.66667</v>
      </c>
      <c r="B964" s="1">
        <f>IFERROR(__xludf.DUMMYFUNCTION("""COMPUTED_VALUE"""),1490.44)</f>
        <v>1490.44</v>
      </c>
    </row>
    <row r="965">
      <c r="A965" s="2">
        <f>IFERROR(__xludf.DUMMYFUNCTION("""COMPUTED_VALUE"""),37195.666666666664)</f>
        <v>37195.66667</v>
      </c>
      <c r="B965" s="1">
        <f>IFERROR(__xludf.DUMMYFUNCTION("""COMPUTED_VALUE"""),1490.58)</f>
        <v>1490.58</v>
      </c>
    </row>
    <row r="966">
      <c r="A966" s="2">
        <f>IFERROR(__xludf.DUMMYFUNCTION("""COMPUTED_VALUE"""),37196.666666666664)</f>
        <v>37196.66667</v>
      </c>
      <c r="B966" s="1">
        <f>IFERROR(__xludf.DUMMYFUNCTION("""COMPUTED_VALUE"""),1524.96)</f>
        <v>1524.96</v>
      </c>
    </row>
    <row r="967">
      <c r="A967" s="2">
        <f>IFERROR(__xludf.DUMMYFUNCTION("""COMPUTED_VALUE"""),37197.666666666664)</f>
        <v>37197.66667</v>
      </c>
      <c r="B967" s="1">
        <f>IFERROR(__xludf.DUMMYFUNCTION("""COMPUTED_VALUE"""),1529.35)</f>
        <v>1529.35</v>
      </c>
    </row>
    <row r="968">
      <c r="A968" s="2">
        <f>IFERROR(__xludf.DUMMYFUNCTION("""COMPUTED_VALUE"""),37200.666666666664)</f>
        <v>37200.66667</v>
      </c>
      <c r="B968" s="1">
        <f>IFERROR(__xludf.DUMMYFUNCTION("""COMPUTED_VALUE"""),1551.39)</f>
        <v>1551.39</v>
      </c>
    </row>
    <row r="969">
      <c r="A969" s="2">
        <f>IFERROR(__xludf.DUMMYFUNCTION("""COMPUTED_VALUE"""),37201.666666666664)</f>
        <v>37201.66667</v>
      </c>
      <c r="B969" s="1">
        <f>IFERROR(__xludf.DUMMYFUNCTION("""COMPUTED_VALUE"""),1573.93)</f>
        <v>1573.93</v>
      </c>
    </row>
    <row r="970">
      <c r="A970" s="2">
        <f>IFERROR(__xludf.DUMMYFUNCTION("""COMPUTED_VALUE"""),37202.666666666664)</f>
        <v>37202.66667</v>
      </c>
      <c r="B970" s="1">
        <f>IFERROR(__xludf.DUMMYFUNCTION("""COMPUTED_VALUE"""),1570.16)</f>
        <v>1570.16</v>
      </c>
    </row>
    <row r="971">
      <c r="A971" s="2">
        <f>IFERROR(__xludf.DUMMYFUNCTION("""COMPUTED_VALUE"""),37203.666666666664)</f>
        <v>37203.66667</v>
      </c>
      <c r="B971" s="1">
        <f>IFERROR(__xludf.DUMMYFUNCTION("""COMPUTED_VALUE"""),1574.09)</f>
        <v>1574.09</v>
      </c>
    </row>
    <row r="972">
      <c r="A972" s="2">
        <f>IFERROR(__xludf.DUMMYFUNCTION("""COMPUTED_VALUE"""),37204.666666666664)</f>
        <v>37204.66667</v>
      </c>
      <c r="B972" s="1">
        <f>IFERROR(__xludf.DUMMYFUNCTION("""COMPUTED_VALUE"""),1576.61)</f>
        <v>1576.61</v>
      </c>
    </row>
    <row r="973">
      <c r="A973" s="2">
        <f>IFERROR(__xludf.DUMMYFUNCTION("""COMPUTED_VALUE"""),37207.666666666664)</f>
        <v>37207.66667</v>
      </c>
      <c r="B973" s="1">
        <f>IFERROR(__xludf.DUMMYFUNCTION("""COMPUTED_VALUE"""),1573.82)</f>
        <v>1573.82</v>
      </c>
    </row>
    <row r="974">
      <c r="A974" s="2">
        <f>IFERROR(__xludf.DUMMYFUNCTION("""COMPUTED_VALUE"""),37208.666666666664)</f>
        <v>37208.66667</v>
      </c>
      <c r="B974" s="1">
        <f>IFERROR(__xludf.DUMMYFUNCTION("""COMPUTED_VALUE"""),1603.28)</f>
        <v>1603.28</v>
      </c>
    </row>
    <row r="975">
      <c r="A975" s="2">
        <f>IFERROR(__xludf.DUMMYFUNCTION("""COMPUTED_VALUE"""),37209.666666666664)</f>
        <v>37209.66667</v>
      </c>
      <c r="B975" s="1">
        <f>IFERROR(__xludf.DUMMYFUNCTION("""COMPUTED_VALUE"""),1606.64)</f>
        <v>1606.64</v>
      </c>
    </row>
    <row r="976">
      <c r="A976" s="2">
        <f>IFERROR(__xludf.DUMMYFUNCTION("""COMPUTED_VALUE"""),37210.666666666664)</f>
        <v>37210.66667</v>
      </c>
      <c r="B976" s="1">
        <f>IFERROR(__xludf.DUMMYFUNCTION("""COMPUTED_VALUE"""),1608.09)</f>
        <v>1608.09</v>
      </c>
    </row>
    <row r="977">
      <c r="A977" s="2">
        <f>IFERROR(__xludf.DUMMYFUNCTION("""COMPUTED_VALUE"""),37211.666666666664)</f>
        <v>37211.66667</v>
      </c>
      <c r="B977" s="1">
        <f>IFERROR(__xludf.DUMMYFUNCTION("""COMPUTED_VALUE"""),1603.17)</f>
        <v>1603.17</v>
      </c>
    </row>
    <row r="978">
      <c r="A978" s="2">
        <f>IFERROR(__xludf.DUMMYFUNCTION("""COMPUTED_VALUE"""),37214.666666666664)</f>
        <v>37214.66667</v>
      </c>
      <c r="B978" s="1">
        <f>IFERROR(__xludf.DUMMYFUNCTION("""COMPUTED_VALUE"""),1620.66)</f>
        <v>1620.66</v>
      </c>
    </row>
    <row r="979">
      <c r="A979" s="2">
        <f>IFERROR(__xludf.DUMMYFUNCTION("""COMPUTED_VALUE"""),37215.666666666664)</f>
        <v>37215.66667</v>
      </c>
      <c r="B979" s="1">
        <f>IFERROR(__xludf.DUMMYFUNCTION("""COMPUTED_VALUE"""),1608.9)</f>
        <v>1608.9</v>
      </c>
    </row>
    <row r="980">
      <c r="A980" s="2">
        <f>IFERROR(__xludf.DUMMYFUNCTION("""COMPUTED_VALUE"""),37216.666666666664)</f>
        <v>37216.66667</v>
      </c>
      <c r="B980" s="1">
        <f>IFERROR(__xludf.DUMMYFUNCTION("""COMPUTED_VALUE"""),1601.02)</f>
        <v>1601.02</v>
      </c>
    </row>
    <row r="981">
      <c r="A981" s="2">
        <f>IFERROR(__xludf.DUMMYFUNCTION("""COMPUTED_VALUE"""),37218.666666666664)</f>
        <v>37218.66667</v>
      </c>
      <c r="B981" s="1">
        <f>IFERROR(__xludf.DUMMYFUNCTION("""COMPUTED_VALUE"""),1619.78)</f>
        <v>1619.78</v>
      </c>
    </row>
    <row r="982">
      <c r="A982" s="2">
        <f>IFERROR(__xludf.DUMMYFUNCTION("""COMPUTED_VALUE"""),37221.666666666664)</f>
        <v>37221.66667</v>
      </c>
      <c r="B982" s="1">
        <f>IFERROR(__xludf.DUMMYFUNCTION("""COMPUTED_VALUE"""),1629.76)</f>
        <v>1629.76</v>
      </c>
    </row>
    <row r="983">
      <c r="A983" s="2">
        <f>IFERROR(__xludf.DUMMYFUNCTION("""COMPUTED_VALUE"""),37222.666666666664)</f>
        <v>37222.66667</v>
      </c>
      <c r="B983" s="1">
        <f>IFERROR(__xludf.DUMMYFUNCTION("""COMPUTED_VALUE"""),1618.62)</f>
        <v>1618.62</v>
      </c>
    </row>
    <row r="984">
      <c r="A984" s="2">
        <f>IFERROR(__xludf.DUMMYFUNCTION("""COMPUTED_VALUE"""),37223.666666666664)</f>
        <v>37223.66667</v>
      </c>
      <c r="B984" s="1">
        <f>IFERROR(__xludf.DUMMYFUNCTION("""COMPUTED_VALUE"""),1589.38)</f>
        <v>1589.38</v>
      </c>
    </row>
    <row r="985">
      <c r="A985" s="2">
        <f>IFERROR(__xludf.DUMMYFUNCTION("""COMPUTED_VALUE"""),37224.666666666664)</f>
        <v>37224.66667</v>
      </c>
      <c r="B985" s="1">
        <f>IFERROR(__xludf.DUMMYFUNCTION("""COMPUTED_VALUE"""),1605.99)</f>
        <v>1605.99</v>
      </c>
    </row>
    <row r="986">
      <c r="A986" s="2">
        <f>IFERROR(__xludf.DUMMYFUNCTION("""COMPUTED_VALUE"""),37225.666666666664)</f>
        <v>37225.66667</v>
      </c>
      <c r="B986" s="1">
        <f>IFERROR(__xludf.DUMMYFUNCTION("""COMPUTED_VALUE"""),1604.92)</f>
        <v>1604.92</v>
      </c>
    </row>
    <row r="987">
      <c r="A987" s="2">
        <f>IFERROR(__xludf.DUMMYFUNCTION("""COMPUTED_VALUE"""),37228.666666666664)</f>
        <v>37228.66667</v>
      </c>
      <c r="B987" s="1">
        <f>IFERROR(__xludf.DUMMYFUNCTION("""COMPUTED_VALUE"""),1591.48)</f>
        <v>1591.48</v>
      </c>
    </row>
    <row r="988">
      <c r="A988" s="2">
        <f>IFERROR(__xludf.DUMMYFUNCTION("""COMPUTED_VALUE"""),37229.666666666664)</f>
        <v>37229.66667</v>
      </c>
      <c r="B988" s="1">
        <f>IFERROR(__xludf.DUMMYFUNCTION("""COMPUTED_VALUE"""),1612.47)</f>
        <v>1612.47</v>
      </c>
    </row>
    <row r="989">
      <c r="A989" s="2">
        <f>IFERROR(__xludf.DUMMYFUNCTION("""COMPUTED_VALUE"""),37230.666666666664)</f>
        <v>37230.66667</v>
      </c>
      <c r="B989" s="1">
        <f>IFERROR(__xludf.DUMMYFUNCTION("""COMPUTED_VALUE"""),1649.0)</f>
        <v>1649</v>
      </c>
    </row>
    <row r="990">
      <c r="A990" s="2">
        <f>IFERROR(__xludf.DUMMYFUNCTION("""COMPUTED_VALUE"""),37231.666666666664)</f>
        <v>37231.66667</v>
      </c>
      <c r="B990" s="1">
        <f>IFERROR(__xludf.DUMMYFUNCTION("""COMPUTED_VALUE"""),1644.48)</f>
        <v>1644.48</v>
      </c>
    </row>
    <row r="991">
      <c r="A991" s="2">
        <f>IFERROR(__xludf.DUMMYFUNCTION("""COMPUTED_VALUE"""),37232.666666666664)</f>
        <v>37232.66667</v>
      </c>
      <c r="B991" s="1">
        <f>IFERROR(__xludf.DUMMYFUNCTION("""COMPUTED_VALUE"""),1632.1)</f>
        <v>1632.1</v>
      </c>
    </row>
    <row r="992">
      <c r="A992" s="2">
        <f>IFERROR(__xludf.DUMMYFUNCTION("""COMPUTED_VALUE"""),37235.666666666664)</f>
        <v>37235.66667</v>
      </c>
      <c r="B992" s="1">
        <f>IFERROR(__xludf.DUMMYFUNCTION("""COMPUTED_VALUE"""),1606.23)</f>
        <v>1606.23</v>
      </c>
    </row>
    <row r="993">
      <c r="A993" s="2">
        <f>IFERROR(__xludf.DUMMYFUNCTION("""COMPUTED_VALUE"""),37236.666666666664)</f>
        <v>37236.66667</v>
      </c>
      <c r="B993" s="1">
        <f>IFERROR(__xludf.DUMMYFUNCTION("""COMPUTED_VALUE"""),1601.77)</f>
        <v>1601.77</v>
      </c>
    </row>
    <row r="994">
      <c r="A994" s="2">
        <f>IFERROR(__xludf.DUMMYFUNCTION("""COMPUTED_VALUE"""),37237.666666666664)</f>
        <v>37237.66667</v>
      </c>
      <c r="B994" s="1">
        <f>IFERROR(__xludf.DUMMYFUNCTION("""COMPUTED_VALUE"""),1602.46)</f>
        <v>1602.46</v>
      </c>
    </row>
    <row r="995">
      <c r="A995" s="2">
        <f>IFERROR(__xludf.DUMMYFUNCTION("""COMPUTED_VALUE"""),37238.666666666664)</f>
        <v>37238.66667</v>
      </c>
      <c r="B995" s="1">
        <f>IFERROR(__xludf.DUMMYFUNCTION("""COMPUTED_VALUE"""),1577.58)</f>
        <v>1577.58</v>
      </c>
    </row>
    <row r="996">
      <c r="A996" s="2">
        <f>IFERROR(__xludf.DUMMYFUNCTION("""COMPUTED_VALUE"""),37239.666666666664)</f>
        <v>37239.66667</v>
      </c>
      <c r="B996" s="1">
        <f>IFERROR(__xludf.DUMMYFUNCTION("""COMPUTED_VALUE"""),1582.81)</f>
        <v>1582.81</v>
      </c>
    </row>
    <row r="997">
      <c r="A997" s="2">
        <f>IFERROR(__xludf.DUMMYFUNCTION("""COMPUTED_VALUE"""),37242.666666666664)</f>
        <v>37242.66667</v>
      </c>
      <c r="B997" s="1">
        <f>IFERROR(__xludf.DUMMYFUNCTION("""COMPUTED_VALUE"""),1598.74)</f>
        <v>1598.74</v>
      </c>
    </row>
    <row r="998">
      <c r="A998" s="2">
        <f>IFERROR(__xludf.DUMMYFUNCTION("""COMPUTED_VALUE"""),37243.666666666664)</f>
        <v>37243.66667</v>
      </c>
      <c r="B998" s="1">
        <f>IFERROR(__xludf.DUMMYFUNCTION("""COMPUTED_VALUE"""),1610.83)</f>
        <v>1610.83</v>
      </c>
    </row>
    <row r="999">
      <c r="A999" s="2">
        <f>IFERROR(__xludf.DUMMYFUNCTION("""COMPUTED_VALUE"""),37244.666666666664)</f>
        <v>37244.66667</v>
      </c>
      <c r="B999" s="1">
        <f>IFERROR(__xludf.DUMMYFUNCTION("""COMPUTED_VALUE"""),1620.27)</f>
        <v>1620.27</v>
      </c>
    </row>
    <row r="1000">
      <c r="A1000" s="2">
        <f>IFERROR(__xludf.DUMMYFUNCTION("""COMPUTED_VALUE"""),37245.666666666664)</f>
        <v>37245.66667</v>
      </c>
      <c r="B1000" s="1">
        <f>IFERROR(__xludf.DUMMYFUNCTION("""COMPUTED_VALUE"""),1606.92)</f>
        <v>1606.92</v>
      </c>
    </row>
    <row r="1001">
      <c r="A1001" s="2">
        <f>IFERROR(__xludf.DUMMYFUNCTION("""COMPUTED_VALUE"""),37246.666666666664)</f>
        <v>37246.66667</v>
      </c>
      <c r="B1001" s="1">
        <f>IFERROR(__xludf.DUMMYFUNCTION("""COMPUTED_VALUE"""),1613.94)</f>
        <v>1613.94</v>
      </c>
    </row>
    <row r="1002">
      <c r="A1002" s="2">
        <f>IFERROR(__xludf.DUMMYFUNCTION("""COMPUTED_VALUE"""),37249.666666666664)</f>
        <v>37249.66667</v>
      </c>
      <c r="B1002" s="1">
        <f>IFERROR(__xludf.DUMMYFUNCTION("""COMPUTED_VALUE"""),1613.6)</f>
        <v>1613.6</v>
      </c>
    </row>
    <row r="1003">
      <c r="A1003" s="2">
        <f>IFERROR(__xludf.DUMMYFUNCTION("""COMPUTED_VALUE"""),37251.666666666664)</f>
        <v>37251.66667</v>
      </c>
      <c r="B1003" s="1">
        <f>IFERROR(__xludf.DUMMYFUNCTION("""COMPUTED_VALUE"""),1620.26)</f>
        <v>1620.26</v>
      </c>
    </row>
    <row r="1004">
      <c r="A1004" s="2">
        <f>IFERROR(__xludf.DUMMYFUNCTION("""COMPUTED_VALUE"""),37252.666666666664)</f>
        <v>37252.66667</v>
      </c>
      <c r="B1004" s="1">
        <f>IFERROR(__xludf.DUMMYFUNCTION("""COMPUTED_VALUE"""),1631.69)</f>
        <v>1631.69</v>
      </c>
    </row>
    <row r="1005">
      <c r="A1005" s="2">
        <f>IFERROR(__xludf.DUMMYFUNCTION("""COMPUTED_VALUE"""),37253.666666666664)</f>
        <v>37253.66667</v>
      </c>
      <c r="B1005" s="1">
        <f>IFERROR(__xludf.DUMMYFUNCTION("""COMPUTED_VALUE"""),1637.23)</f>
        <v>1637.23</v>
      </c>
    </row>
    <row r="1006">
      <c r="A1006" s="2">
        <f>IFERROR(__xludf.DUMMYFUNCTION("""COMPUTED_VALUE"""),37256.666666666664)</f>
        <v>37256.66667</v>
      </c>
      <c r="B1006" s="1">
        <f>IFERROR(__xludf.DUMMYFUNCTION("""COMPUTED_VALUE"""),1618.98)</f>
        <v>1618.98</v>
      </c>
    </row>
    <row r="1007">
      <c r="A1007" s="2">
        <f>IFERROR(__xludf.DUMMYFUNCTION("""COMPUTED_VALUE"""),37258.666666666664)</f>
        <v>37258.66667</v>
      </c>
      <c r="B1007" s="1">
        <f>IFERROR(__xludf.DUMMYFUNCTION("""COMPUTED_VALUE"""),1628.51)</f>
        <v>1628.51</v>
      </c>
    </row>
    <row r="1008">
      <c r="A1008" s="2">
        <f>IFERROR(__xludf.DUMMYFUNCTION("""COMPUTED_VALUE"""),37259.666666666664)</f>
        <v>37259.66667</v>
      </c>
      <c r="B1008" s="1">
        <f>IFERROR(__xludf.DUMMYFUNCTION("""COMPUTED_VALUE"""),1643.48)</f>
        <v>1643.48</v>
      </c>
    </row>
    <row r="1009">
      <c r="A1009" s="2">
        <f>IFERROR(__xludf.DUMMYFUNCTION("""COMPUTED_VALUE"""),37260.666666666664)</f>
        <v>37260.66667</v>
      </c>
      <c r="B1009" s="1">
        <f>IFERROR(__xludf.DUMMYFUNCTION("""COMPUTED_VALUE"""),1653.69)</f>
        <v>1653.69</v>
      </c>
    </row>
    <row r="1010">
      <c r="A1010" s="2">
        <f>IFERROR(__xludf.DUMMYFUNCTION("""COMPUTED_VALUE"""),37263.666666666664)</f>
        <v>37263.66667</v>
      </c>
      <c r="B1010" s="1">
        <f>IFERROR(__xludf.DUMMYFUNCTION("""COMPUTED_VALUE"""),1642.95)</f>
        <v>1642.95</v>
      </c>
    </row>
    <row r="1011">
      <c r="A1011" s="2">
        <f>IFERROR(__xludf.DUMMYFUNCTION("""COMPUTED_VALUE"""),37264.666666666664)</f>
        <v>37264.66667</v>
      </c>
      <c r="B1011" s="1">
        <f>IFERROR(__xludf.DUMMYFUNCTION("""COMPUTED_VALUE"""),1637.48)</f>
        <v>1637.48</v>
      </c>
    </row>
    <row r="1012">
      <c r="A1012" s="2">
        <f>IFERROR(__xludf.DUMMYFUNCTION("""COMPUTED_VALUE"""),37265.666666666664)</f>
        <v>37265.66667</v>
      </c>
      <c r="B1012" s="1">
        <f>IFERROR(__xludf.DUMMYFUNCTION("""COMPUTED_VALUE"""),1629.7)</f>
        <v>1629.7</v>
      </c>
    </row>
    <row r="1013">
      <c r="A1013" s="2">
        <f>IFERROR(__xludf.DUMMYFUNCTION("""COMPUTED_VALUE"""),37266.666666666664)</f>
        <v>37266.66667</v>
      </c>
      <c r="B1013" s="1">
        <f>IFERROR(__xludf.DUMMYFUNCTION("""COMPUTED_VALUE"""),1631.72)</f>
        <v>1631.72</v>
      </c>
    </row>
    <row r="1014">
      <c r="A1014" s="2">
        <f>IFERROR(__xludf.DUMMYFUNCTION("""COMPUTED_VALUE"""),37267.666666666664)</f>
        <v>37267.66667</v>
      </c>
      <c r="B1014" s="1">
        <f>IFERROR(__xludf.DUMMYFUNCTION("""COMPUTED_VALUE"""),1616.35)</f>
        <v>1616.35</v>
      </c>
    </row>
    <row r="1015">
      <c r="A1015" s="2">
        <f>IFERROR(__xludf.DUMMYFUNCTION("""COMPUTED_VALUE"""),37270.666666666664)</f>
        <v>37270.66667</v>
      </c>
      <c r="B1015" s="1">
        <f>IFERROR(__xludf.DUMMYFUNCTION("""COMPUTED_VALUE"""),1606.2)</f>
        <v>1606.2</v>
      </c>
    </row>
    <row r="1016">
      <c r="A1016" s="2">
        <f>IFERROR(__xludf.DUMMYFUNCTION("""COMPUTED_VALUE"""),37271.666666666664)</f>
        <v>37271.66667</v>
      </c>
      <c r="B1016" s="1">
        <f>IFERROR(__xludf.DUMMYFUNCTION("""COMPUTED_VALUE"""),1617.18)</f>
        <v>1617.18</v>
      </c>
    </row>
    <row r="1017">
      <c r="A1017" s="2">
        <f>IFERROR(__xludf.DUMMYFUNCTION("""COMPUTED_VALUE"""),37272.666666666664)</f>
        <v>37272.66667</v>
      </c>
      <c r="B1017" s="1">
        <f>IFERROR(__xludf.DUMMYFUNCTION("""COMPUTED_VALUE"""),1591.04)</f>
        <v>1591.04</v>
      </c>
    </row>
    <row r="1018">
      <c r="A1018" s="2">
        <f>IFERROR(__xludf.DUMMYFUNCTION("""COMPUTED_VALUE"""),37273.666666666664)</f>
        <v>37273.66667</v>
      </c>
      <c r="B1018" s="1">
        <f>IFERROR(__xludf.DUMMYFUNCTION("""COMPUTED_VALUE"""),1607.02)</f>
        <v>1607.02</v>
      </c>
    </row>
    <row r="1019">
      <c r="A1019" s="2">
        <f>IFERROR(__xludf.DUMMYFUNCTION("""COMPUTED_VALUE"""),37274.666666666664)</f>
        <v>37274.66667</v>
      </c>
      <c r="B1019" s="1">
        <f>IFERROR(__xludf.DUMMYFUNCTION("""COMPUTED_VALUE"""),1591.08)</f>
        <v>1591.08</v>
      </c>
    </row>
    <row r="1020">
      <c r="A1020" s="2">
        <f>IFERROR(__xludf.DUMMYFUNCTION("""COMPUTED_VALUE"""),37278.666666666664)</f>
        <v>37278.66667</v>
      </c>
      <c r="B1020" s="1">
        <f>IFERROR(__xludf.DUMMYFUNCTION("""COMPUTED_VALUE"""),1579.41)</f>
        <v>1579.41</v>
      </c>
    </row>
    <row r="1021">
      <c r="A1021" s="2">
        <f>IFERROR(__xludf.DUMMYFUNCTION("""COMPUTED_VALUE"""),37279.666666666664)</f>
        <v>37279.66667</v>
      </c>
      <c r="B1021" s="1">
        <f>IFERROR(__xludf.DUMMYFUNCTION("""COMPUTED_VALUE"""),1591.94)</f>
        <v>1591.94</v>
      </c>
    </row>
    <row r="1022">
      <c r="A1022" s="2">
        <f>IFERROR(__xludf.DUMMYFUNCTION("""COMPUTED_VALUE"""),37280.666666666664)</f>
        <v>37280.66667</v>
      </c>
      <c r="B1022" s="1">
        <f>IFERROR(__xludf.DUMMYFUNCTION("""COMPUTED_VALUE"""),1597.55)</f>
        <v>1597.55</v>
      </c>
    </row>
    <row r="1023">
      <c r="A1023" s="2">
        <f>IFERROR(__xludf.DUMMYFUNCTION("""COMPUTED_VALUE"""),37281.666666666664)</f>
        <v>37281.66667</v>
      </c>
      <c r="B1023" s="1">
        <f>IFERROR(__xludf.DUMMYFUNCTION("""COMPUTED_VALUE"""),1599.14)</f>
        <v>1599.14</v>
      </c>
    </row>
    <row r="1024">
      <c r="A1024" s="2">
        <f>IFERROR(__xludf.DUMMYFUNCTION("""COMPUTED_VALUE"""),37284.666666666664)</f>
        <v>37284.66667</v>
      </c>
      <c r="B1024" s="1">
        <f>IFERROR(__xludf.DUMMYFUNCTION("""COMPUTED_VALUE"""),1598.86)</f>
        <v>1598.86</v>
      </c>
    </row>
    <row r="1025">
      <c r="A1025" s="2">
        <f>IFERROR(__xludf.DUMMYFUNCTION("""COMPUTED_VALUE"""),37285.666666666664)</f>
        <v>37285.66667</v>
      </c>
      <c r="B1025" s="1">
        <f>IFERROR(__xludf.DUMMYFUNCTION("""COMPUTED_VALUE"""),1553.23)</f>
        <v>1553.23</v>
      </c>
    </row>
    <row r="1026">
      <c r="A1026" s="2">
        <f>IFERROR(__xludf.DUMMYFUNCTION("""COMPUTED_VALUE"""),37286.666666666664)</f>
        <v>37286.66667</v>
      </c>
      <c r="B1026" s="1">
        <f>IFERROR(__xludf.DUMMYFUNCTION("""COMPUTED_VALUE"""),1571.69)</f>
        <v>1571.69</v>
      </c>
    </row>
    <row r="1027">
      <c r="A1027" s="2">
        <f>IFERROR(__xludf.DUMMYFUNCTION("""COMPUTED_VALUE"""),37287.666666666664)</f>
        <v>37287.66667</v>
      </c>
      <c r="B1027" s="1">
        <f>IFERROR(__xludf.DUMMYFUNCTION("""COMPUTED_VALUE"""),1595.35)</f>
        <v>1595.35</v>
      </c>
    </row>
    <row r="1028">
      <c r="A1028" s="2">
        <f>IFERROR(__xludf.DUMMYFUNCTION("""COMPUTED_VALUE"""),37288.666666666664)</f>
        <v>37288.66667</v>
      </c>
      <c r="B1028" s="1">
        <f>IFERROR(__xludf.DUMMYFUNCTION("""COMPUTED_VALUE"""),1584.06)</f>
        <v>1584.06</v>
      </c>
    </row>
    <row r="1029">
      <c r="A1029" s="2">
        <f>IFERROR(__xludf.DUMMYFUNCTION("""COMPUTED_VALUE"""),37291.666666666664)</f>
        <v>37291.66667</v>
      </c>
      <c r="B1029" s="1">
        <f>IFERROR(__xludf.DUMMYFUNCTION("""COMPUTED_VALUE"""),1544.89)</f>
        <v>1544.89</v>
      </c>
    </row>
    <row r="1030">
      <c r="A1030" s="2">
        <f>IFERROR(__xludf.DUMMYFUNCTION("""COMPUTED_VALUE"""),37292.666666666664)</f>
        <v>37292.66667</v>
      </c>
      <c r="B1030" s="1">
        <f>IFERROR(__xludf.DUMMYFUNCTION("""COMPUTED_VALUE"""),1538.7)</f>
        <v>1538.7</v>
      </c>
    </row>
    <row r="1031">
      <c r="A1031" s="2">
        <f>IFERROR(__xludf.DUMMYFUNCTION("""COMPUTED_VALUE"""),37293.666666666664)</f>
        <v>37293.66667</v>
      </c>
      <c r="B1031" s="1">
        <f>IFERROR(__xludf.DUMMYFUNCTION("""COMPUTED_VALUE"""),1529.68)</f>
        <v>1529.68</v>
      </c>
    </row>
    <row r="1032">
      <c r="A1032" s="2">
        <f>IFERROR(__xludf.DUMMYFUNCTION("""COMPUTED_VALUE"""),37294.666666666664)</f>
        <v>37294.66667</v>
      </c>
      <c r="B1032" s="1">
        <f>IFERROR(__xludf.DUMMYFUNCTION("""COMPUTED_VALUE"""),1525.26)</f>
        <v>1525.26</v>
      </c>
    </row>
    <row r="1033">
      <c r="A1033" s="2">
        <f>IFERROR(__xludf.DUMMYFUNCTION("""COMPUTED_VALUE"""),37295.666666666664)</f>
        <v>37295.66667</v>
      </c>
      <c r="B1033" s="1">
        <f>IFERROR(__xludf.DUMMYFUNCTION("""COMPUTED_VALUE"""),1547.94)</f>
        <v>1547.94</v>
      </c>
    </row>
    <row r="1034">
      <c r="A1034" s="2">
        <f>IFERROR(__xludf.DUMMYFUNCTION("""COMPUTED_VALUE"""),37298.666666666664)</f>
        <v>37298.66667</v>
      </c>
      <c r="B1034" s="1">
        <f>IFERROR(__xludf.DUMMYFUNCTION("""COMPUTED_VALUE"""),1570.21)</f>
        <v>1570.21</v>
      </c>
    </row>
    <row r="1035">
      <c r="A1035" s="2">
        <f>IFERROR(__xludf.DUMMYFUNCTION("""COMPUTED_VALUE"""),37299.666666666664)</f>
        <v>37299.66667</v>
      </c>
      <c r="B1035" s="1">
        <f>IFERROR(__xludf.DUMMYFUNCTION("""COMPUTED_VALUE"""),1563.95)</f>
        <v>1563.95</v>
      </c>
    </row>
    <row r="1036">
      <c r="A1036" s="2">
        <f>IFERROR(__xludf.DUMMYFUNCTION("""COMPUTED_VALUE"""),37300.666666666664)</f>
        <v>37300.66667</v>
      </c>
      <c r="B1036" s="1">
        <f>IFERROR(__xludf.DUMMYFUNCTION("""COMPUTED_VALUE"""),1580.03)</f>
        <v>1580.03</v>
      </c>
    </row>
    <row r="1037">
      <c r="A1037" s="2">
        <f>IFERROR(__xludf.DUMMYFUNCTION("""COMPUTED_VALUE"""),37301.666666666664)</f>
        <v>37301.66667</v>
      </c>
      <c r="B1037" s="1">
        <f>IFERROR(__xludf.DUMMYFUNCTION("""COMPUTED_VALUE"""),1577.29)</f>
        <v>1577.29</v>
      </c>
    </row>
    <row r="1038">
      <c r="A1038" s="2">
        <f>IFERROR(__xludf.DUMMYFUNCTION("""COMPUTED_VALUE"""),37302.666666666664)</f>
        <v>37302.66667</v>
      </c>
      <c r="B1038" s="1">
        <f>IFERROR(__xludf.DUMMYFUNCTION("""COMPUTED_VALUE"""),1559.98)</f>
        <v>1559.98</v>
      </c>
    </row>
    <row r="1039">
      <c r="A1039" s="2">
        <f>IFERROR(__xludf.DUMMYFUNCTION("""COMPUTED_VALUE"""),37306.666666666664)</f>
        <v>37306.66667</v>
      </c>
      <c r="B1039" s="1">
        <f>IFERROR(__xludf.DUMMYFUNCTION("""COMPUTED_VALUE"""),1530.58)</f>
        <v>1530.58</v>
      </c>
    </row>
    <row r="1040">
      <c r="A1040" s="2">
        <f>IFERROR(__xludf.DUMMYFUNCTION("""COMPUTED_VALUE"""),37307.666666666664)</f>
        <v>37307.66667</v>
      </c>
      <c r="B1040" s="1">
        <f>IFERROR(__xludf.DUMMYFUNCTION("""COMPUTED_VALUE"""),1551.37)</f>
        <v>1551.37</v>
      </c>
    </row>
    <row r="1041">
      <c r="A1041" s="2">
        <f>IFERROR(__xludf.DUMMYFUNCTION("""COMPUTED_VALUE"""),37308.666666666664)</f>
        <v>37308.66667</v>
      </c>
      <c r="B1041" s="1">
        <f>IFERROR(__xludf.DUMMYFUNCTION("""COMPUTED_VALUE"""),1527.34)</f>
        <v>1527.34</v>
      </c>
    </row>
    <row r="1042">
      <c r="A1042" s="2">
        <f>IFERROR(__xludf.DUMMYFUNCTION("""COMPUTED_VALUE"""),37309.666666666664)</f>
        <v>37309.66667</v>
      </c>
      <c r="B1042" s="1">
        <f>IFERROR(__xludf.DUMMYFUNCTION("""COMPUTED_VALUE"""),1539.91)</f>
        <v>1539.91</v>
      </c>
    </row>
    <row r="1043">
      <c r="A1043" s="2">
        <f>IFERROR(__xludf.DUMMYFUNCTION("""COMPUTED_VALUE"""),37312.666666666664)</f>
        <v>37312.66667</v>
      </c>
      <c r="B1043" s="1">
        <f>IFERROR(__xludf.DUMMYFUNCTION("""COMPUTED_VALUE"""),1567.59)</f>
        <v>1567.59</v>
      </c>
    </row>
    <row r="1044">
      <c r="A1044" s="2">
        <f>IFERROR(__xludf.DUMMYFUNCTION("""COMPUTED_VALUE"""),37313.666666666664)</f>
        <v>37313.66667</v>
      </c>
      <c r="B1044" s="1">
        <f>IFERROR(__xludf.DUMMYFUNCTION("""COMPUTED_VALUE"""),1567.65)</f>
        <v>1567.65</v>
      </c>
    </row>
    <row r="1045">
      <c r="A1045" s="2">
        <f>IFERROR(__xludf.DUMMYFUNCTION("""COMPUTED_VALUE"""),37314.666666666664)</f>
        <v>37314.66667</v>
      </c>
      <c r="B1045" s="1">
        <f>IFERROR(__xludf.DUMMYFUNCTION("""COMPUTED_VALUE"""),1569.01)</f>
        <v>1569.01</v>
      </c>
    </row>
    <row r="1046">
      <c r="A1046" s="2">
        <f>IFERROR(__xludf.DUMMYFUNCTION("""COMPUTED_VALUE"""),37315.666666666664)</f>
        <v>37315.66667</v>
      </c>
      <c r="B1046" s="1">
        <f>IFERROR(__xludf.DUMMYFUNCTION("""COMPUTED_VALUE"""),1564.59)</f>
        <v>1564.59</v>
      </c>
    </row>
    <row r="1047">
      <c r="A1047" s="2">
        <f>IFERROR(__xludf.DUMMYFUNCTION("""COMPUTED_VALUE"""),37316.666666666664)</f>
        <v>37316.66667</v>
      </c>
      <c r="B1047" s="1">
        <f>IFERROR(__xludf.DUMMYFUNCTION("""COMPUTED_VALUE"""),1600.02)</f>
        <v>1600.02</v>
      </c>
    </row>
    <row r="1048">
      <c r="A1048" s="2">
        <f>IFERROR(__xludf.DUMMYFUNCTION("""COMPUTED_VALUE"""),37319.666666666664)</f>
        <v>37319.66667</v>
      </c>
      <c r="B1048" s="1">
        <f>IFERROR(__xludf.DUMMYFUNCTION("""COMPUTED_VALUE"""),1631.25)</f>
        <v>1631.25</v>
      </c>
    </row>
    <row r="1049">
      <c r="A1049" s="2">
        <f>IFERROR(__xludf.DUMMYFUNCTION("""COMPUTED_VALUE"""),37320.666666666664)</f>
        <v>37320.66667</v>
      </c>
      <c r="B1049" s="1">
        <f>IFERROR(__xludf.DUMMYFUNCTION("""COMPUTED_VALUE"""),1620.37)</f>
        <v>1620.37</v>
      </c>
    </row>
    <row r="1050">
      <c r="A1050" s="2">
        <f>IFERROR(__xludf.DUMMYFUNCTION("""COMPUTED_VALUE"""),37321.666666666664)</f>
        <v>37321.66667</v>
      </c>
      <c r="B1050" s="1">
        <f>IFERROR(__xludf.DUMMYFUNCTION("""COMPUTED_VALUE"""),1644.2)</f>
        <v>1644.2</v>
      </c>
    </row>
    <row r="1051">
      <c r="A1051" s="2">
        <f>IFERROR(__xludf.DUMMYFUNCTION("""COMPUTED_VALUE"""),37322.666666666664)</f>
        <v>37322.66667</v>
      </c>
      <c r="B1051" s="1">
        <f>IFERROR(__xludf.DUMMYFUNCTION("""COMPUTED_VALUE"""),1636.86)</f>
        <v>1636.86</v>
      </c>
    </row>
    <row r="1052">
      <c r="A1052" s="2">
        <f>IFERROR(__xludf.DUMMYFUNCTION("""COMPUTED_VALUE"""),37323.666666666664)</f>
        <v>37323.66667</v>
      </c>
      <c r="B1052" s="1">
        <f>IFERROR(__xludf.DUMMYFUNCTION("""COMPUTED_VALUE"""),1646.44)</f>
        <v>1646.44</v>
      </c>
    </row>
    <row r="1053">
      <c r="A1053" s="2">
        <f>IFERROR(__xludf.DUMMYFUNCTION("""COMPUTED_VALUE"""),37326.666666666664)</f>
        <v>37326.66667</v>
      </c>
      <c r="B1053" s="1">
        <f>IFERROR(__xludf.DUMMYFUNCTION("""COMPUTED_VALUE"""),1652.04)</f>
        <v>1652.04</v>
      </c>
    </row>
    <row r="1054">
      <c r="A1054" s="2">
        <f>IFERROR(__xludf.DUMMYFUNCTION("""COMPUTED_VALUE"""),37327.666666666664)</f>
        <v>37327.66667</v>
      </c>
      <c r="B1054" s="1">
        <f>IFERROR(__xludf.DUMMYFUNCTION("""COMPUTED_VALUE"""),1648.28)</f>
        <v>1648.28</v>
      </c>
    </row>
    <row r="1055">
      <c r="A1055" s="2">
        <f>IFERROR(__xludf.DUMMYFUNCTION("""COMPUTED_VALUE"""),37328.666666666664)</f>
        <v>37328.66667</v>
      </c>
      <c r="B1055" s="1">
        <f>IFERROR(__xludf.DUMMYFUNCTION("""COMPUTED_VALUE"""),1632.46)</f>
        <v>1632.46</v>
      </c>
    </row>
    <row r="1056">
      <c r="A1056" s="2">
        <f>IFERROR(__xludf.DUMMYFUNCTION("""COMPUTED_VALUE"""),37329.666666666664)</f>
        <v>37329.66667</v>
      </c>
      <c r="B1056" s="1">
        <f>IFERROR(__xludf.DUMMYFUNCTION("""COMPUTED_VALUE"""),1631.0)</f>
        <v>1631</v>
      </c>
    </row>
    <row r="1057">
      <c r="A1057" s="2">
        <f>IFERROR(__xludf.DUMMYFUNCTION("""COMPUTED_VALUE"""),37330.666666666664)</f>
        <v>37330.66667</v>
      </c>
      <c r="B1057" s="1">
        <f>IFERROR(__xludf.DUMMYFUNCTION("""COMPUTED_VALUE"""),1649.56)</f>
        <v>1649.56</v>
      </c>
    </row>
    <row r="1058">
      <c r="A1058" s="2">
        <f>IFERROR(__xludf.DUMMYFUNCTION("""COMPUTED_VALUE"""),37333.666666666664)</f>
        <v>37333.66667</v>
      </c>
      <c r="B1058" s="1">
        <f>IFERROR(__xludf.DUMMYFUNCTION("""COMPUTED_VALUE"""),1648.73)</f>
        <v>1648.73</v>
      </c>
    </row>
    <row r="1059">
      <c r="A1059" s="2">
        <f>IFERROR(__xludf.DUMMYFUNCTION("""COMPUTED_VALUE"""),37334.666666666664)</f>
        <v>37334.66667</v>
      </c>
      <c r="B1059" s="1">
        <f>IFERROR(__xludf.DUMMYFUNCTION("""COMPUTED_VALUE"""),1655.44)</f>
        <v>1655.44</v>
      </c>
    </row>
    <row r="1060">
      <c r="A1060" s="2">
        <f>IFERROR(__xludf.DUMMYFUNCTION("""COMPUTED_VALUE"""),37335.666666666664)</f>
        <v>37335.66667</v>
      </c>
      <c r="B1060" s="1">
        <f>IFERROR(__xludf.DUMMYFUNCTION("""COMPUTED_VALUE"""),1629.43)</f>
        <v>1629.43</v>
      </c>
    </row>
    <row r="1061">
      <c r="A1061" s="2">
        <f>IFERROR(__xludf.DUMMYFUNCTION("""COMPUTED_VALUE"""),37336.666666666664)</f>
        <v>37336.66667</v>
      </c>
      <c r="B1061" s="1">
        <f>IFERROR(__xludf.DUMMYFUNCTION("""COMPUTED_VALUE"""),1631.93)</f>
        <v>1631.93</v>
      </c>
    </row>
    <row r="1062">
      <c r="A1062" s="2">
        <f>IFERROR(__xludf.DUMMYFUNCTION("""COMPUTED_VALUE"""),37337.666666666664)</f>
        <v>37337.66667</v>
      </c>
      <c r="B1062" s="1">
        <f>IFERROR(__xludf.DUMMYFUNCTION("""COMPUTED_VALUE"""),1625.02)</f>
        <v>1625.02</v>
      </c>
    </row>
    <row r="1063">
      <c r="A1063" s="2">
        <f>IFERROR(__xludf.DUMMYFUNCTION("""COMPUTED_VALUE"""),37340.666666666664)</f>
        <v>37340.66667</v>
      </c>
      <c r="B1063" s="1">
        <f>IFERROR(__xludf.DUMMYFUNCTION("""COMPUTED_VALUE"""),1601.21)</f>
        <v>1601.21</v>
      </c>
    </row>
    <row r="1064">
      <c r="A1064" s="2">
        <f>IFERROR(__xludf.DUMMYFUNCTION("""COMPUTED_VALUE"""),37341.666666666664)</f>
        <v>37341.66667</v>
      </c>
      <c r="B1064" s="1">
        <f>IFERROR(__xludf.DUMMYFUNCTION("""COMPUTED_VALUE"""),1610.81)</f>
        <v>1610.81</v>
      </c>
    </row>
    <row r="1065">
      <c r="A1065" s="2">
        <f>IFERROR(__xludf.DUMMYFUNCTION("""COMPUTED_VALUE"""),37342.666666666664)</f>
        <v>37342.66667</v>
      </c>
      <c r="B1065" s="1">
        <f>IFERROR(__xludf.DUMMYFUNCTION("""COMPUTED_VALUE"""),1619.45)</f>
        <v>1619.45</v>
      </c>
    </row>
    <row r="1066">
      <c r="A1066" s="2">
        <f>IFERROR(__xludf.DUMMYFUNCTION("""COMPUTED_VALUE"""),37343.666666666664)</f>
        <v>37343.66667</v>
      </c>
      <c r="B1066" s="1">
        <f>IFERROR(__xludf.DUMMYFUNCTION("""COMPUTED_VALUE"""),1623.43)</f>
        <v>1623.43</v>
      </c>
    </row>
    <row r="1067">
      <c r="A1067" s="2">
        <f>IFERROR(__xludf.DUMMYFUNCTION("""COMPUTED_VALUE"""),37347.666666666664)</f>
        <v>37347.66667</v>
      </c>
      <c r="B1067" s="1">
        <f>IFERROR(__xludf.DUMMYFUNCTION("""COMPUTED_VALUE"""),1622.23)</f>
        <v>1622.23</v>
      </c>
    </row>
    <row r="1068">
      <c r="A1068" s="2">
        <f>IFERROR(__xludf.DUMMYFUNCTION("""COMPUTED_VALUE"""),37348.666666666664)</f>
        <v>37348.66667</v>
      </c>
      <c r="B1068" s="1">
        <f>IFERROR(__xludf.DUMMYFUNCTION("""COMPUTED_VALUE"""),1608.39)</f>
        <v>1608.39</v>
      </c>
    </row>
    <row r="1069">
      <c r="A1069" s="2">
        <f>IFERROR(__xludf.DUMMYFUNCTION("""COMPUTED_VALUE"""),37349.666666666664)</f>
        <v>37349.66667</v>
      </c>
      <c r="B1069" s="1">
        <f>IFERROR(__xludf.DUMMYFUNCTION("""COMPUTED_VALUE"""),1592.6)</f>
        <v>1592.6</v>
      </c>
    </row>
    <row r="1070">
      <c r="A1070" s="2">
        <f>IFERROR(__xludf.DUMMYFUNCTION("""COMPUTED_VALUE"""),37350.666666666664)</f>
        <v>37350.66667</v>
      </c>
      <c r="B1070" s="1">
        <f>IFERROR(__xludf.DUMMYFUNCTION("""COMPUTED_VALUE"""),1593.96)</f>
        <v>1593.96</v>
      </c>
    </row>
    <row r="1071">
      <c r="A1071" s="2">
        <f>IFERROR(__xludf.DUMMYFUNCTION("""COMPUTED_VALUE"""),37351.666666666664)</f>
        <v>37351.66667</v>
      </c>
      <c r="B1071" s="1">
        <f>IFERROR(__xludf.DUMMYFUNCTION("""COMPUTED_VALUE"""),1588.88)</f>
        <v>1588.88</v>
      </c>
    </row>
    <row r="1072">
      <c r="A1072" s="2">
        <f>IFERROR(__xludf.DUMMYFUNCTION("""COMPUTED_VALUE"""),37354.666666666664)</f>
        <v>37354.66667</v>
      </c>
      <c r="B1072" s="1">
        <f>IFERROR(__xludf.DUMMYFUNCTION("""COMPUTED_VALUE"""),1592.88)</f>
        <v>1592.88</v>
      </c>
    </row>
    <row r="1073">
      <c r="A1073" s="2">
        <f>IFERROR(__xludf.DUMMYFUNCTION("""COMPUTED_VALUE"""),37355.666666666664)</f>
        <v>37355.66667</v>
      </c>
      <c r="B1073" s="1">
        <f>IFERROR(__xludf.DUMMYFUNCTION("""COMPUTED_VALUE"""),1582.36)</f>
        <v>1582.36</v>
      </c>
    </row>
    <row r="1074">
      <c r="A1074" s="2">
        <f>IFERROR(__xludf.DUMMYFUNCTION("""COMPUTED_VALUE"""),37356.666666666664)</f>
        <v>37356.66667</v>
      </c>
      <c r="B1074" s="1">
        <f>IFERROR(__xludf.DUMMYFUNCTION("""COMPUTED_VALUE"""),1600.36)</f>
        <v>1600.36</v>
      </c>
    </row>
    <row r="1075">
      <c r="A1075" s="2">
        <f>IFERROR(__xludf.DUMMYFUNCTION("""COMPUTED_VALUE"""),37357.666666666664)</f>
        <v>37357.66667</v>
      </c>
      <c r="B1075" s="1">
        <f>IFERROR(__xludf.DUMMYFUNCTION("""COMPUTED_VALUE"""),1562.52)</f>
        <v>1562.52</v>
      </c>
    </row>
    <row r="1076">
      <c r="A1076" s="2">
        <f>IFERROR(__xludf.DUMMYFUNCTION("""COMPUTED_VALUE"""),37358.666666666664)</f>
        <v>37358.66667</v>
      </c>
      <c r="B1076" s="1">
        <f>IFERROR(__xludf.DUMMYFUNCTION("""COMPUTED_VALUE"""),1572.89)</f>
        <v>1572.89</v>
      </c>
    </row>
    <row r="1077">
      <c r="A1077" s="2">
        <f>IFERROR(__xludf.DUMMYFUNCTION("""COMPUTED_VALUE"""),37361.666666666664)</f>
        <v>37361.66667</v>
      </c>
      <c r="B1077" s="1">
        <f>IFERROR(__xludf.DUMMYFUNCTION("""COMPUTED_VALUE"""),1560.92)</f>
        <v>1560.92</v>
      </c>
    </row>
    <row r="1078">
      <c r="A1078" s="2">
        <f>IFERROR(__xludf.DUMMYFUNCTION("""COMPUTED_VALUE"""),37362.666666666664)</f>
        <v>37362.66667</v>
      </c>
      <c r="B1078" s="1">
        <f>IFERROR(__xludf.DUMMYFUNCTION("""COMPUTED_VALUE"""),1597.48)</f>
        <v>1597.48</v>
      </c>
    </row>
    <row r="1079">
      <c r="A1079" s="2">
        <f>IFERROR(__xludf.DUMMYFUNCTION("""COMPUTED_VALUE"""),37363.666666666664)</f>
        <v>37363.66667</v>
      </c>
      <c r="B1079" s="1">
        <f>IFERROR(__xludf.DUMMYFUNCTION("""COMPUTED_VALUE"""),1594.32)</f>
        <v>1594.32</v>
      </c>
    </row>
    <row r="1080">
      <c r="A1080" s="2">
        <f>IFERROR(__xludf.DUMMYFUNCTION("""COMPUTED_VALUE"""),37364.666666666664)</f>
        <v>37364.66667</v>
      </c>
      <c r="B1080" s="1">
        <f>IFERROR(__xludf.DUMMYFUNCTION("""COMPUTED_VALUE"""),1592.08)</f>
        <v>1592.08</v>
      </c>
    </row>
    <row r="1081">
      <c r="A1081" s="2">
        <f>IFERROR(__xludf.DUMMYFUNCTION("""COMPUTED_VALUE"""),37365.666666666664)</f>
        <v>37365.66667</v>
      </c>
      <c r="B1081" s="1">
        <f>IFERROR(__xludf.DUMMYFUNCTION("""COMPUTED_VALUE"""),1593.07)</f>
        <v>1593.07</v>
      </c>
    </row>
    <row r="1082">
      <c r="A1082" s="2">
        <f>IFERROR(__xludf.DUMMYFUNCTION("""COMPUTED_VALUE"""),37368.666666666664)</f>
        <v>37368.66667</v>
      </c>
      <c r="B1082" s="1">
        <f>IFERROR(__xludf.DUMMYFUNCTION("""COMPUTED_VALUE"""),1568.52)</f>
        <v>1568.52</v>
      </c>
    </row>
    <row r="1083">
      <c r="A1083" s="2">
        <f>IFERROR(__xludf.DUMMYFUNCTION("""COMPUTED_VALUE"""),37369.666666666664)</f>
        <v>37369.66667</v>
      </c>
      <c r="B1083" s="1">
        <f>IFERROR(__xludf.DUMMYFUNCTION("""COMPUTED_VALUE"""),1558.79)</f>
        <v>1558.79</v>
      </c>
    </row>
    <row r="1084">
      <c r="A1084" s="2">
        <f>IFERROR(__xludf.DUMMYFUNCTION("""COMPUTED_VALUE"""),37370.666666666664)</f>
        <v>37370.66667</v>
      </c>
      <c r="B1084" s="1">
        <f>IFERROR(__xludf.DUMMYFUNCTION("""COMPUTED_VALUE"""),1547.74)</f>
        <v>1547.74</v>
      </c>
    </row>
    <row r="1085">
      <c r="A1085" s="2">
        <f>IFERROR(__xludf.DUMMYFUNCTION("""COMPUTED_VALUE"""),37371.666666666664)</f>
        <v>37371.66667</v>
      </c>
      <c r="B1085" s="1">
        <f>IFERROR(__xludf.DUMMYFUNCTION("""COMPUTED_VALUE"""),1545.4)</f>
        <v>1545.4</v>
      </c>
    </row>
    <row r="1086">
      <c r="A1086" s="2">
        <f>IFERROR(__xludf.DUMMYFUNCTION("""COMPUTED_VALUE"""),37372.666666666664)</f>
        <v>37372.66667</v>
      </c>
      <c r="B1086" s="1">
        <f>IFERROR(__xludf.DUMMYFUNCTION("""COMPUTED_VALUE"""),1524.08)</f>
        <v>1524.08</v>
      </c>
    </row>
    <row r="1087">
      <c r="A1087" s="2">
        <f>IFERROR(__xludf.DUMMYFUNCTION("""COMPUTED_VALUE"""),37375.666666666664)</f>
        <v>37375.66667</v>
      </c>
      <c r="B1087" s="1">
        <f>IFERROR(__xludf.DUMMYFUNCTION("""COMPUTED_VALUE"""),1508.75)</f>
        <v>1508.75</v>
      </c>
    </row>
    <row r="1088">
      <c r="A1088" s="2">
        <f>IFERROR(__xludf.DUMMYFUNCTION("""COMPUTED_VALUE"""),37376.666666666664)</f>
        <v>37376.66667</v>
      </c>
      <c r="B1088" s="1">
        <f>IFERROR(__xludf.DUMMYFUNCTION("""COMPUTED_VALUE"""),1525.0)</f>
        <v>1525</v>
      </c>
    </row>
    <row r="1089">
      <c r="A1089" s="2">
        <f>IFERROR(__xludf.DUMMYFUNCTION("""COMPUTED_VALUE"""),37377.666666666664)</f>
        <v>37377.66667</v>
      </c>
      <c r="B1089" s="1">
        <f>IFERROR(__xludf.DUMMYFUNCTION("""COMPUTED_VALUE"""),1538.65)</f>
        <v>1538.65</v>
      </c>
    </row>
    <row r="1090">
      <c r="A1090" s="2">
        <f>IFERROR(__xludf.DUMMYFUNCTION("""COMPUTED_VALUE"""),37378.666666666664)</f>
        <v>37378.66667</v>
      </c>
      <c r="B1090" s="1">
        <f>IFERROR(__xludf.DUMMYFUNCTION("""COMPUTED_VALUE"""),1536.16)</f>
        <v>1536.16</v>
      </c>
    </row>
    <row r="1091">
      <c r="A1091" s="2">
        <f>IFERROR(__xludf.DUMMYFUNCTION("""COMPUTED_VALUE"""),37379.666666666664)</f>
        <v>37379.66667</v>
      </c>
      <c r="B1091" s="1">
        <f>IFERROR(__xludf.DUMMYFUNCTION("""COMPUTED_VALUE"""),1520.44)</f>
        <v>1520.44</v>
      </c>
    </row>
    <row r="1092">
      <c r="A1092" s="2">
        <f>IFERROR(__xludf.DUMMYFUNCTION("""COMPUTED_VALUE"""),37382.666666666664)</f>
        <v>37382.66667</v>
      </c>
      <c r="B1092" s="1">
        <f>IFERROR(__xludf.DUMMYFUNCTION("""COMPUTED_VALUE"""),1491.05)</f>
        <v>1491.05</v>
      </c>
    </row>
    <row r="1093">
      <c r="A1093" s="2">
        <f>IFERROR(__xludf.DUMMYFUNCTION("""COMPUTED_VALUE"""),37383.666666666664)</f>
        <v>37383.66667</v>
      </c>
      <c r="B1093" s="1">
        <f>IFERROR(__xludf.DUMMYFUNCTION("""COMPUTED_VALUE"""),1486.57)</f>
        <v>1486.57</v>
      </c>
    </row>
    <row r="1094">
      <c r="A1094" s="2">
        <f>IFERROR(__xludf.DUMMYFUNCTION("""COMPUTED_VALUE"""),37384.666666666664)</f>
        <v>37384.66667</v>
      </c>
      <c r="B1094" s="1">
        <f>IFERROR(__xludf.DUMMYFUNCTION("""COMPUTED_VALUE"""),1542.53)</f>
        <v>1542.53</v>
      </c>
    </row>
    <row r="1095">
      <c r="A1095" s="2">
        <f>IFERROR(__xludf.DUMMYFUNCTION("""COMPUTED_VALUE"""),37385.666666666664)</f>
        <v>37385.66667</v>
      </c>
      <c r="B1095" s="1">
        <f>IFERROR(__xludf.DUMMYFUNCTION("""COMPUTED_VALUE"""),1520.39)</f>
        <v>1520.39</v>
      </c>
    </row>
    <row r="1096">
      <c r="A1096" s="2">
        <f>IFERROR(__xludf.DUMMYFUNCTION("""COMPUTED_VALUE"""),37386.666666666664)</f>
        <v>37386.66667</v>
      </c>
      <c r="B1096" s="1">
        <f>IFERROR(__xludf.DUMMYFUNCTION("""COMPUTED_VALUE"""),1494.87)</f>
        <v>1494.87</v>
      </c>
    </row>
    <row r="1097">
      <c r="A1097" s="2">
        <f>IFERROR(__xludf.DUMMYFUNCTION("""COMPUTED_VALUE"""),37389.666666666664)</f>
        <v>37389.66667</v>
      </c>
      <c r="B1097" s="1">
        <f>IFERROR(__xludf.DUMMYFUNCTION("""COMPUTED_VALUE"""),1522.8)</f>
        <v>1522.8</v>
      </c>
    </row>
    <row r="1098">
      <c r="A1098" s="2">
        <f>IFERROR(__xludf.DUMMYFUNCTION("""COMPUTED_VALUE"""),37390.666666666664)</f>
        <v>37390.66667</v>
      </c>
      <c r="B1098" s="1">
        <f>IFERROR(__xludf.DUMMYFUNCTION("""COMPUTED_VALUE"""),1555.04)</f>
        <v>1555.04</v>
      </c>
    </row>
    <row r="1099">
      <c r="A1099" s="2">
        <f>IFERROR(__xludf.DUMMYFUNCTION("""COMPUTED_VALUE"""),37391.666666666664)</f>
        <v>37391.66667</v>
      </c>
      <c r="B1099" s="1">
        <f>IFERROR(__xludf.DUMMYFUNCTION("""COMPUTED_VALUE"""),1546.73)</f>
        <v>1546.73</v>
      </c>
    </row>
    <row r="1100">
      <c r="A1100" s="2">
        <f>IFERROR(__xludf.DUMMYFUNCTION("""COMPUTED_VALUE"""),37392.666666666664)</f>
        <v>37392.66667</v>
      </c>
      <c r="B1100" s="1">
        <f>IFERROR(__xludf.DUMMYFUNCTION("""COMPUTED_VALUE"""),1556.93)</f>
        <v>1556.93</v>
      </c>
    </row>
    <row r="1101">
      <c r="A1101" s="2">
        <f>IFERROR(__xludf.DUMMYFUNCTION("""COMPUTED_VALUE"""),37393.666666666664)</f>
        <v>37393.66667</v>
      </c>
      <c r="B1101" s="1">
        <f>IFERROR(__xludf.DUMMYFUNCTION("""COMPUTED_VALUE"""),1569.17)</f>
        <v>1569.17</v>
      </c>
    </row>
    <row r="1102">
      <c r="A1102" s="2">
        <f>IFERROR(__xludf.DUMMYFUNCTION("""COMPUTED_VALUE"""),37396.666666666664)</f>
        <v>37396.66667</v>
      </c>
      <c r="B1102" s="1">
        <f>IFERROR(__xludf.DUMMYFUNCTION("""COMPUTED_VALUE"""),1548.31)</f>
        <v>1548.31</v>
      </c>
    </row>
    <row r="1103">
      <c r="A1103" s="2">
        <f>IFERROR(__xludf.DUMMYFUNCTION("""COMPUTED_VALUE"""),37397.666666666664)</f>
        <v>37397.66667</v>
      </c>
      <c r="B1103" s="1">
        <f>IFERROR(__xludf.DUMMYFUNCTION("""COMPUTED_VALUE"""),1531.32)</f>
        <v>1531.32</v>
      </c>
    </row>
    <row r="1104">
      <c r="A1104" s="2">
        <f>IFERROR(__xludf.DUMMYFUNCTION("""COMPUTED_VALUE"""),37398.666666666664)</f>
        <v>37398.66667</v>
      </c>
      <c r="B1104" s="1">
        <f>IFERROR(__xludf.DUMMYFUNCTION("""COMPUTED_VALUE"""),1540.12)</f>
        <v>1540.12</v>
      </c>
    </row>
    <row r="1105">
      <c r="A1105" s="2">
        <f>IFERROR(__xludf.DUMMYFUNCTION("""COMPUTED_VALUE"""),37399.666666666664)</f>
        <v>37399.66667</v>
      </c>
      <c r="B1105" s="1">
        <f>IFERROR(__xludf.DUMMYFUNCTION("""COMPUTED_VALUE"""),1555.82)</f>
        <v>1555.82</v>
      </c>
    </row>
    <row r="1106">
      <c r="A1106" s="2">
        <f>IFERROR(__xludf.DUMMYFUNCTION("""COMPUTED_VALUE"""),37400.666666666664)</f>
        <v>37400.66667</v>
      </c>
      <c r="B1106" s="1">
        <f>IFERROR(__xludf.DUMMYFUNCTION("""COMPUTED_VALUE"""),1537.02)</f>
        <v>1537.02</v>
      </c>
    </row>
    <row r="1107">
      <c r="A1107" s="2">
        <f>IFERROR(__xludf.DUMMYFUNCTION("""COMPUTED_VALUE"""),37404.666666666664)</f>
        <v>37404.66667</v>
      </c>
      <c r="B1107" s="1">
        <f>IFERROR(__xludf.DUMMYFUNCTION("""COMPUTED_VALUE"""),1523.89)</f>
        <v>1523.89</v>
      </c>
    </row>
    <row r="1108">
      <c r="A1108" s="2">
        <f>IFERROR(__xludf.DUMMYFUNCTION("""COMPUTED_VALUE"""),37405.666666666664)</f>
        <v>37405.66667</v>
      </c>
      <c r="B1108" s="1">
        <f>IFERROR(__xludf.DUMMYFUNCTION("""COMPUTED_VALUE"""),1514.33)</f>
        <v>1514.33</v>
      </c>
    </row>
    <row r="1109">
      <c r="A1109" s="2">
        <f>IFERROR(__xludf.DUMMYFUNCTION("""COMPUTED_VALUE"""),37406.666666666664)</f>
        <v>37406.66667</v>
      </c>
      <c r="B1109" s="1">
        <f>IFERROR(__xludf.DUMMYFUNCTION("""COMPUTED_VALUE"""),1510.25)</f>
        <v>1510.25</v>
      </c>
    </row>
    <row r="1110">
      <c r="A1110" s="2">
        <f>IFERROR(__xludf.DUMMYFUNCTION("""COMPUTED_VALUE"""),37407.666666666664)</f>
        <v>37407.66667</v>
      </c>
      <c r="B1110" s="1">
        <f>IFERROR(__xludf.DUMMYFUNCTION("""COMPUTED_VALUE"""),1513.77)</f>
        <v>1513.77</v>
      </c>
    </row>
    <row r="1111">
      <c r="A1111" s="2">
        <f>IFERROR(__xludf.DUMMYFUNCTION("""COMPUTED_VALUE"""),37410.666666666664)</f>
        <v>37410.66667</v>
      </c>
      <c r="B1111" s="1">
        <f>IFERROR(__xludf.DUMMYFUNCTION("""COMPUTED_VALUE"""),1476.26)</f>
        <v>1476.26</v>
      </c>
    </row>
    <row r="1112">
      <c r="A1112" s="2">
        <f>IFERROR(__xludf.DUMMYFUNCTION("""COMPUTED_VALUE"""),37411.666666666664)</f>
        <v>37411.66667</v>
      </c>
      <c r="B1112" s="1">
        <f>IFERROR(__xludf.DUMMYFUNCTION("""COMPUTED_VALUE"""),1476.28)</f>
        <v>1476.28</v>
      </c>
    </row>
    <row r="1113">
      <c r="A1113" s="2">
        <f>IFERROR(__xludf.DUMMYFUNCTION("""COMPUTED_VALUE"""),37412.666666666664)</f>
        <v>37412.66667</v>
      </c>
      <c r="B1113" s="1">
        <f>IFERROR(__xludf.DUMMYFUNCTION("""COMPUTED_VALUE"""),1489.88)</f>
        <v>1489.88</v>
      </c>
    </row>
    <row r="1114">
      <c r="A1114" s="2">
        <f>IFERROR(__xludf.DUMMYFUNCTION("""COMPUTED_VALUE"""),37413.666666666664)</f>
        <v>37413.66667</v>
      </c>
      <c r="B1114" s="1">
        <f>IFERROR(__xludf.DUMMYFUNCTION("""COMPUTED_VALUE"""),1460.5)</f>
        <v>1460.5</v>
      </c>
    </row>
    <row r="1115">
      <c r="A1115" s="2">
        <f>IFERROR(__xludf.DUMMYFUNCTION("""COMPUTED_VALUE"""),37414.666666666664)</f>
        <v>37414.66667</v>
      </c>
      <c r="B1115" s="1">
        <f>IFERROR(__xludf.DUMMYFUNCTION("""COMPUTED_VALUE"""),1458.21)</f>
        <v>1458.21</v>
      </c>
    </row>
    <row r="1116">
      <c r="A1116" s="2">
        <f>IFERROR(__xludf.DUMMYFUNCTION("""COMPUTED_VALUE"""),37417.666666666664)</f>
        <v>37417.66667</v>
      </c>
      <c r="B1116" s="1">
        <f>IFERROR(__xludf.DUMMYFUNCTION("""COMPUTED_VALUE"""),1462.78)</f>
        <v>1462.78</v>
      </c>
    </row>
    <row r="1117">
      <c r="A1117" s="2">
        <f>IFERROR(__xludf.DUMMYFUNCTION("""COMPUTED_VALUE"""),37418.666666666664)</f>
        <v>37418.66667</v>
      </c>
      <c r="B1117" s="1">
        <f>IFERROR(__xludf.DUMMYFUNCTION("""COMPUTED_VALUE"""),1438.47)</f>
        <v>1438.47</v>
      </c>
    </row>
    <row r="1118">
      <c r="A1118" s="2">
        <f>IFERROR(__xludf.DUMMYFUNCTION("""COMPUTED_VALUE"""),37419.666666666664)</f>
        <v>37419.66667</v>
      </c>
      <c r="B1118" s="1">
        <f>IFERROR(__xludf.DUMMYFUNCTION("""COMPUTED_VALUE"""),1448.16)</f>
        <v>1448.16</v>
      </c>
    </row>
    <row r="1119">
      <c r="A1119" s="2">
        <f>IFERROR(__xludf.DUMMYFUNCTION("""COMPUTED_VALUE"""),37420.666666666664)</f>
        <v>37420.66667</v>
      </c>
      <c r="B1119" s="1">
        <f>IFERROR(__xludf.DUMMYFUNCTION("""COMPUTED_VALUE"""),1433.01)</f>
        <v>1433.01</v>
      </c>
    </row>
    <row r="1120">
      <c r="A1120" s="2">
        <f>IFERROR(__xludf.DUMMYFUNCTION("""COMPUTED_VALUE"""),37421.666666666664)</f>
        <v>37421.66667</v>
      </c>
      <c r="B1120" s="1">
        <f>IFERROR(__xludf.DUMMYFUNCTION("""COMPUTED_VALUE"""),1429.78)</f>
        <v>1429.78</v>
      </c>
    </row>
    <row r="1121">
      <c r="A1121" s="2">
        <f>IFERROR(__xludf.DUMMYFUNCTION("""COMPUTED_VALUE"""),37424.666666666664)</f>
        <v>37424.66667</v>
      </c>
      <c r="B1121" s="1">
        <f>IFERROR(__xludf.DUMMYFUNCTION("""COMPUTED_VALUE"""),1470.84)</f>
        <v>1470.84</v>
      </c>
    </row>
    <row r="1122">
      <c r="A1122" s="2">
        <f>IFERROR(__xludf.DUMMYFUNCTION("""COMPUTED_VALUE"""),37425.666666666664)</f>
        <v>37425.66667</v>
      </c>
      <c r="B1122" s="1">
        <f>IFERROR(__xludf.DUMMYFUNCTION("""COMPUTED_VALUE"""),1472.25)</f>
        <v>1472.25</v>
      </c>
    </row>
    <row r="1123">
      <c r="A1123" s="2">
        <f>IFERROR(__xludf.DUMMYFUNCTION("""COMPUTED_VALUE"""),37426.666666666664)</f>
        <v>37426.66667</v>
      </c>
      <c r="B1123" s="1">
        <f>IFERROR(__xludf.DUMMYFUNCTION("""COMPUTED_VALUE"""),1447.98)</f>
        <v>1447.98</v>
      </c>
    </row>
    <row r="1124">
      <c r="A1124" s="2">
        <f>IFERROR(__xludf.DUMMYFUNCTION("""COMPUTED_VALUE"""),37427.666666666664)</f>
        <v>37427.66667</v>
      </c>
      <c r="B1124" s="1">
        <f>IFERROR(__xludf.DUMMYFUNCTION("""COMPUTED_VALUE"""),1428.55)</f>
        <v>1428.55</v>
      </c>
    </row>
    <row r="1125">
      <c r="A1125" s="2">
        <f>IFERROR(__xludf.DUMMYFUNCTION("""COMPUTED_VALUE"""),37428.666666666664)</f>
        <v>37428.66667</v>
      </c>
      <c r="B1125" s="1">
        <f>IFERROR(__xludf.DUMMYFUNCTION("""COMPUTED_VALUE"""),1404.21)</f>
        <v>1404.21</v>
      </c>
    </row>
    <row r="1126">
      <c r="A1126" s="2">
        <f>IFERROR(__xludf.DUMMYFUNCTION("""COMPUTED_VALUE"""),37431.666666666664)</f>
        <v>37431.66667</v>
      </c>
      <c r="B1126" s="1">
        <f>IFERROR(__xludf.DUMMYFUNCTION("""COMPUTED_VALUE"""),1409.3)</f>
        <v>1409.3</v>
      </c>
    </row>
    <row r="1127">
      <c r="A1127" s="2">
        <f>IFERROR(__xludf.DUMMYFUNCTION("""COMPUTED_VALUE"""),37432.666666666664)</f>
        <v>37432.66667</v>
      </c>
      <c r="B1127" s="1">
        <f>IFERROR(__xludf.DUMMYFUNCTION("""COMPUTED_VALUE"""),1385.77)</f>
        <v>1385.77</v>
      </c>
    </row>
    <row r="1128">
      <c r="A1128" s="2">
        <f>IFERROR(__xludf.DUMMYFUNCTION("""COMPUTED_VALUE"""),37433.666666666664)</f>
        <v>37433.66667</v>
      </c>
      <c r="B1128" s="1">
        <f>IFERROR(__xludf.DUMMYFUNCTION("""COMPUTED_VALUE"""),1382.78)</f>
        <v>1382.78</v>
      </c>
    </row>
    <row r="1129">
      <c r="A1129" s="2">
        <f>IFERROR(__xludf.DUMMYFUNCTION("""COMPUTED_VALUE"""),37434.666666666664)</f>
        <v>37434.66667</v>
      </c>
      <c r="B1129" s="1">
        <f>IFERROR(__xludf.DUMMYFUNCTION("""COMPUTED_VALUE"""),1407.11)</f>
        <v>1407.11</v>
      </c>
    </row>
    <row r="1130">
      <c r="A1130" s="2">
        <f>IFERROR(__xludf.DUMMYFUNCTION("""COMPUTED_VALUE"""),37435.666666666664)</f>
        <v>37435.66667</v>
      </c>
      <c r="B1130" s="1">
        <f>IFERROR(__xludf.DUMMYFUNCTION("""COMPUTED_VALUE"""),1405.93)</f>
        <v>1405.93</v>
      </c>
    </row>
    <row r="1131">
      <c r="A1131" s="2">
        <f>IFERROR(__xludf.DUMMYFUNCTION("""COMPUTED_VALUE"""),37438.666666666664)</f>
        <v>37438.66667</v>
      </c>
      <c r="B1131" s="1">
        <f>IFERROR(__xludf.DUMMYFUNCTION("""COMPUTED_VALUE"""),1375.87)</f>
        <v>1375.87</v>
      </c>
    </row>
    <row r="1132">
      <c r="A1132" s="2">
        <f>IFERROR(__xludf.DUMMYFUNCTION("""COMPUTED_VALUE"""),37439.666666666664)</f>
        <v>37439.66667</v>
      </c>
      <c r="B1132" s="1">
        <f>IFERROR(__xludf.DUMMYFUNCTION("""COMPUTED_VALUE"""),1346.96)</f>
        <v>1346.96</v>
      </c>
    </row>
    <row r="1133">
      <c r="A1133" s="2">
        <f>IFERROR(__xludf.DUMMYFUNCTION("""COMPUTED_VALUE"""),37440.666666666664)</f>
        <v>37440.66667</v>
      </c>
      <c r="B1133" s="1">
        <f>IFERROR(__xludf.DUMMYFUNCTION("""COMPUTED_VALUE"""),1355.4)</f>
        <v>1355.4</v>
      </c>
    </row>
    <row r="1134">
      <c r="A1134" s="2">
        <f>IFERROR(__xludf.DUMMYFUNCTION("""COMPUTED_VALUE"""),37442.666666666664)</f>
        <v>37442.66667</v>
      </c>
      <c r="B1134" s="1">
        <f>IFERROR(__xludf.DUMMYFUNCTION("""COMPUTED_VALUE"""),1405.2)</f>
        <v>1405.2</v>
      </c>
    </row>
    <row r="1135">
      <c r="A1135" s="2">
        <f>IFERROR(__xludf.DUMMYFUNCTION("""COMPUTED_VALUE"""),37445.666666666664)</f>
        <v>37445.66667</v>
      </c>
      <c r="B1135" s="1">
        <f>IFERROR(__xludf.DUMMYFUNCTION("""COMPUTED_VALUE"""),1388.44)</f>
        <v>1388.44</v>
      </c>
    </row>
    <row r="1136">
      <c r="A1136" s="2">
        <f>IFERROR(__xludf.DUMMYFUNCTION("""COMPUTED_VALUE"""),37446.666666666664)</f>
        <v>37446.66667</v>
      </c>
      <c r="B1136" s="1">
        <f>IFERROR(__xludf.DUMMYFUNCTION("""COMPUTED_VALUE"""),1354.23)</f>
        <v>1354.23</v>
      </c>
    </row>
    <row r="1137">
      <c r="A1137" s="2">
        <f>IFERROR(__xludf.DUMMYFUNCTION("""COMPUTED_VALUE"""),37447.666666666664)</f>
        <v>37447.66667</v>
      </c>
      <c r="B1137" s="1">
        <f>IFERROR(__xludf.DUMMYFUNCTION("""COMPUTED_VALUE"""),1308.3)</f>
        <v>1308.3</v>
      </c>
    </row>
    <row r="1138">
      <c r="A1138" s="2">
        <f>IFERROR(__xludf.DUMMYFUNCTION("""COMPUTED_VALUE"""),37448.666666666664)</f>
        <v>37448.66667</v>
      </c>
      <c r="B1138" s="1">
        <f>IFERROR(__xludf.DUMMYFUNCTION("""COMPUTED_VALUE"""),1318.18)</f>
        <v>1318.18</v>
      </c>
    </row>
    <row r="1139">
      <c r="A1139" s="2">
        <f>IFERROR(__xludf.DUMMYFUNCTION("""COMPUTED_VALUE"""),37449.666666666664)</f>
        <v>37449.66667</v>
      </c>
      <c r="B1139" s="1">
        <f>IFERROR(__xludf.DUMMYFUNCTION("""COMPUTED_VALUE"""),1309.68)</f>
        <v>1309.68</v>
      </c>
    </row>
    <row r="1140">
      <c r="A1140" s="2">
        <f>IFERROR(__xludf.DUMMYFUNCTION("""COMPUTED_VALUE"""),37452.666666666664)</f>
        <v>37452.66667</v>
      </c>
      <c r="B1140" s="1">
        <f>IFERROR(__xludf.DUMMYFUNCTION("""COMPUTED_VALUE"""),1304.76)</f>
        <v>1304.76</v>
      </c>
    </row>
    <row r="1141">
      <c r="A1141" s="2">
        <f>IFERROR(__xludf.DUMMYFUNCTION("""COMPUTED_VALUE"""),37453.666666666664)</f>
        <v>37453.66667</v>
      </c>
      <c r="B1141" s="1">
        <f>IFERROR(__xludf.DUMMYFUNCTION("""COMPUTED_VALUE"""),1280.78)</f>
        <v>1280.78</v>
      </c>
    </row>
    <row r="1142">
      <c r="A1142" s="2">
        <f>IFERROR(__xludf.DUMMYFUNCTION("""COMPUTED_VALUE"""),37454.666666666664)</f>
        <v>37454.66667</v>
      </c>
      <c r="B1142" s="1">
        <f>IFERROR(__xludf.DUMMYFUNCTION("""COMPUTED_VALUE"""),1287.98)</f>
        <v>1287.98</v>
      </c>
    </row>
    <row r="1143">
      <c r="A1143" s="2">
        <f>IFERROR(__xludf.DUMMYFUNCTION("""COMPUTED_VALUE"""),37455.666666666664)</f>
        <v>37455.66667</v>
      </c>
      <c r="B1143" s="1">
        <f>IFERROR(__xludf.DUMMYFUNCTION("""COMPUTED_VALUE"""),1253.21)</f>
        <v>1253.21</v>
      </c>
    </row>
    <row r="1144">
      <c r="A1144" s="2">
        <f>IFERROR(__xludf.DUMMYFUNCTION("""COMPUTED_VALUE"""),37456.666666666664)</f>
        <v>37456.66667</v>
      </c>
      <c r="B1144" s="1">
        <f>IFERROR(__xludf.DUMMYFUNCTION("""COMPUTED_VALUE"""),1205.16)</f>
        <v>1205.16</v>
      </c>
    </row>
    <row r="1145">
      <c r="A1145" s="2">
        <f>IFERROR(__xludf.DUMMYFUNCTION("""COMPUTED_VALUE"""),37459.666666666664)</f>
        <v>37459.66667</v>
      </c>
      <c r="B1145" s="1">
        <f>IFERROR(__xludf.DUMMYFUNCTION("""COMPUTED_VALUE"""),1165.48)</f>
        <v>1165.48</v>
      </c>
    </row>
    <row r="1146">
      <c r="A1146" s="2">
        <f>IFERROR(__xludf.DUMMYFUNCTION("""COMPUTED_VALUE"""),37460.666666666664)</f>
        <v>37460.66667</v>
      </c>
      <c r="B1146" s="1">
        <f>IFERROR(__xludf.DUMMYFUNCTION("""COMPUTED_VALUE"""),1133.99)</f>
        <v>1133.99</v>
      </c>
    </row>
    <row r="1147">
      <c r="A1147" s="2">
        <f>IFERROR(__xludf.DUMMYFUNCTION("""COMPUTED_VALUE"""),37461.666666666664)</f>
        <v>37461.66667</v>
      </c>
      <c r="B1147" s="1">
        <f>IFERROR(__xludf.DUMMYFUNCTION("""COMPUTED_VALUE"""),1199.01)</f>
        <v>1199.01</v>
      </c>
    </row>
    <row r="1148">
      <c r="A1148" s="2">
        <f>IFERROR(__xludf.DUMMYFUNCTION("""COMPUTED_VALUE"""),37462.666666666664)</f>
        <v>37462.66667</v>
      </c>
      <c r="B1148" s="1">
        <f>IFERROR(__xludf.DUMMYFUNCTION("""COMPUTED_VALUE"""),1192.28)</f>
        <v>1192.28</v>
      </c>
    </row>
    <row r="1149">
      <c r="A1149" s="2">
        <f>IFERROR(__xludf.DUMMYFUNCTION("""COMPUTED_VALUE"""),37463.666666666664)</f>
        <v>37463.66667</v>
      </c>
      <c r="B1149" s="1">
        <f>IFERROR(__xludf.DUMMYFUNCTION("""COMPUTED_VALUE"""),1212.41)</f>
        <v>1212.41</v>
      </c>
    </row>
    <row r="1150">
      <c r="A1150" s="2">
        <f>IFERROR(__xludf.DUMMYFUNCTION("""COMPUTED_VALUE"""),37466.666666666664)</f>
        <v>37466.66667</v>
      </c>
      <c r="B1150" s="1">
        <f>IFERROR(__xludf.DUMMYFUNCTION("""COMPUTED_VALUE"""),1278.1)</f>
        <v>1278.1</v>
      </c>
    </row>
    <row r="1151">
      <c r="A1151" s="2">
        <f>IFERROR(__xludf.DUMMYFUNCTION("""COMPUTED_VALUE"""),37467.666666666664)</f>
        <v>37467.66667</v>
      </c>
      <c r="B1151" s="1">
        <f>IFERROR(__xludf.DUMMYFUNCTION("""COMPUTED_VALUE"""),1283.62)</f>
        <v>1283.62</v>
      </c>
    </row>
    <row r="1152">
      <c r="A1152" s="2">
        <f>IFERROR(__xludf.DUMMYFUNCTION("""COMPUTED_VALUE"""),37468.666666666664)</f>
        <v>37468.66667</v>
      </c>
      <c r="B1152" s="1">
        <f>IFERROR(__xludf.DUMMYFUNCTION("""COMPUTED_VALUE"""),1296.34)</f>
        <v>1296.34</v>
      </c>
    </row>
    <row r="1153">
      <c r="A1153" s="2">
        <f>IFERROR(__xludf.DUMMYFUNCTION("""COMPUTED_VALUE"""),37469.666666666664)</f>
        <v>37469.66667</v>
      </c>
      <c r="B1153" s="1">
        <f>IFERROR(__xludf.DUMMYFUNCTION("""COMPUTED_VALUE"""),1258.22)</f>
        <v>1258.22</v>
      </c>
    </row>
    <row r="1154">
      <c r="A1154" s="2">
        <f>IFERROR(__xludf.DUMMYFUNCTION("""COMPUTED_VALUE"""),37470.666666666664)</f>
        <v>37470.66667</v>
      </c>
      <c r="B1154" s="1">
        <f>IFERROR(__xludf.DUMMYFUNCTION("""COMPUTED_VALUE"""),1229.19)</f>
        <v>1229.19</v>
      </c>
    </row>
    <row r="1155">
      <c r="A1155" s="2">
        <f>IFERROR(__xludf.DUMMYFUNCTION("""COMPUTED_VALUE"""),37473.666666666664)</f>
        <v>37473.66667</v>
      </c>
      <c r="B1155" s="1">
        <f>IFERROR(__xludf.DUMMYFUNCTION("""COMPUTED_VALUE"""),1187.07)</f>
        <v>1187.07</v>
      </c>
    </row>
    <row r="1156">
      <c r="A1156" s="2">
        <f>IFERROR(__xludf.DUMMYFUNCTION("""COMPUTED_VALUE"""),37474.666666666664)</f>
        <v>37474.66667</v>
      </c>
      <c r="B1156" s="1">
        <f>IFERROR(__xludf.DUMMYFUNCTION("""COMPUTED_VALUE"""),1222.59)</f>
        <v>1222.59</v>
      </c>
    </row>
    <row r="1157">
      <c r="A1157" s="2">
        <f>IFERROR(__xludf.DUMMYFUNCTION("""COMPUTED_VALUE"""),37475.666666666664)</f>
        <v>37475.66667</v>
      </c>
      <c r="B1157" s="1">
        <f>IFERROR(__xludf.DUMMYFUNCTION("""COMPUTED_VALUE"""),1247.28)</f>
        <v>1247.28</v>
      </c>
    </row>
    <row r="1158">
      <c r="A1158" s="2">
        <f>IFERROR(__xludf.DUMMYFUNCTION("""COMPUTED_VALUE"""),37476.666666666664)</f>
        <v>37476.66667</v>
      </c>
      <c r="B1158" s="1">
        <f>IFERROR(__xludf.DUMMYFUNCTION("""COMPUTED_VALUE"""),1288.12)</f>
        <v>1288.12</v>
      </c>
    </row>
    <row r="1159">
      <c r="A1159" s="2">
        <f>IFERROR(__xludf.DUMMYFUNCTION("""COMPUTED_VALUE"""),37477.666666666664)</f>
        <v>37477.66667</v>
      </c>
      <c r="B1159" s="1">
        <f>IFERROR(__xludf.DUMMYFUNCTION("""COMPUTED_VALUE"""),1292.94)</f>
        <v>1292.94</v>
      </c>
    </row>
    <row r="1160">
      <c r="A1160" s="2">
        <f>IFERROR(__xludf.DUMMYFUNCTION("""COMPUTED_VALUE"""),37480.666666666664)</f>
        <v>37480.66667</v>
      </c>
      <c r="B1160" s="1">
        <f>IFERROR(__xludf.DUMMYFUNCTION("""COMPUTED_VALUE"""),1286.09)</f>
        <v>1286.09</v>
      </c>
    </row>
    <row r="1161">
      <c r="A1161" s="2">
        <f>IFERROR(__xludf.DUMMYFUNCTION("""COMPUTED_VALUE"""),37481.666666666664)</f>
        <v>37481.66667</v>
      </c>
      <c r="B1161" s="1">
        <f>IFERROR(__xludf.DUMMYFUNCTION("""COMPUTED_VALUE"""),1258.36)</f>
        <v>1258.36</v>
      </c>
    </row>
    <row r="1162">
      <c r="A1162" s="2">
        <f>IFERROR(__xludf.DUMMYFUNCTION("""COMPUTED_VALUE"""),37482.666666666664)</f>
        <v>37482.66667</v>
      </c>
      <c r="B1162" s="1">
        <f>IFERROR(__xludf.DUMMYFUNCTION("""COMPUTED_VALUE"""),1309.04)</f>
        <v>1309.04</v>
      </c>
    </row>
    <row r="1163">
      <c r="A1163" s="2">
        <f>IFERROR(__xludf.DUMMYFUNCTION("""COMPUTED_VALUE"""),37483.666666666664)</f>
        <v>37483.66667</v>
      </c>
      <c r="B1163" s="1">
        <f>IFERROR(__xludf.DUMMYFUNCTION("""COMPUTED_VALUE"""),1324.32)</f>
        <v>1324.32</v>
      </c>
    </row>
    <row r="1164">
      <c r="A1164" s="2">
        <f>IFERROR(__xludf.DUMMYFUNCTION("""COMPUTED_VALUE"""),37484.666666666664)</f>
        <v>37484.66667</v>
      </c>
      <c r="B1164" s="1">
        <f>IFERROR(__xludf.DUMMYFUNCTION("""COMPUTED_VALUE"""),1322.36)</f>
        <v>1322.36</v>
      </c>
    </row>
    <row r="1165">
      <c r="A1165" s="2">
        <f>IFERROR(__xludf.DUMMYFUNCTION("""COMPUTED_VALUE"""),37487.666666666664)</f>
        <v>37487.66667</v>
      </c>
      <c r="B1165" s="1">
        <f>IFERROR(__xludf.DUMMYFUNCTION("""COMPUTED_VALUE"""),1353.63)</f>
        <v>1353.63</v>
      </c>
    </row>
    <row r="1166">
      <c r="A1166" s="2">
        <f>IFERROR(__xludf.DUMMYFUNCTION("""COMPUTED_VALUE"""),37488.666666666664)</f>
        <v>37488.66667</v>
      </c>
      <c r="B1166" s="1">
        <f>IFERROR(__xludf.DUMMYFUNCTION("""COMPUTED_VALUE"""),1334.7)</f>
        <v>1334.7</v>
      </c>
    </row>
    <row r="1167">
      <c r="A1167" s="2">
        <f>IFERROR(__xludf.DUMMYFUNCTION("""COMPUTED_VALUE"""),37489.666666666664)</f>
        <v>37489.66667</v>
      </c>
      <c r="B1167" s="1">
        <f>IFERROR(__xludf.DUMMYFUNCTION("""COMPUTED_VALUE"""),1351.82)</f>
        <v>1351.82</v>
      </c>
    </row>
    <row r="1168">
      <c r="A1168" s="2">
        <f>IFERROR(__xludf.DUMMYFUNCTION("""COMPUTED_VALUE"""),37490.666666666664)</f>
        <v>37490.66667</v>
      </c>
      <c r="B1168" s="1">
        <f>IFERROR(__xludf.DUMMYFUNCTION("""COMPUTED_VALUE"""),1370.85)</f>
        <v>1370.85</v>
      </c>
    </row>
    <row r="1169">
      <c r="A1169" s="2">
        <f>IFERROR(__xludf.DUMMYFUNCTION("""COMPUTED_VALUE"""),37491.666666666664)</f>
        <v>37491.66667</v>
      </c>
      <c r="B1169" s="1">
        <f>IFERROR(__xludf.DUMMYFUNCTION("""COMPUTED_VALUE"""),1339.79)</f>
        <v>1339.79</v>
      </c>
    </row>
    <row r="1170">
      <c r="A1170" s="2">
        <f>IFERROR(__xludf.DUMMYFUNCTION("""COMPUTED_VALUE"""),37494.666666666664)</f>
        <v>37494.66667</v>
      </c>
      <c r="B1170" s="1">
        <f>IFERROR(__xludf.DUMMYFUNCTION("""COMPUTED_VALUE"""),1349.88)</f>
        <v>1349.88</v>
      </c>
    </row>
    <row r="1171">
      <c r="A1171" s="2">
        <f>IFERROR(__xludf.DUMMYFUNCTION("""COMPUTED_VALUE"""),37495.666666666664)</f>
        <v>37495.66667</v>
      </c>
      <c r="B1171" s="1">
        <f>IFERROR(__xludf.DUMMYFUNCTION("""COMPUTED_VALUE"""),1331.2)</f>
        <v>1331.2</v>
      </c>
    </row>
    <row r="1172">
      <c r="A1172" s="2">
        <f>IFERROR(__xludf.DUMMYFUNCTION("""COMPUTED_VALUE"""),37496.666666666664)</f>
        <v>37496.66667</v>
      </c>
      <c r="B1172" s="1">
        <f>IFERROR(__xludf.DUMMYFUNCTION("""COMPUTED_VALUE"""),1307.28)</f>
        <v>1307.28</v>
      </c>
    </row>
    <row r="1173">
      <c r="A1173" s="2">
        <f>IFERROR(__xludf.DUMMYFUNCTION("""COMPUTED_VALUE"""),37497.666666666664)</f>
        <v>37497.66667</v>
      </c>
      <c r="B1173" s="1">
        <f>IFERROR(__xludf.DUMMYFUNCTION("""COMPUTED_VALUE"""),1307.28)</f>
        <v>1307.28</v>
      </c>
    </row>
    <row r="1174">
      <c r="A1174" s="2">
        <f>IFERROR(__xludf.DUMMYFUNCTION("""COMPUTED_VALUE"""),37498.666666666664)</f>
        <v>37498.66667</v>
      </c>
      <c r="B1174" s="1">
        <f>IFERROR(__xludf.DUMMYFUNCTION("""COMPUTED_VALUE"""),1304.86)</f>
        <v>1304.86</v>
      </c>
    </row>
    <row r="1175">
      <c r="A1175" s="2">
        <f>IFERROR(__xludf.DUMMYFUNCTION("""COMPUTED_VALUE"""),37502.666666666664)</f>
        <v>37502.66667</v>
      </c>
      <c r="B1175" s="1">
        <f>IFERROR(__xludf.DUMMYFUNCTION("""COMPUTED_VALUE"""),1250.68)</f>
        <v>1250.68</v>
      </c>
    </row>
    <row r="1176">
      <c r="A1176" s="2">
        <f>IFERROR(__xludf.DUMMYFUNCTION("""COMPUTED_VALUE"""),37503.666666666664)</f>
        <v>37503.66667</v>
      </c>
      <c r="B1176" s="1">
        <f>IFERROR(__xludf.DUMMYFUNCTION("""COMPUTED_VALUE"""),1273.03)</f>
        <v>1273.03</v>
      </c>
    </row>
    <row r="1177">
      <c r="A1177" s="2">
        <f>IFERROR(__xludf.DUMMYFUNCTION("""COMPUTED_VALUE"""),37504.666666666664)</f>
        <v>37504.66667</v>
      </c>
      <c r="B1177" s="1">
        <f>IFERROR(__xludf.DUMMYFUNCTION("""COMPUTED_VALUE"""),1252.77)</f>
        <v>1252.77</v>
      </c>
    </row>
    <row r="1178">
      <c r="A1178" s="2">
        <f>IFERROR(__xludf.DUMMYFUNCTION("""COMPUTED_VALUE"""),37505.666666666664)</f>
        <v>37505.66667</v>
      </c>
      <c r="B1178" s="1">
        <f>IFERROR(__xludf.DUMMYFUNCTION("""COMPUTED_VALUE"""),1273.88)</f>
        <v>1273.88</v>
      </c>
    </row>
    <row r="1179">
      <c r="A1179" s="2">
        <f>IFERROR(__xludf.DUMMYFUNCTION("""COMPUTED_VALUE"""),37508.666666666664)</f>
        <v>37508.66667</v>
      </c>
      <c r="B1179" s="1">
        <f>IFERROR(__xludf.DUMMYFUNCTION("""COMPUTED_VALUE"""),1286.79)</f>
        <v>1286.79</v>
      </c>
    </row>
    <row r="1180">
      <c r="A1180" s="2">
        <f>IFERROR(__xludf.DUMMYFUNCTION("""COMPUTED_VALUE"""),37509.666666666664)</f>
        <v>37509.66667</v>
      </c>
      <c r="B1180" s="1">
        <f>IFERROR(__xludf.DUMMYFUNCTION("""COMPUTED_VALUE"""),1296.23)</f>
        <v>1296.23</v>
      </c>
    </row>
    <row r="1181">
      <c r="A1181" s="2">
        <f>IFERROR(__xludf.DUMMYFUNCTION("""COMPUTED_VALUE"""),37510.666666666664)</f>
        <v>37510.66667</v>
      </c>
      <c r="B1181" s="1">
        <f>IFERROR(__xludf.DUMMYFUNCTION("""COMPUTED_VALUE"""),1296.26)</f>
        <v>1296.26</v>
      </c>
    </row>
    <row r="1182">
      <c r="A1182" s="2">
        <f>IFERROR(__xludf.DUMMYFUNCTION("""COMPUTED_VALUE"""),37511.666666666664)</f>
        <v>37511.66667</v>
      </c>
      <c r="B1182" s="1">
        <f>IFERROR(__xludf.DUMMYFUNCTION("""COMPUTED_VALUE"""),1264.42)</f>
        <v>1264.42</v>
      </c>
    </row>
    <row r="1183">
      <c r="A1183" s="2">
        <f>IFERROR(__xludf.DUMMYFUNCTION("""COMPUTED_VALUE"""),37512.666666666664)</f>
        <v>37512.66667</v>
      </c>
      <c r="B1183" s="1">
        <f>IFERROR(__xludf.DUMMYFUNCTION("""COMPUTED_VALUE"""),1268.57)</f>
        <v>1268.57</v>
      </c>
    </row>
    <row r="1184">
      <c r="A1184" s="2">
        <f>IFERROR(__xludf.DUMMYFUNCTION("""COMPUTED_VALUE"""),37515.666666666664)</f>
        <v>37515.66667</v>
      </c>
      <c r="B1184" s="1">
        <f>IFERROR(__xludf.DUMMYFUNCTION("""COMPUTED_VALUE"""),1270.45)</f>
        <v>1270.45</v>
      </c>
    </row>
    <row r="1185">
      <c r="A1185" s="2">
        <f>IFERROR(__xludf.DUMMYFUNCTION("""COMPUTED_VALUE"""),37516.666666666664)</f>
        <v>37516.66667</v>
      </c>
      <c r="B1185" s="1">
        <f>IFERROR(__xludf.DUMMYFUNCTION("""COMPUTED_VALUE"""),1245.39)</f>
        <v>1245.39</v>
      </c>
    </row>
    <row r="1186">
      <c r="A1186" s="2">
        <f>IFERROR(__xludf.DUMMYFUNCTION("""COMPUTED_VALUE"""),37517.666666666664)</f>
        <v>37517.66667</v>
      </c>
      <c r="B1186" s="1">
        <f>IFERROR(__xludf.DUMMYFUNCTION("""COMPUTED_VALUE"""),1239.7)</f>
        <v>1239.7</v>
      </c>
    </row>
    <row r="1187">
      <c r="A1187" s="2">
        <f>IFERROR(__xludf.DUMMYFUNCTION("""COMPUTED_VALUE"""),37518.666666666664)</f>
        <v>37518.66667</v>
      </c>
      <c r="B1187" s="1">
        <f>IFERROR(__xludf.DUMMYFUNCTION("""COMPUTED_VALUE"""),1202.46)</f>
        <v>1202.46</v>
      </c>
    </row>
    <row r="1188">
      <c r="A1188" s="2">
        <f>IFERROR(__xludf.DUMMYFUNCTION("""COMPUTED_VALUE"""),37519.666666666664)</f>
        <v>37519.66667</v>
      </c>
      <c r="B1188" s="1">
        <f>IFERROR(__xludf.DUMMYFUNCTION("""COMPUTED_VALUE"""),1205.42)</f>
        <v>1205.42</v>
      </c>
    </row>
    <row r="1189">
      <c r="A1189" s="2">
        <f>IFERROR(__xludf.DUMMYFUNCTION("""COMPUTED_VALUE"""),37522.666666666664)</f>
        <v>37522.66667</v>
      </c>
      <c r="B1189" s="1">
        <f>IFERROR(__xludf.DUMMYFUNCTION("""COMPUTED_VALUE"""),1188.76)</f>
        <v>1188.76</v>
      </c>
    </row>
    <row r="1190">
      <c r="A1190" s="2">
        <f>IFERROR(__xludf.DUMMYFUNCTION("""COMPUTED_VALUE"""),37523.666666666664)</f>
        <v>37523.66667</v>
      </c>
      <c r="B1190" s="1">
        <f>IFERROR(__xludf.DUMMYFUNCTION("""COMPUTED_VALUE"""),1168.22)</f>
        <v>1168.22</v>
      </c>
    </row>
    <row r="1191">
      <c r="A1191" s="2">
        <f>IFERROR(__xludf.DUMMYFUNCTION("""COMPUTED_VALUE"""),37524.666666666664)</f>
        <v>37524.66667</v>
      </c>
      <c r="B1191" s="1">
        <f>IFERROR(__xludf.DUMMYFUNCTION("""COMPUTED_VALUE"""),1197.56)</f>
        <v>1197.56</v>
      </c>
    </row>
    <row r="1192">
      <c r="A1192" s="2">
        <f>IFERROR(__xludf.DUMMYFUNCTION("""COMPUTED_VALUE"""),37525.666666666664)</f>
        <v>37525.66667</v>
      </c>
      <c r="B1192" s="1">
        <f>IFERROR(__xludf.DUMMYFUNCTION("""COMPUTED_VALUE"""),1219.6)</f>
        <v>1219.6</v>
      </c>
    </row>
    <row r="1193">
      <c r="A1193" s="2">
        <f>IFERROR(__xludf.DUMMYFUNCTION("""COMPUTED_VALUE"""),37526.666666666664)</f>
        <v>37526.66667</v>
      </c>
      <c r="B1193" s="1">
        <f>IFERROR(__xludf.DUMMYFUNCTION("""COMPUTED_VALUE"""),1180.28)</f>
        <v>1180.28</v>
      </c>
    </row>
    <row r="1194">
      <c r="A1194" s="2">
        <f>IFERROR(__xludf.DUMMYFUNCTION("""COMPUTED_VALUE"""),37529.666666666664)</f>
        <v>37529.66667</v>
      </c>
      <c r="B1194" s="1">
        <f>IFERROR(__xludf.DUMMYFUNCTION("""COMPUTED_VALUE"""),1163.04)</f>
        <v>1163.04</v>
      </c>
    </row>
    <row r="1195">
      <c r="A1195" s="2">
        <f>IFERROR(__xludf.DUMMYFUNCTION("""COMPUTED_VALUE"""),37530.666666666664)</f>
        <v>37530.66667</v>
      </c>
      <c r="B1195" s="1">
        <f>IFERROR(__xludf.DUMMYFUNCTION("""COMPUTED_VALUE"""),1209.59)</f>
        <v>1209.59</v>
      </c>
    </row>
    <row r="1196">
      <c r="A1196" s="2">
        <f>IFERROR(__xludf.DUMMYFUNCTION("""COMPUTED_VALUE"""),37531.666666666664)</f>
        <v>37531.66667</v>
      </c>
      <c r="B1196" s="1">
        <f>IFERROR(__xludf.DUMMYFUNCTION("""COMPUTED_VALUE"""),1181.32)</f>
        <v>1181.32</v>
      </c>
    </row>
    <row r="1197">
      <c r="A1197" s="2">
        <f>IFERROR(__xludf.DUMMYFUNCTION("""COMPUTED_VALUE"""),37532.666666666664)</f>
        <v>37532.66667</v>
      </c>
      <c r="B1197" s="1">
        <f>IFERROR(__xludf.DUMMYFUNCTION("""COMPUTED_VALUE"""),1168.57)</f>
        <v>1168.57</v>
      </c>
    </row>
    <row r="1198">
      <c r="A1198" s="2">
        <f>IFERROR(__xludf.DUMMYFUNCTION("""COMPUTED_VALUE"""),37533.666666666664)</f>
        <v>37533.66667</v>
      </c>
      <c r="B1198" s="1">
        <f>IFERROR(__xludf.DUMMYFUNCTION("""COMPUTED_VALUE"""),1142.36)</f>
        <v>1142.36</v>
      </c>
    </row>
    <row r="1199">
      <c r="A1199" s="2">
        <f>IFERROR(__xludf.DUMMYFUNCTION("""COMPUTED_VALUE"""),37536.666666666664)</f>
        <v>37536.66667</v>
      </c>
      <c r="B1199" s="1">
        <f>IFERROR(__xludf.DUMMYFUNCTION("""COMPUTED_VALUE"""),1120.52)</f>
        <v>1120.52</v>
      </c>
    </row>
    <row r="1200">
      <c r="A1200" s="2">
        <f>IFERROR(__xludf.DUMMYFUNCTION("""COMPUTED_VALUE"""),37537.666666666664)</f>
        <v>37537.66667</v>
      </c>
      <c r="B1200" s="1">
        <f>IFERROR(__xludf.DUMMYFUNCTION("""COMPUTED_VALUE"""),1139.9)</f>
        <v>1139.9</v>
      </c>
    </row>
    <row r="1201">
      <c r="A1201" s="2">
        <f>IFERROR(__xludf.DUMMYFUNCTION("""COMPUTED_VALUE"""),37538.666666666664)</f>
        <v>37538.66667</v>
      </c>
      <c r="B1201" s="1">
        <f>IFERROR(__xludf.DUMMYFUNCTION("""COMPUTED_VALUE"""),1108.91)</f>
        <v>1108.91</v>
      </c>
    </row>
    <row r="1202">
      <c r="A1202" s="2">
        <f>IFERROR(__xludf.DUMMYFUNCTION("""COMPUTED_VALUE"""),37539.666666666664)</f>
        <v>37539.66667</v>
      </c>
      <c r="B1202" s="1">
        <f>IFERROR(__xludf.DUMMYFUNCTION("""COMPUTED_VALUE"""),1147.8)</f>
        <v>1147.8</v>
      </c>
    </row>
    <row r="1203">
      <c r="A1203" s="2">
        <f>IFERROR(__xludf.DUMMYFUNCTION("""COMPUTED_VALUE"""),37540.666666666664)</f>
        <v>37540.66667</v>
      </c>
      <c r="B1203" s="1">
        <f>IFERROR(__xludf.DUMMYFUNCTION("""COMPUTED_VALUE"""),1192.63)</f>
        <v>1192.63</v>
      </c>
    </row>
    <row r="1204">
      <c r="A1204" s="2">
        <f>IFERROR(__xludf.DUMMYFUNCTION("""COMPUTED_VALUE"""),37543.666666666664)</f>
        <v>37543.66667</v>
      </c>
      <c r="B1204" s="1">
        <f>IFERROR(__xludf.DUMMYFUNCTION("""COMPUTED_VALUE"""),1201.37)</f>
        <v>1201.37</v>
      </c>
    </row>
    <row r="1205">
      <c r="A1205" s="2">
        <f>IFERROR(__xludf.DUMMYFUNCTION("""COMPUTED_VALUE"""),37544.666666666664)</f>
        <v>37544.66667</v>
      </c>
      <c r="B1205" s="1">
        <f>IFERROR(__xludf.DUMMYFUNCTION("""COMPUTED_VALUE"""),1258.24)</f>
        <v>1258.24</v>
      </c>
    </row>
    <row r="1206">
      <c r="A1206" s="2">
        <f>IFERROR(__xludf.DUMMYFUNCTION("""COMPUTED_VALUE"""),37545.666666666664)</f>
        <v>37545.66667</v>
      </c>
      <c r="B1206" s="1">
        <f>IFERROR(__xludf.DUMMYFUNCTION("""COMPUTED_VALUE"""),1228.01)</f>
        <v>1228.01</v>
      </c>
    </row>
    <row r="1207">
      <c r="A1207" s="2">
        <f>IFERROR(__xludf.DUMMYFUNCTION("""COMPUTED_VALUE"""),37546.666666666664)</f>
        <v>37546.66667</v>
      </c>
      <c r="B1207" s="1">
        <f>IFERROR(__xludf.DUMMYFUNCTION("""COMPUTED_VALUE"""),1255.42)</f>
        <v>1255.42</v>
      </c>
    </row>
    <row r="1208">
      <c r="A1208" s="2">
        <f>IFERROR(__xludf.DUMMYFUNCTION("""COMPUTED_VALUE"""),37547.666666666664)</f>
        <v>37547.66667</v>
      </c>
      <c r="B1208" s="1">
        <f>IFERROR(__xludf.DUMMYFUNCTION("""COMPUTED_VALUE"""),1262.84)</f>
        <v>1262.84</v>
      </c>
    </row>
    <row r="1209">
      <c r="A1209" s="2">
        <f>IFERROR(__xludf.DUMMYFUNCTION("""COMPUTED_VALUE"""),37550.666666666664)</f>
        <v>37550.66667</v>
      </c>
      <c r="B1209" s="1">
        <f>IFERROR(__xludf.DUMMYFUNCTION("""COMPUTED_VALUE"""),1284.73)</f>
        <v>1284.73</v>
      </c>
    </row>
    <row r="1210">
      <c r="A1210" s="2">
        <f>IFERROR(__xludf.DUMMYFUNCTION("""COMPUTED_VALUE"""),37551.666666666664)</f>
        <v>37551.66667</v>
      </c>
      <c r="B1210" s="1">
        <f>IFERROR(__xludf.DUMMYFUNCTION("""COMPUTED_VALUE"""),1271.08)</f>
        <v>1271.08</v>
      </c>
    </row>
    <row r="1211">
      <c r="A1211" s="2">
        <f>IFERROR(__xludf.DUMMYFUNCTION("""COMPUTED_VALUE"""),37552.666666666664)</f>
        <v>37552.66667</v>
      </c>
      <c r="B1211" s="1">
        <f>IFERROR(__xludf.DUMMYFUNCTION("""COMPUTED_VALUE"""),1279.63)</f>
        <v>1279.63</v>
      </c>
    </row>
    <row r="1212">
      <c r="A1212" s="2">
        <f>IFERROR(__xludf.DUMMYFUNCTION("""COMPUTED_VALUE"""),37553.666666666664)</f>
        <v>37553.66667</v>
      </c>
      <c r="B1212" s="1">
        <f>IFERROR(__xludf.DUMMYFUNCTION("""COMPUTED_VALUE"""),1260.17)</f>
        <v>1260.17</v>
      </c>
    </row>
    <row r="1213">
      <c r="A1213" s="2">
        <f>IFERROR(__xludf.DUMMYFUNCTION("""COMPUTED_VALUE"""),37554.666666666664)</f>
        <v>37554.66667</v>
      </c>
      <c r="B1213" s="1">
        <f>IFERROR(__xludf.DUMMYFUNCTION("""COMPUTED_VALUE"""),1281.81)</f>
        <v>1281.81</v>
      </c>
    </row>
    <row r="1214">
      <c r="A1214" s="2">
        <f>IFERROR(__xludf.DUMMYFUNCTION("""COMPUTED_VALUE"""),37557.666666666664)</f>
        <v>37557.66667</v>
      </c>
      <c r="B1214" s="1">
        <f>IFERROR(__xludf.DUMMYFUNCTION("""COMPUTED_VALUE"""),1271.2)</f>
        <v>1271.2</v>
      </c>
    </row>
    <row r="1215">
      <c r="A1215" s="2">
        <f>IFERROR(__xludf.DUMMYFUNCTION("""COMPUTED_VALUE"""),37558.666666666664)</f>
        <v>37558.66667</v>
      </c>
      <c r="B1215" s="1">
        <f>IFERROR(__xludf.DUMMYFUNCTION("""COMPUTED_VALUE"""),1259.79)</f>
        <v>1259.79</v>
      </c>
    </row>
    <row r="1216">
      <c r="A1216" s="2">
        <f>IFERROR(__xludf.DUMMYFUNCTION("""COMPUTED_VALUE"""),37559.666666666664)</f>
        <v>37559.66667</v>
      </c>
      <c r="B1216" s="1">
        <f>IFERROR(__xludf.DUMMYFUNCTION("""COMPUTED_VALUE"""),1272.25)</f>
        <v>1272.25</v>
      </c>
    </row>
    <row r="1217">
      <c r="A1217" s="2">
        <f>IFERROR(__xludf.DUMMYFUNCTION("""COMPUTED_VALUE"""),37560.666666666664)</f>
        <v>37560.66667</v>
      </c>
      <c r="B1217" s="1">
        <f>IFERROR(__xludf.DUMMYFUNCTION("""COMPUTED_VALUE"""),1265.41)</f>
        <v>1265.41</v>
      </c>
    </row>
    <row r="1218">
      <c r="A1218" s="2">
        <f>IFERROR(__xludf.DUMMYFUNCTION("""COMPUTED_VALUE"""),37561.666666666664)</f>
        <v>37561.66667</v>
      </c>
      <c r="B1218" s="1">
        <f>IFERROR(__xludf.DUMMYFUNCTION("""COMPUTED_VALUE"""),1287.13)</f>
        <v>1287.13</v>
      </c>
    </row>
    <row r="1219">
      <c r="A1219" s="2">
        <f>IFERROR(__xludf.DUMMYFUNCTION("""COMPUTED_VALUE"""),37564.666666666664)</f>
        <v>37564.66667</v>
      </c>
      <c r="B1219" s="1">
        <f>IFERROR(__xludf.DUMMYFUNCTION("""COMPUTED_VALUE"""),1297.69)</f>
        <v>1297.69</v>
      </c>
    </row>
    <row r="1220">
      <c r="A1220" s="2">
        <f>IFERROR(__xludf.DUMMYFUNCTION("""COMPUTED_VALUE"""),37565.666666666664)</f>
        <v>37565.66667</v>
      </c>
      <c r="B1220" s="1">
        <f>IFERROR(__xludf.DUMMYFUNCTION("""COMPUTED_VALUE"""),1307.8)</f>
        <v>1307.8</v>
      </c>
    </row>
    <row r="1221">
      <c r="A1221" s="2">
        <f>IFERROR(__xludf.DUMMYFUNCTION("""COMPUTED_VALUE"""),37566.666666666664)</f>
        <v>37566.66667</v>
      </c>
      <c r="B1221" s="1">
        <f>IFERROR(__xludf.DUMMYFUNCTION("""COMPUTED_VALUE"""),1320.04)</f>
        <v>1320.04</v>
      </c>
    </row>
    <row r="1222">
      <c r="A1222" s="2">
        <f>IFERROR(__xludf.DUMMYFUNCTION("""COMPUTED_VALUE"""),37567.666666666664)</f>
        <v>37567.66667</v>
      </c>
      <c r="B1222" s="1">
        <f>IFERROR(__xludf.DUMMYFUNCTION("""COMPUTED_VALUE"""),1290.15)</f>
        <v>1290.15</v>
      </c>
    </row>
    <row r="1223">
      <c r="A1223" s="2">
        <f>IFERROR(__xludf.DUMMYFUNCTION("""COMPUTED_VALUE"""),37568.666666666664)</f>
        <v>37568.66667</v>
      </c>
      <c r="B1223" s="1">
        <f>IFERROR(__xludf.DUMMYFUNCTION("""COMPUTED_VALUE"""),1278.94)</f>
        <v>1278.94</v>
      </c>
    </row>
    <row r="1224">
      <c r="A1224" s="2">
        <f>IFERROR(__xludf.DUMMYFUNCTION("""COMPUTED_VALUE"""),37571.666666666664)</f>
        <v>37571.66667</v>
      </c>
      <c r="B1224" s="1">
        <f>IFERROR(__xludf.DUMMYFUNCTION("""COMPUTED_VALUE"""),1252.42)</f>
        <v>1252.42</v>
      </c>
    </row>
    <row r="1225">
      <c r="A1225" s="2">
        <f>IFERROR(__xludf.DUMMYFUNCTION("""COMPUTED_VALUE"""),37572.666666666664)</f>
        <v>37572.66667</v>
      </c>
      <c r="B1225" s="1">
        <f>IFERROR(__xludf.DUMMYFUNCTION("""COMPUTED_VALUE"""),1262.14)</f>
        <v>1262.14</v>
      </c>
    </row>
    <row r="1226">
      <c r="A1226" s="2">
        <f>IFERROR(__xludf.DUMMYFUNCTION("""COMPUTED_VALUE"""),37573.666666666664)</f>
        <v>37573.66667</v>
      </c>
      <c r="B1226" s="1">
        <f>IFERROR(__xludf.DUMMYFUNCTION("""COMPUTED_VALUE"""),1261.97)</f>
        <v>1261.97</v>
      </c>
    </row>
    <row r="1227">
      <c r="A1227" s="2">
        <f>IFERROR(__xludf.DUMMYFUNCTION("""COMPUTED_VALUE"""),37574.666666666664)</f>
        <v>37574.66667</v>
      </c>
      <c r="B1227" s="1">
        <f>IFERROR(__xludf.DUMMYFUNCTION("""COMPUTED_VALUE"""),1293.21)</f>
        <v>1293.21</v>
      </c>
    </row>
    <row r="1228">
      <c r="A1228" s="2">
        <f>IFERROR(__xludf.DUMMYFUNCTION("""COMPUTED_VALUE"""),37575.666666666664)</f>
        <v>37575.66667</v>
      </c>
      <c r="B1228" s="1">
        <f>IFERROR(__xludf.DUMMYFUNCTION("""COMPUTED_VALUE"""),1301.28)</f>
        <v>1301.28</v>
      </c>
    </row>
    <row r="1229">
      <c r="A1229" s="2">
        <f>IFERROR(__xludf.DUMMYFUNCTION("""COMPUTED_VALUE"""),37578.666666666664)</f>
        <v>37578.66667</v>
      </c>
      <c r="B1229" s="1">
        <f>IFERROR(__xludf.DUMMYFUNCTION("""COMPUTED_VALUE"""),1287.79)</f>
        <v>1287.79</v>
      </c>
    </row>
    <row r="1230">
      <c r="A1230" s="2">
        <f>IFERROR(__xludf.DUMMYFUNCTION("""COMPUTED_VALUE"""),37579.666666666664)</f>
        <v>37579.66667</v>
      </c>
      <c r="B1230" s="1">
        <f>IFERROR(__xludf.DUMMYFUNCTION("""COMPUTED_VALUE"""),1282.61)</f>
        <v>1282.61</v>
      </c>
    </row>
    <row r="1231">
      <c r="A1231" s="2">
        <f>IFERROR(__xludf.DUMMYFUNCTION("""COMPUTED_VALUE"""),37580.666666666664)</f>
        <v>37580.66667</v>
      </c>
      <c r="B1231" s="1">
        <f>IFERROR(__xludf.DUMMYFUNCTION("""COMPUTED_VALUE"""),1307.61)</f>
        <v>1307.61</v>
      </c>
    </row>
    <row r="1232">
      <c r="A1232" s="2">
        <f>IFERROR(__xludf.DUMMYFUNCTION("""COMPUTED_VALUE"""),37581.666666666664)</f>
        <v>37581.66667</v>
      </c>
      <c r="B1232" s="1">
        <f>IFERROR(__xludf.DUMMYFUNCTION("""COMPUTED_VALUE"""),1335.75)</f>
        <v>1335.75</v>
      </c>
    </row>
    <row r="1233">
      <c r="A1233" s="2">
        <f>IFERROR(__xludf.DUMMYFUNCTION("""COMPUTED_VALUE"""),37582.666666666664)</f>
        <v>37582.66667</v>
      </c>
      <c r="B1233" s="1">
        <f>IFERROR(__xludf.DUMMYFUNCTION("""COMPUTED_VALUE"""),1331.17)</f>
        <v>1331.17</v>
      </c>
    </row>
    <row r="1234">
      <c r="A1234" s="2">
        <f>IFERROR(__xludf.DUMMYFUNCTION("""COMPUTED_VALUE"""),37585.666666666664)</f>
        <v>37585.66667</v>
      </c>
      <c r="B1234" s="1">
        <f>IFERROR(__xludf.DUMMYFUNCTION("""COMPUTED_VALUE"""),1334.52)</f>
        <v>1334.52</v>
      </c>
    </row>
    <row r="1235">
      <c r="A1235" s="2">
        <f>IFERROR(__xludf.DUMMYFUNCTION("""COMPUTED_VALUE"""),37586.666666666664)</f>
        <v>37586.66667</v>
      </c>
      <c r="B1235" s="1">
        <f>IFERROR(__xludf.DUMMYFUNCTION("""COMPUTED_VALUE"""),1306.79)</f>
        <v>1306.79</v>
      </c>
    </row>
    <row r="1236">
      <c r="A1236" s="2">
        <f>IFERROR(__xludf.DUMMYFUNCTION("""COMPUTED_VALUE"""),37587.666666666664)</f>
        <v>37587.66667</v>
      </c>
      <c r="B1236" s="1">
        <f>IFERROR(__xludf.DUMMYFUNCTION("""COMPUTED_VALUE"""),1343.47)</f>
        <v>1343.47</v>
      </c>
    </row>
    <row r="1237">
      <c r="A1237" s="2">
        <f>IFERROR(__xludf.DUMMYFUNCTION("""COMPUTED_VALUE"""),37589.666666666664)</f>
        <v>37589.66667</v>
      </c>
      <c r="B1237" s="1">
        <f>IFERROR(__xludf.DUMMYFUNCTION("""COMPUTED_VALUE"""),1339.89)</f>
        <v>1339.89</v>
      </c>
    </row>
    <row r="1238">
      <c r="A1238" s="2">
        <f>IFERROR(__xludf.DUMMYFUNCTION("""COMPUTED_VALUE"""),37592.666666666664)</f>
        <v>37592.66667</v>
      </c>
      <c r="B1238" s="1">
        <f>IFERROR(__xludf.DUMMYFUNCTION("""COMPUTED_VALUE"""),1337.35)</f>
        <v>1337.35</v>
      </c>
    </row>
    <row r="1239">
      <c r="A1239" s="2">
        <f>IFERROR(__xludf.DUMMYFUNCTION("""COMPUTED_VALUE"""),37593.666666666664)</f>
        <v>37593.66667</v>
      </c>
      <c r="B1239" s="1">
        <f>IFERROR(__xludf.DUMMYFUNCTION("""COMPUTED_VALUE"""),1317.65)</f>
        <v>1317.65</v>
      </c>
    </row>
    <row r="1240">
      <c r="A1240" s="2">
        <f>IFERROR(__xludf.DUMMYFUNCTION("""COMPUTED_VALUE"""),37594.666666666664)</f>
        <v>37594.66667</v>
      </c>
      <c r="B1240" s="1">
        <f>IFERROR(__xludf.DUMMYFUNCTION("""COMPUTED_VALUE"""),1313.54)</f>
        <v>1313.54</v>
      </c>
    </row>
    <row r="1241">
      <c r="A1241" s="2">
        <f>IFERROR(__xludf.DUMMYFUNCTION("""COMPUTED_VALUE"""),37595.666666666664)</f>
        <v>37595.66667</v>
      </c>
      <c r="B1241" s="1">
        <f>IFERROR(__xludf.DUMMYFUNCTION("""COMPUTED_VALUE"""),1297.8)</f>
        <v>1297.8</v>
      </c>
    </row>
    <row r="1242">
      <c r="A1242" s="2">
        <f>IFERROR(__xludf.DUMMYFUNCTION("""COMPUTED_VALUE"""),37596.666666666664)</f>
        <v>37596.66667</v>
      </c>
      <c r="B1242" s="1">
        <f>IFERROR(__xludf.DUMMYFUNCTION("""COMPUTED_VALUE"""),1305.99)</f>
        <v>1305.99</v>
      </c>
    </row>
    <row r="1243">
      <c r="A1243" s="2">
        <f>IFERROR(__xludf.DUMMYFUNCTION("""COMPUTED_VALUE"""),37599.666666666664)</f>
        <v>37599.66667</v>
      </c>
      <c r="B1243" s="1">
        <f>IFERROR(__xludf.DUMMYFUNCTION("""COMPUTED_VALUE"""),1277.05)</f>
        <v>1277.05</v>
      </c>
    </row>
    <row r="1244">
      <c r="A1244" s="2">
        <f>IFERROR(__xludf.DUMMYFUNCTION("""COMPUTED_VALUE"""),37600.666666666664)</f>
        <v>37600.66667</v>
      </c>
      <c r="B1244" s="1">
        <f>IFERROR(__xludf.DUMMYFUNCTION("""COMPUTED_VALUE"""),1294.91)</f>
        <v>1294.91</v>
      </c>
    </row>
    <row r="1245">
      <c r="A1245" s="2">
        <f>IFERROR(__xludf.DUMMYFUNCTION("""COMPUTED_VALUE"""),37601.666666666664)</f>
        <v>37601.66667</v>
      </c>
      <c r="B1245" s="1">
        <f>IFERROR(__xludf.DUMMYFUNCTION("""COMPUTED_VALUE"""),1295.91)</f>
        <v>1295.91</v>
      </c>
    </row>
    <row r="1246">
      <c r="A1246" s="2">
        <f>IFERROR(__xludf.DUMMYFUNCTION("""COMPUTED_VALUE"""),37602.666666666664)</f>
        <v>37602.66667</v>
      </c>
      <c r="B1246" s="1">
        <f>IFERROR(__xludf.DUMMYFUNCTION("""COMPUTED_VALUE"""),1291.16)</f>
        <v>1291.16</v>
      </c>
    </row>
    <row r="1247">
      <c r="A1247" s="2">
        <f>IFERROR(__xludf.DUMMYFUNCTION("""COMPUTED_VALUE"""),37603.666666666664)</f>
        <v>37603.66667</v>
      </c>
      <c r="B1247" s="1">
        <f>IFERROR(__xludf.DUMMYFUNCTION("""COMPUTED_VALUE"""),1273.83)</f>
        <v>1273.83</v>
      </c>
    </row>
    <row r="1248">
      <c r="A1248" s="2">
        <f>IFERROR(__xludf.DUMMYFUNCTION("""COMPUTED_VALUE"""),37606.666666666664)</f>
        <v>37606.66667</v>
      </c>
      <c r="B1248" s="1">
        <f>IFERROR(__xludf.DUMMYFUNCTION("""COMPUTED_VALUE"""),1303.85)</f>
        <v>1303.85</v>
      </c>
    </row>
    <row r="1249">
      <c r="A1249" s="2">
        <f>IFERROR(__xludf.DUMMYFUNCTION("""COMPUTED_VALUE"""),37607.666666666664)</f>
        <v>37607.66667</v>
      </c>
      <c r="B1249" s="1">
        <f>IFERROR(__xludf.DUMMYFUNCTION("""COMPUTED_VALUE"""),1293.26)</f>
        <v>1293.26</v>
      </c>
    </row>
    <row r="1250">
      <c r="A1250" s="2">
        <f>IFERROR(__xludf.DUMMYFUNCTION("""COMPUTED_VALUE"""),37608.666666666664)</f>
        <v>37608.66667</v>
      </c>
      <c r="B1250" s="1">
        <f>IFERROR(__xludf.DUMMYFUNCTION("""COMPUTED_VALUE"""),1276.36)</f>
        <v>1276.36</v>
      </c>
    </row>
    <row r="1251">
      <c r="A1251" s="2">
        <f>IFERROR(__xludf.DUMMYFUNCTION("""COMPUTED_VALUE"""),37609.666666666664)</f>
        <v>37609.66667</v>
      </c>
      <c r="B1251" s="1">
        <f>IFERROR(__xludf.DUMMYFUNCTION("""COMPUTED_VALUE"""),1266.79)</f>
        <v>1266.79</v>
      </c>
    </row>
    <row r="1252">
      <c r="A1252" s="2">
        <f>IFERROR(__xludf.DUMMYFUNCTION("""COMPUTED_VALUE"""),37610.666666666664)</f>
        <v>37610.66667</v>
      </c>
      <c r="B1252" s="1">
        <f>IFERROR(__xludf.DUMMYFUNCTION("""COMPUTED_VALUE"""),1283.26)</f>
        <v>1283.26</v>
      </c>
    </row>
    <row r="1253">
      <c r="A1253" s="2">
        <f>IFERROR(__xludf.DUMMYFUNCTION("""COMPUTED_VALUE"""),37613.666666666664)</f>
        <v>37613.66667</v>
      </c>
      <c r="B1253" s="1">
        <f>IFERROR(__xludf.DUMMYFUNCTION("""COMPUTED_VALUE"""),1285.6)</f>
        <v>1285.6</v>
      </c>
    </row>
    <row r="1254">
      <c r="A1254" s="2">
        <f>IFERROR(__xludf.DUMMYFUNCTION("""COMPUTED_VALUE"""),37614.666666666664)</f>
        <v>37614.66667</v>
      </c>
      <c r="B1254" s="1">
        <f>IFERROR(__xludf.DUMMYFUNCTION("""COMPUTED_VALUE"""),1278.58)</f>
        <v>1278.58</v>
      </c>
    </row>
    <row r="1255">
      <c r="A1255" s="2">
        <f>IFERROR(__xludf.DUMMYFUNCTION("""COMPUTED_VALUE"""),37616.666666666664)</f>
        <v>37616.66667</v>
      </c>
      <c r="B1255" s="1">
        <f>IFERROR(__xludf.DUMMYFUNCTION("""COMPUTED_VALUE"""),1274.56)</f>
        <v>1274.56</v>
      </c>
    </row>
    <row r="1256">
      <c r="A1256" s="2">
        <f>IFERROR(__xludf.DUMMYFUNCTION("""COMPUTED_VALUE"""),37617.666666666664)</f>
        <v>37617.66667</v>
      </c>
      <c r="B1256" s="1">
        <f>IFERROR(__xludf.DUMMYFUNCTION("""COMPUTED_VALUE"""),1254.66)</f>
        <v>1254.66</v>
      </c>
    </row>
    <row r="1257">
      <c r="A1257" s="2">
        <f>IFERROR(__xludf.DUMMYFUNCTION("""COMPUTED_VALUE"""),37620.666666666664)</f>
        <v>37620.66667</v>
      </c>
      <c r="B1257" s="1">
        <f>IFERROR(__xludf.DUMMYFUNCTION("""COMPUTED_VALUE"""),1260.42)</f>
        <v>1260.42</v>
      </c>
    </row>
    <row r="1258">
      <c r="A1258" s="2">
        <f>IFERROR(__xludf.DUMMYFUNCTION("""COMPUTED_VALUE"""),37621.666666666664)</f>
        <v>37621.66667</v>
      </c>
      <c r="B1258" s="1">
        <f>IFERROR(__xludf.DUMMYFUNCTION("""COMPUTED_VALUE"""),1261.18)</f>
        <v>1261.18</v>
      </c>
    </row>
    <row r="1259">
      <c r="A1259" s="2">
        <f>IFERROR(__xludf.DUMMYFUNCTION("""COMPUTED_VALUE"""),37623.666666666664)</f>
        <v>37623.66667</v>
      </c>
      <c r="B1259" s="1">
        <f>IFERROR(__xludf.DUMMYFUNCTION("""COMPUTED_VALUE"""),1303.17)</f>
        <v>1303.17</v>
      </c>
    </row>
    <row r="1260">
      <c r="A1260" s="2">
        <f>IFERROR(__xludf.DUMMYFUNCTION("""COMPUTED_VALUE"""),37624.666666666664)</f>
        <v>37624.66667</v>
      </c>
      <c r="B1260" s="1">
        <f>IFERROR(__xludf.DUMMYFUNCTION("""COMPUTED_VALUE"""),1302.55)</f>
        <v>1302.55</v>
      </c>
    </row>
    <row r="1261">
      <c r="A1261" s="2">
        <f>IFERROR(__xludf.DUMMYFUNCTION("""COMPUTED_VALUE"""),37627.666666666664)</f>
        <v>37627.66667</v>
      </c>
      <c r="B1261" s="1">
        <f>IFERROR(__xludf.DUMMYFUNCTION("""COMPUTED_VALUE"""),1331.82)</f>
        <v>1331.82</v>
      </c>
    </row>
    <row r="1262">
      <c r="A1262" s="2">
        <f>IFERROR(__xludf.DUMMYFUNCTION("""COMPUTED_VALUE"""),37628.666666666664)</f>
        <v>37628.66667</v>
      </c>
      <c r="B1262" s="1">
        <f>IFERROR(__xludf.DUMMYFUNCTION("""COMPUTED_VALUE"""),1323.17)</f>
        <v>1323.17</v>
      </c>
    </row>
    <row r="1263">
      <c r="A1263" s="2">
        <f>IFERROR(__xludf.DUMMYFUNCTION("""COMPUTED_VALUE"""),37629.666666666664)</f>
        <v>37629.66667</v>
      </c>
      <c r="B1263" s="1">
        <f>IFERROR(__xludf.DUMMYFUNCTION("""COMPUTED_VALUE"""),1304.95)</f>
        <v>1304.95</v>
      </c>
    </row>
    <row r="1264">
      <c r="A1264" s="2">
        <f>IFERROR(__xludf.DUMMYFUNCTION("""COMPUTED_VALUE"""),37630.666666666664)</f>
        <v>37630.66667</v>
      </c>
      <c r="B1264" s="1">
        <f>IFERROR(__xludf.DUMMYFUNCTION("""COMPUTED_VALUE"""),1330.31)</f>
        <v>1330.31</v>
      </c>
    </row>
    <row r="1265">
      <c r="A1265" s="2">
        <f>IFERROR(__xludf.DUMMYFUNCTION("""COMPUTED_VALUE"""),37631.666666666664)</f>
        <v>37631.66667</v>
      </c>
      <c r="B1265" s="1">
        <f>IFERROR(__xludf.DUMMYFUNCTION("""COMPUTED_VALUE"""),1330.29)</f>
        <v>1330.29</v>
      </c>
    </row>
    <row r="1266">
      <c r="A1266" s="2">
        <f>IFERROR(__xludf.DUMMYFUNCTION("""COMPUTED_VALUE"""),37634.666666666664)</f>
        <v>37634.66667</v>
      </c>
      <c r="B1266" s="1">
        <f>IFERROR(__xludf.DUMMYFUNCTION("""COMPUTED_VALUE"""),1328.5)</f>
        <v>1328.5</v>
      </c>
    </row>
    <row r="1267">
      <c r="A1267" s="2">
        <f>IFERROR(__xludf.DUMMYFUNCTION("""COMPUTED_VALUE"""),37635.666666666664)</f>
        <v>37635.66667</v>
      </c>
      <c r="B1267" s="1">
        <f>IFERROR(__xludf.DUMMYFUNCTION("""COMPUTED_VALUE"""),1336.25)</f>
        <v>1336.25</v>
      </c>
    </row>
    <row r="1268">
      <c r="A1268" s="2">
        <f>IFERROR(__xludf.DUMMYFUNCTION("""COMPUTED_VALUE"""),37636.666666666664)</f>
        <v>37636.66667</v>
      </c>
      <c r="B1268" s="1">
        <f>IFERROR(__xludf.DUMMYFUNCTION("""COMPUTED_VALUE"""),1317.18)</f>
        <v>1317.18</v>
      </c>
    </row>
    <row r="1269">
      <c r="A1269" s="2">
        <f>IFERROR(__xludf.DUMMYFUNCTION("""COMPUTED_VALUE"""),37637.666666666664)</f>
        <v>37637.66667</v>
      </c>
      <c r="B1269" s="1">
        <f>IFERROR(__xludf.DUMMYFUNCTION("""COMPUTED_VALUE"""),1312.01)</f>
        <v>1312.01</v>
      </c>
    </row>
    <row r="1270">
      <c r="A1270" s="2">
        <f>IFERROR(__xludf.DUMMYFUNCTION("""COMPUTED_VALUE"""),37638.666666666664)</f>
        <v>37638.66667</v>
      </c>
      <c r="B1270" s="1">
        <f>IFERROR(__xludf.DUMMYFUNCTION("""COMPUTED_VALUE"""),1293.63)</f>
        <v>1293.63</v>
      </c>
    </row>
    <row r="1271">
      <c r="A1271" s="2">
        <f>IFERROR(__xludf.DUMMYFUNCTION("""COMPUTED_VALUE"""),37642.666666666664)</f>
        <v>37642.66667</v>
      </c>
      <c r="B1271" s="1">
        <f>IFERROR(__xludf.DUMMYFUNCTION("""COMPUTED_VALUE"""),1273.31)</f>
        <v>1273.31</v>
      </c>
    </row>
    <row r="1272">
      <c r="A1272" s="2">
        <f>IFERROR(__xludf.DUMMYFUNCTION("""COMPUTED_VALUE"""),37643.666666666664)</f>
        <v>37643.66667</v>
      </c>
      <c r="B1272" s="1">
        <f>IFERROR(__xludf.DUMMYFUNCTION("""COMPUTED_VALUE"""),1260.16)</f>
        <v>1260.16</v>
      </c>
    </row>
    <row r="1273">
      <c r="A1273" s="2">
        <f>IFERROR(__xludf.DUMMYFUNCTION("""COMPUTED_VALUE"""),37644.666666666664)</f>
        <v>37644.66667</v>
      </c>
      <c r="B1273" s="1">
        <f>IFERROR(__xludf.DUMMYFUNCTION("""COMPUTED_VALUE"""),1273.04)</f>
        <v>1273.04</v>
      </c>
    </row>
    <row r="1274">
      <c r="A1274" s="2">
        <f>IFERROR(__xludf.DUMMYFUNCTION("""COMPUTED_VALUE"""),37645.666666666664)</f>
        <v>37645.66667</v>
      </c>
      <c r="B1274" s="1">
        <f>IFERROR(__xludf.DUMMYFUNCTION("""COMPUTED_VALUE"""),1235.84)</f>
        <v>1235.84</v>
      </c>
    </row>
    <row r="1275">
      <c r="A1275" s="2">
        <f>IFERROR(__xludf.DUMMYFUNCTION("""COMPUTED_VALUE"""),37648.666666666664)</f>
        <v>37648.66667</v>
      </c>
      <c r="B1275" s="1">
        <f>IFERROR(__xludf.DUMMYFUNCTION("""COMPUTED_VALUE"""),1215.86)</f>
        <v>1215.86</v>
      </c>
    </row>
    <row r="1276">
      <c r="A1276" s="2">
        <f>IFERROR(__xludf.DUMMYFUNCTION("""COMPUTED_VALUE"""),37649.666666666664)</f>
        <v>37649.66667</v>
      </c>
      <c r="B1276" s="1">
        <f>IFERROR(__xludf.DUMMYFUNCTION("""COMPUTED_VALUE"""),1231.74)</f>
        <v>1231.74</v>
      </c>
    </row>
    <row r="1277">
      <c r="A1277" s="2">
        <f>IFERROR(__xludf.DUMMYFUNCTION("""COMPUTED_VALUE"""),37650.666666666664)</f>
        <v>37650.66667</v>
      </c>
      <c r="B1277" s="1">
        <f>IFERROR(__xludf.DUMMYFUNCTION("""COMPUTED_VALUE"""),1240.31)</f>
        <v>1240.31</v>
      </c>
    </row>
    <row r="1278">
      <c r="A1278" s="2">
        <f>IFERROR(__xludf.DUMMYFUNCTION("""COMPUTED_VALUE"""),37651.666666666664)</f>
        <v>37651.66667</v>
      </c>
      <c r="B1278" s="1">
        <f>IFERROR(__xludf.DUMMYFUNCTION("""COMPUTED_VALUE"""),1212.23)</f>
        <v>1212.23</v>
      </c>
    </row>
    <row r="1279">
      <c r="A1279" s="2">
        <f>IFERROR(__xludf.DUMMYFUNCTION("""COMPUTED_VALUE"""),37652.666666666664)</f>
        <v>37652.66667</v>
      </c>
      <c r="B1279" s="1">
        <f>IFERROR(__xludf.DUMMYFUNCTION("""COMPUTED_VALUE"""),1228.14)</f>
        <v>1228.14</v>
      </c>
    </row>
    <row r="1280">
      <c r="A1280" s="2">
        <f>IFERROR(__xludf.DUMMYFUNCTION("""COMPUTED_VALUE"""),37655.666666666664)</f>
        <v>37655.66667</v>
      </c>
      <c r="B1280" s="1">
        <f>IFERROR(__xludf.DUMMYFUNCTION("""COMPUTED_VALUE"""),1234.79)</f>
        <v>1234.79</v>
      </c>
    </row>
    <row r="1281">
      <c r="A1281" s="2">
        <f>IFERROR(__xludf.DUMMYFUNCTION("""COMPUTED_VALUE"""),37656.666666666664)</f>
        <v>37656.66667</v>
      </c>
      <c r="B1281" s="1">
        <f>IFERROR(__xludf.DUMMYFUNCTION("""COMPUTED_VALUE"""),1217.4)</f>
        <v>1217.4</v>
      </c>
    </row>
    <row r="1282">
      <c r="A1282" s="2">
        <f>IFERROR(__xludf.DUMMYFUNCTION("""COMPUTED_VALUE"""),37657.666666666664)</f>
        <v>37657.66667</v>
      </c>
      <c r="B1282" s="1">
        <f>IFERROR(__xludf.DUMMYFUNCTION("""COMPUTED_VALUE"""),1211.04)</f>
        <v>1211.04</v>
      </c>
    </row>
    <row r="1283">
      <c r="A1283" s="2">
        <f>IFERROR(__xludf.DUMMYFUNCTION("""COMPUTED_VALUE"""),37658.666666666664)</f>
        <v>37658.66667</v>
      </c>
      <c r="B1283" s="1">
        <f>IFERROR(__xludf.DUMMYFUNCTION("""COMPUTED_VALUE"""),1203.58)</f>
        <v>1203.58</v>
      </c>
    </row>
    <row r="1284">
      <c r="A1284" s="2">
        <f>IFERROR(__xludf.DUMMYFUNCTION("""COMPUTED_VALUE"""),37659.666666666664)</f>
        <v>37659.66667</v>
      </c>
      <c r="B1284" s="1">
        <f>IFERROR(__xludf.DUMMYFUNCTION("""COMPUTED_VALUE"""),1191.46)</f>
        <v>1191.46</v>
      </c>
    </row>
    <row r="1285">
      <c r="A1285" s="2">
        <f>IFERROR(__xludf.DUMMYFUNCTION("""COMPUTED_VALUE"""),37662.666666666664)</f>
        <v>37662.66667</v>
      </c>
      <c r="B1285" s="1">
        <f>IFERROR(__xludf.DUMMYFUNCTION("""COMPUTED_VALUE"""),1200.51)</f>
        <v>1200.51</v>
      </c>
    </row>
    <row r="1286">
      <c r="A1286" s="2">
        <f>IFERROR(__xludf.DUMMYFUNCTION("""COMPUTED_VALUE"""),37663.666666666664)</f>
        <v>37663.66667</v>
      </c>
      <c r="B1286" s="1">
        <f>IFERROR(__xludf.DUMMYFUNCTION("""COMPUTED_VALUE"""),1190.83)</f>
        <v>1190.83</v>
      </c>
    </row>
    <row r="1287">
      <c r="A1287" s="2">
        <f>IFERROR(__xludf.DUMMYFUNCTION("""COMPUTED_VALUE"""),37664.666666666664)</f>
        <v>37664.66667</v>
      </c>
      <c r="B1287" s="1">
        <f>IFERROR(__xludf.DUMMYFUNCTION("""COMPUTED_VALUE"""),1176.15)</f>
        <v>1176.15</v>
      </c>
    </row>
    <row r="1288">
      <c r="A1288" s="2">
        <f>IFERROR(__xludf.DUMMYFUNCTION("""COMPUTED_VALUE"""),37665.666666666664)</f>
        <v>37665.66667</v>
      </c>
      <c r="B1288" s="1">
        <f>IFERROR(__xludf.DUMMYFUNCTION("""COMPUTED_VALUE"""),1174.43)</f>
        <v>1174.43</v>
      </c>
    </row>
    <row r="1289">
      <c r="A1289" s="2">
        <f>IFERROR(__xludf.DUMMYFUNCTION("""COMPUTED_VALUE"""),37666.666666666664)</f>
        <v>37666.66667</v>
      </c>
      <c r="B1289" s="1">
        <f>IFERROR(__xludf.DUMMYFUNCTION("""COMPUTED_VALUE"""),1199.61)</f>
        <v>1199.61</v>
      </c>
    </row>
    <row r="1290">
      <c r="A1290" s="2">
        <f>IFERROR(__xludf.DUMMYFUNCTION("""COMPUTED_VALUE"""),37670.666666666664)</f>
        <v>37670.66667</v>
      </c>
      <c r="B1290" s="1">
        <f>IFERROR(__xludf.DUMMYFUNCTION("""COMPUTED_VALUE"""),1223.11)</f>
        <v>1223.11</v>
      </c>
    </row>
    <row r="1291">
      <c r="A1291" s="2">
        <f>IFERROR(__xludf.DUMMYFUNCTION("""COMPUTED_VALUE"""),37671.666666666664)</f>
        <v>37671.66667</v>
      </c>
      <c r="B1291" s="1">
        <f>IFERROR(__xludf.DUMMYFUNCTION("""COMPUTED_VALUE"""),1214.66)</f>
        <v>1214.66</v>
      </c>
    </row>
    <row r="1292">
      <c r="A1292" s="2">
        <f>IFERROR(__xludf.DUMMYFUNCTION("""COMPUTED_VALUE"""),37672.666666666664)</f>
        <v>37672.66667</v>
      </c>
      <c r="B1292" s="1">
        <f>IFERROR(__xludf.DUMMYFUNCTION("""COMPUTED_VALUE"""),1203.18)</f>
        <v>1203.18</v>
      </c>
    </row>
    <row r="1293">
      <c r="A1293" s="2">
        <f>IFERROR(__xludf.DUMMYFUNCTION("""COMPUTED_VALUE"""),37673.666666666664)</f>
        <v>37673.66667</v>
      </c>
      <c r="B1293" s="1">
        <f>IFERROR(__xludf.DUMMYFUNCTION("""COMPUTED_VALUE"""),1219.1)</f>
        <v>1219.1</v>
      </c>
    </row>
    <row r="1294">
      <c r="A1294" s="2">
        <f>IFERROR(__xludf.DUMMYFUNCTION("""COMPUTED_VALUE"""),37676.666666666664)</f>
        <v>37676.66667</v>
      </c>
      <c r="B1294" s="1">
        <f>IFERROR(__xludf.DUMMYFUNCTION("""COMPUTED_VALUE"""),1196.71)</f>
        <v>1196.71</v>
      </c>
    </row>
    <row r="1295">
      <c r="A1295" s="2">
        <f>IFERROR(__xludf.DUMMYFUNCTION("""COMPUTED_VALUE"""),37677.666666666664)</f>
        <v>37677.66667</v>
      </c>
      <c r="B1295" s="1">
        <f>IFERROR(__xludf.DUMMYFUNCTION("""COMPUTED_VALUE"""),1205.32)</f>
        <v>1205.32</v>
      </c>
    </row>
    <row r="1296">
      <c r="A1296" s="2">
        <f>IFERROR(__xludf.DUMMYFUNCTION("""COMPUTED_VALUE"""),37678.666666666664)</f>
        <v>37678.66667</v>
      </c>
      <c r="B1296" s="1">
        <f>IFERROR(__xludf.DUMMYFUNCTION("""COMPUTED_VALUE"""),1189.98)</f>
        <v>1189.98</v>
      </c>
    </row>
    <row r="1297">
      <c r="A1297" s="2">
        <f>IFERROR(__xludf.DUMMYFUNCTION("""COMPUTED_VALUE"""),37679.666666666664)</f>
        <v>37679.66667</v>
      </c>
      <c r="B1297" s="1">
        <f>IFERROR(__xludf.DUMMYFUNCTION("""COMPUTED_VALUE"""),1204.11)</f>
        <v>1204.11</v>
      </c>
    </row>
    <row r="1298">
      <c r="A1298" s="2">
        <f>IFERROR(__xludf.DUMMYFUNCTION("""COMPUTED_VALUE"""),37680.666666666664)</f>
        <v>37680.66667</v>
      </c>
      <c r="B1298" s="1">
        <f>IFERROR(__xludf.DUMMYFUNCTION("""COMPUTED_VALUE"""),1209.71)</f>
        <v>1209.71</v>
      </c>
    </row>
    <row r="1299">
      <c r="A1299" s="2">
        <f>IFERROR(__xludf.DUMMYFUNCTION("""COMPUTED_VALUE"""),37683.666666666664)</f>
        <v>37683.66667</v>
      </c>
      <c r="B1299" s="1">
        <f>IFERROR(__xludf.DUMMYFUNCTION("""COMPUTED_VALUE"""),1200.6)</f>
        <v>1200.6</v>
      </c>
    </row>
    <row r="1300">
      <c r="A1300" s="2">
        <f>IFERROR(__xludf.DUMMYFUNCTION("""COMPUTED_VALUE"""),37684.666666666664)</f>
        <v>37684.66667</v>
      </c>
      <c r="B1300" s="1">
        <f>IFERROR(__xludf.DUMMYFUNCTION("""COMPUTED_VALUE"""),1182.17)</f>
        <v>1182.17</v>
      </c>
    </row>
    <row r="1301">
      <c r="A1301" s="2">
        <f>IFERROR(__xludf.DUMMYFUNCTION("""COMPUTED_VALUE"""),37685.666666666664)</f>
        <v>37685.66667</v>
      </c>
      <c r="B1301" s="1">
        <f>IFERROR(__xludf.DUMMYFUNCTION("""COMPUTED_VALUE"""),1193.87)</f>
        <v>1193.87</v>
      </c>
    </row>
    <row r="1302">
      <c r="A1302" s="2">
        <f>IFERROR(__xludf.DUMMYFUNCTION("""COMPUTED_VALUE"""),37686.666666666664)</f>
        <v>37686.66667</v>
      </c>
      <c r="B1302" s="1">
        <f>IFERROR(__xludf.DUMMYFUNCTION("""COMPUTED_VALUE"""),1182.82)</f>
        <v>1182.82</v>
      </c>
    </row>
    <row r="1303">
      <c r="A1303" s="2">
        <f>IFERROR(__xludf.DUMMYFUNCTION("""COMPUTED_VALUE"""),37687.666666666664)</f>
        <v>37687.66667</v>
      </c>
      <c r="B1303" s="1">
        <f>IFERROR(__xludf.DUMMYFUNCTION("""COMPUTED_VALUE"""),1192.62)</f>
        <v>1192.62</v>
      </c>
    </row>
    <row r="1304">
      <c r="A1304" s="2">
        <f>IFERROR(__xludf.DUMMYFUNCTION("""COMPUTED_VALUE"""),37690.666666666664)</f>
        <v>37690.66667</v>
      </c>
      <c r="B1304" s="1">
        <f>IFERROR(__xludf.DUMMYFUNCTION("""COMPUTED_VALUE"""),1161.85)</f>
        <v>1161.85</v>
      </c>
    </row>
    <row r="1305">
      <c r="A1305" s="2">
        <f>IFERROR(__xludf.DUMMYFUNCTION("""COMPUTED_VALUE"""),37691.666666666664)</f>
        <v>37691.66667</v>
      </c>
      <c r="B1305" s="1">
        <f>IFERROR(__xludf.DUMMYFUNCTION("""COMPUTED_VALUE"""),1152.15)</f>
        <v>1152.15</v>
      </c>
    </row>
    <row r="1306">
      <c r="A1306" s="2">
        <f>IFERROR(__xludf.DUMMYFUNCTION("""COMPUTED_VALUE"""),37692.666666666664)</f>
        <v>37692.66667</v>
      </c>
      <c r="B1306" s="1">
        <f>IFERROR(__xludf.DUMMYFUNCTION("""COMPUTED_VALUE"""),1157.61)</f>
        <v>1157.61</v>
      </c>
    </row>
    <row r="1307">
      <c r="A1307" s="2">
        <f>IFERROR(__xludf.DUMMYFUNCTION("""COMPUTED_VALUE"""),37693.666666666664)</f>
        <v>37693.66667</v>
      </c>
      <c r="B1307" s="1">
        <f>IFERROR(__xludf.DUMMYFUNCTION("""COMPUTED_VALUE"""),1197.56)</f>
        <v>1197.56</v>
      </c>
    </row>
    <row r="1308">
      <c r="A1308" s="2">
        <f>IFERROR(__xludf.DUMMYFUNCTION("""COMPUTED_VALUE"""),37694.666666666664)</f>
        <v>37694.66667</v>
      </c>
      <c r="B1308" s="1">
        <f>IFERROR(__xludf.DUMMYFUNCTION("""COMPUTED_VALUE"""),1199.55)</f>
        <v>1199.55</v>
      </c>
    </row>
    <row r="1309">
      <c r="A1309" s="2">
        <f>IFERROR(__xludf.DUMMYFUNCTION("""COMPUTED_VALUE"""),37697.666666666664)</f>
        <v>37697.66667</v>
      </c>
      <c r="B1309" s="1">
        <f>IFERROR(__xludf.DUMMYFUNCTION("""COMPUTED_VALUE"""),1242.09)</f>
        <v>1242.09</v>
      </c>
    </row>
    <row r="1310">
      <c r="A1310" s="2">
        <f>IFERROR(__xludf.DUMMYFUNCTION("""COMPUTED_VALUE"""),37698.666666666664)</f>
        <v>37698.66667</v>
      </c>
      <c r="B1310" s="1">
        <f>IFERROR(__xludf.DUMMYFUNCTION("""COMPUTED_VALUE"""),1247.4)</f>
        <v>1247.4</v>
      </c>
    </row>
    <row r="1311">
      <c r="A1311" s="2">
        <f>IFERROR(__xludf.DUMMYFUNCTION("""COMPUTED_VALUE"""),37699.666666666664)</f>
        <v>37699.66667</v>
      </c>
      <c r="B1311" s="1">
        <f>IFERROR(__xludf.DUMMYFUNCTION("""COMPUTED_VALUE"""),1258.37)</f>
        <v>1258.37</v>
      </c>
    </row>
    <row r="1312">
      <c r="A1312" s="2">
        <f>IFERROR(__xludf.DUMMYFUNCTION("""COMPUTED_VALUE"""),37700.666666666664)</f>
        <v>37700.66667</v>
      </c>
      <c r="B1312" s="1">
        <f>IFERROR(__xludf.DUMMYFUNCTION("""COMPUTED_VALUE"""),1260.77)</f>
        <v>1260.77</v>
      </c>
    </row>
    <row r="1313">
      <c r="A1313" s="2">
        <f>IFERROR(__xludf.DUMMYFUNCTION("""COMPUTED_VALUE"""),37701.666666666664)</f>
        <v>37701.66667</v>
      </c>
      <c r="B1313" s="1">
        <f>IFERROR(__xludf.DUMMYFUNCTION("""COMPUTED_VALUE"""),1289.74)</f>
        <v>1289.74</v>
      </c>
    </row>
    <row r="1314">
      <c r="A1314" s="2">
        <f>IFERROR(__xludf.DUMMYFUNCTION("""COMPUTED_VALUE"""),37704.666666666664)</f>
        <v>37704.66667</v>
      </c>
      <c r="B1314" s="1">
        <f>IFERROR(__xludf.DUMMYFUNCTION("""COMPUTED_VALUE"""),1244.31)</f>
        <v>1244.31</v>
      </c>
    </row>
    <row r="1315">
      <c r="A1315" s="2">
        <f>IFERROR(__xludf.DUMMYFUNCTION("""COMPUTED_VALUE"""),37705.666666666664)</f>
        <v>37705.66667</v>
      </c>
      <c r="B1315" s="1">
        <f>IFERROR(__xludf.DUMMYFUNCTION("""COMPUTED_VALUE"""),1259.44)</f>
        <v>1259.44</v>
      </c>
    </row>
    <row r="1316">
      <c r="A1316" s="2">
        <f>IFERROR(__xludf.DUMMYFUNCTION("""COMPUTED_VALUE"""),37706.666666666664)</f>
        <v>37706.66667</v>
      </c>
      <c r="B1316" s="1">
        <f>IFERROR(__xludf.DUMMYFUNCTION("""COMPUTED_VALUE"""),1252.59)</f>
        <v>1252.59</v>
      </c>
    </row>
    <row r="1317">
      <c r="A1317" s="2">
        <f>IFERROR(__xludf.DUMMYFUNCTION("""COMPUTED_VALUE"""),37707.666666666664)</f>
        <v>37707.66667</v>
      </c>
      <c r="B1317" s="1">
        <f>IFERROR(__xludf.DUMMYFUNCTION("""COMPUTED_VALUE"""),1250.71)</f>
        <v>1250.71</v>
      </c>
    </row>
    <row r="1318">
      <c r="A1318" s="2">
        <f>IFERROR(__xludf.DUMMYFUNCTION("""COMPUTED_VALUE"""),37708.666666666664)</f>
        <v>37708.66667</v>
      </c>
      <c r="B1318" s="1">
        <f>IFERROR(__xludf.DUMMYFUNCTION("""COMPUTED_VALUE"""),1243.51)</f>
        <v>1243.51</v>
      </c>
    </row>
    <row r="1319">
      <c r="A1319" s="2">
        <f>IFERROR(__xludf.DUMMYFUNCTION("""COMPUTED_VALUE"""),37711.666666666664)</f>
        <v>37711.66667</v>
      </c>
      <c r="B1319" s="1">
        <f>IFERROR(__xludf.DUMMYFUNCTION("""COMPUTED_VALUE"""),1221.46)</f>
        <v>1221.46</v>
      </c>
    </row>
    <row r="1320">
      <c r="A1320" s="2">
        <f>IFERROR(__xludf.DUMMYFUNCTION("""COMPUTED_VALUE"""),37712.666666666664)</f>
        <v>37712.66667</v>
      </c>
      <c r="B1320" s="1">
        <f>IFERROR(__xludf.DUMMYFUNCTION("""COMPUTED_VALUE"""),1236.3)</f>
        <v>1236.3</v>
      </c>
    </row>
    <row r="1321">
      <c r="A1321" s="2">
        <f>IFERROR(__xludf.DUMMYFUNCTION("""COMPUTED_VALUE"""),37713.666666666664)</f>
        <v>37713.66667</v>
      </c>
      <c r="B1321" s="1">
        <f>IFERROR(__xludf.DUMMYFUNCTION("""COMPUTED_VALUE"""),1268.82)</f>
        <v>1268.82</v>
      </c>
    </row>
    <row r="1322">
      <c r="A1322" s="2">
        <f>IFERROR(__xludf.DUMMYFUNCTION("""COMPUTED_VALUE"""),37714.666666666664)</f>
        <v>37714.66667</v>
      </c>
      <c r="B1322" s="1">
        <f>IFERROR(__xludf.DUMMYFUNCTION("""COMPUTED_VALUE"""),1262.43)</f>
        <v>1262.43</v>
      </c>
    </row>
    <row r="1323">
      <c r="A1323" s="2">
        <f>IFERROR(__xludf.DUMMYFUNCTION("""COMPUTED_VALUE"""),37715.666666666664)</f>
        <v>37715.66667</v>
      </c>
      <c r="B1323" s="1">
        <f>IFERROR(__xludf.DUMMYFUNCTION("""COMPUTED_VALUE"""),1265.9)</f>
        <v>1265.9</v>
      </c>
    </row>
    <row r="1324">
      <c r="A1324" s="2">
        <f>IFERROR(__xludf.DUMMYFUNCTION("""COMPUTED_VALUE"""),37718.666666666664)</f>
        <v>37718.66667</v>
      </c>
      <c r="B1324" s="1">
        <f>IFERROR(__xludf.DUMMYFUNCTION("""COMPUTED_VALUE"""),1267.49)</f>
        <v>1267.49</v>
      </c>
    </row>
    <row r="1325">
      <c r="A1325" s="2">
        <f>IFERROR(__xludf.DUMMYFUNCTION("""COMPUTED_VALUE"""),37719.666666666664)</f>
        <v>37719.66667</v>
      </c>
      <c r="B1325" s="1">
        <f>IFERROR(__xludf.DUMMYFUNCTION("""COMPUTED_VALUE"""),1265.57)</f>
        <v>1265.57</v>
      </c>
    </row>
    <row r="1326">
      <c r="A1326" s="2">
        <f>IFERROR(__xludf.DUMMYFUNCTION("""COMPUTED_VALUE"""),37720.666666666664)</f>
        <v>37720.66667</v>
      </c>
      <c r="B1326" s="1">
        <f>IFERROR(__xludf.DUMMYFUNCTION("""COMPUTED_VALUE"""),1247.99)</f>
        <v>1247.99</v>
      </c>
    </row>
    <row r="1327">
      <c r="A1327" s="2">
        <f>IFERROR(__xludf.DUMMYFUNCTION("""COMPUTED_VALUE"""),37721.666666666664)</f>
        <v>37721.66667</v>
      </c>
      <c r="B1327" s="1">
        <f>IFERROR(__xludf.DUMMYFUNCTION("""COMPUTED_VALUE"""),1256.04)</f>
        <v>1256.04</v>
      </c>
    </row>
    <row r="1328">
      <c r="A1328" s="2">
        <f>IFERROR(__xludf.DUMMYFUNCTION("""COMPUTED_VALUE"""),37722.666666666664)</f>
        <v>37722.66667</v>
      </c>
      <c r="B1328" s="1">
        <f>IFERROR(__xludf.DUMMYFUNCTION("""COMPUTED_VALUE"""),1251.41)</f>
        <v>1251.41</v>
      </c>
    </row>
    <row r="1329">
      <c r="A1329" s="2">
        <f>IFERROR(__xludf.DUMMYFUNCTION("""COMPUTED_VALUE"""),37725.666666666664)</f>
        <v>37725.66667</v>
      </c>
      <c r="B1329" s="1">
        <f>IFERROR(__xludf.DUMMYFUNCTION("""COMPUTED_VALUE"""),1275.82)</f>
        <v>1275.82</v>
      </c>
    </row>
    <row r="1330">
      <c r="A1330" s="2">
        <f>IFERROR(__xludf.DUMMYFUNCTION("""COMPUTED_VALUE"""),37726.666666666664)</f>
        <v>37726.66667</v>
      </c>
      <c r="B1330" s="1">
        <f>IFERROR(__xludf.DUMMYFUNCTION("""COMPUTED_VALUE"""),1283.96)</f>
        <v>1283.96</v>
      </c>
    </row>
    <row r="1331">
      <c r="A1331" s="2">
        <f>IFERROR(__xludf.DUMMYFUNCTION("""COMPUTED_VALUE"""),37727.666666666664)</f>
        <v>37727.66667</v>
      </c>
      <c r="B1331" s="1">
        <f>IFERROR(__xludf.DUMMYFUNCTION("""COMPUTED_VALUE"""),1268.28)</f>
        <v>1268.28</v>
      </c>
    </row>
    <row r="1332">
      <c r="A1332" s="2">
        <f>IFERROR(__xludf.DUMMYFUNCTION("""COMPUTED_VALUE"""),37728.666666666664)</f>
        <v>37728.66667</v>
      </c>
      <c r="B1332" s="1">
        <f>IFERROR(__xludf.DUMMYFUNCTION("""COMPUTED_VALUE"""),1287.99)</f>
        <v>1287.99</v>
      </c>
    </row>
    <row r="1333">
      <c r="A1333" s="2">
        <f>IFERROR(__xludf.DUMMYFUNCTION("""COMPUTED_VALUE"""),37732.666666666664)</f>
        <v>37732.66667</v>
      </c>
      <c r="B1333" s="1">
        <f>IFERROR(__xludf.DUMMYFUNCTION("""COMPUTED_VALUE"""),1285.72)</f>
        <v>1285.72</v>
      </c>
    </row>
    <row r="1334">
      <c r="A1334" s="2">
        <f>IFERROR(__xludf.DUMMYFUNCTION("""COMPUTED_VALUE"""),37733.666666666664)</f>
        <v>37733.66667</v>
      </c>
      <c r="B1334" s="1">
        <f>IFERROR(__xludf.DUMMYFUNCTION("""COMPUTED_VALUE"""),1313.63)</f>
        <v>1313.63</v>
      </c>
    </row>
    <row r="1335">
      <c r="A1335" s="2">
        <f>IFERROR(__xludf.DUMMYFUNCTION("""COMPUTED_VALUE"""),37734.666666666664)</f>
        <v>37734.66667</v>
      </c>
      <c r="B1335" s="1">
        <f>IFERROR(__xludf.DUMMYFUNCTION("""COMPUTED_VALUE"""),1324.68)</f>
        <v>1324.68</v>
      </c>
    </row>
    <row r="1336">
      <c r="A1336" s="2">
        <f>IFERROR(__xludf.DUMMYFUNCTION("""COMPUTED_VALUE"""),37735.666666666664)</f>
        <v>37735.66667</v>
      </c>
      <c r="B1336" s="1">
        <f>IFERROR(__xludf.DUMMYFUNCTION("""COMPUTED_VALUE"""),1313.75)</f>
        <v>1313.75</v>
      </c>
    </row>
    <row r="1337">
      <c r="A1337" s="2">
        <f>IFERROR(__xludf.DUMMYFUNCTION("""COMPUTED_VALUE"""),37736.666666666664)</f>
        <v>37736.66667</v>
      </c>
      <c r="B1337" s="1">
        <f>IFERROR(__xludf.DUMMYFUNCTION("""COMPUTED_VALUE"""),1295.57)</f>
        <v>1295.57</v>
      </c>
    </row>
    <row r="1338">
      <c r="A1338" s="2">
        <f>IFERROR(__xludf.DUMMYFUNCTION("""COMPUTED_VALUE"""),37739.666666666664)</f>
        <v>37739.66667</v>
      </c>
      <c r="B1338" s="1">
        <f>IFERROR(__xludf.DUMMYFUNCTION("""COMPUTED_VALUE"""),1318.85)</f>
        <v>1318.85</v>
      </c>
    </row>
    <row r="1339">
      <c r="A1339" s="2">
        <f>IFERROR(__xludf.DUMMYFUNCTION("""COMPUTED_VALUE"""),37740.666666666664)</f>
        <v>37740.66667</v>
      </c>
      <c r="B1339" s="1">
        <f>IFERROR(__xludf.DUMMYFUNCTION("""COMPUTED_VALUE"""),1323.26)</f>
        <v>1323.26</v>
      </c>
    </row>
    <row r="1340">
      <c r="A1340" s="2">
        <f>IFERROR(__xludf.DUMMYFUNCTION("""COMPUTED_VALUE"""),37741.666666666664)</f>
        <v>37741.66667</v>
      </c>
      <c r="B1340" s="1">
        <f>IFERROR(__xludf.DUMMYFUNCTION("""COMPUTED_VALUE"""),1322.07)</f>
        <v>1322.07</v>
      </c>
    </row>
    <row r="1341">
      <c r="A1341" s="2">
        <f>IFERROR(__xludf.DUMMYFUNCTION("""COMPUTED_VALUE"""),37742.666666666664)</f>
        <v>37742.66667</v>
      </c>
      <c r="B1341" s="1">
        <f>IFERROR(__xludf.DUMMYFUNCTION("""COMPUTED_VALUE"""),1321.39)</f>
        <v>1321.39</v>
      </c>
    </row>
    <row r="1342">
      <c r="A1342" s="2">
        <f>IFERROR(__xludf.DUMMYFUNCTION("""COMPUTED_VALUE"""),37743.666666666664)</f>
        <v>37743.66667</v>
      </c>
      <c r="B1342" s="1">
        <f>IFERROR(__xludf.DUMMYFUNCTION("""COMPUTED_VALUE"""),1341.28)</f>
        <v>1341.28</v>
      </c>
    </row>
    <row r="1343">
      <c r="A1343" s="2">
        <f>IFERROR(__xludf.DUMMYFUNCTION("""COMPUTED_VALUE"""),37746.666666666664)</f>
        <v>37746.66667</v>
      </c>
      <c r="B1343" s="1">
        <f>IFERROR(__xludf.DUMMYFUNCTION("""COMPUTED_VALUE"""),1336.24)</f>
        <v>1336.24</v>
      </c>
    </row>
    <row r="1344">
      <c r="A1344" s="2">
        <f>IFERROR(__xludf.DUMMYFUNCTION("""COMPUTED_VALUE"""),37747.666666666664)</f>
        <v>37747.66667</v>
      </c>
      <c r="B1344" s="1">
        <f>IFERROR(__xludf.DUMMYFUNCTION("""COMPUTED_VALUE"""),1347.54)</f>
        <v>1347.54</v>
      </c>
    </row>
    <row r="1345">
      <c r="A1345" s="2">
        <f>IFERROR(__xludf.DUMMYFUNCTION("""COMPUTED_VALUE"""),37748.666666666664)</f>
        <v>37748.66667</v>
      </c>
      <c r="B1345" s="1">
        <f>IFERROR(__xludf.DUMMYFUNCTION("""COMPUTED_VALUE"""),1340.87)</f>
        <v>1340.87</v>
      </c>
    </row>
    <row r="1346">
      <c r="A1346" s="2">
        <f>IFERROR(__xludf.DUMMYFUNCTION("""COMPUTED_VALUE"""),37749.666666666664)</f>
        <v>37749.66667</v>
      </c>
      <c r="B1346" s="1">
        <f>IFERROR(__xludf.DUMMYFUNCTION("""COMPUTED_VALUE"""),1327.42)</f>
        <v>1327.42</v>
      </c>
    </row>
    <row r="1347">
      <c r="A1347" s="2">
        <f>IFERROR(__xludf.DUMMYFUNCTION("""COMPUTED_VALUE"""),37750.666666666664)</f>
        <v>37750.66667</v>
      </c>
      <c r="B1347" s="1">
        <f>IFERROR(__xludf.DUMMYFUNCTION("""COMPUTED_VALUE"""),1346.68)</f>
        <v>1346.68</v>
      </c>
    </row>
    <row r="1348">
      <c r="A1348" s="2">
        <f>IFERROR(__xludf.DUMMYFUNCTION("""COMPUTED_VALUE"""),37753.666666666664)</f>
        <v>37753.66667</v>
      </c>
      <c r="B1348" s="1">
        <f>IFERROR(__xludf.DUMMYFUNCTION("""COMPUTED_VALUE"""),1363.61)</f>
        <v>1363.61</v>
      </c>
    </row>
    <row r="1349">
      <c r="A1349" s="2">
        <f>IFERROR(__xludf.DUMMYFUNCTION("""COMPUTED_VALUE"""),37754.666666666664)</f>
        <v>37754.66667</v>
      </c>
      <c r="B1349" s="1">
        <f>IFERROR(__xludf.DUMMYFUNCTION("""COMPUTED_VALUE"""),1359.74)</f>
        <v>1359.74</v>
      </c>
    </row>
    <row r="1350">
      <c r="A1350" s="2">
        <f>IFERROR(__xludf.DUMMYFUNCTION("""COMPUTED_VALUE"""),37755.666666666664)</f>
        <v>37755.66667</v>
      </c>
      <c r="B1350" s="1">
        <f>IFERROR(__xludf.DUMMYFUNCTION("""COMPUTED_VALUE"""),1355.76)</f>
        <v>1355.76</v>
      </c>
    </row>
    <row r="1351">
      <c r="A1351" s="2">
        <f>IFERROR(__xludf.DUMMYFUNCTION("""COMPUTED_VALUE"""),37756.666666666664)</f>
        <v>37756.66667</v>
      </c>
      <c r="B1351" s="1">
        <f>IFERROR(__xludf.DUMMYFUNCTION("""COMPUTED_VALUE"""),1366.59)</f>
        <v>1366.59</v>
      </c>
    </row>
    <row r="1352">
      <c r="A1352" s="2">
        <f>IFERROR(__xludf.DUMMYFUNCTION("""COMPUTED_VALUE"""),37757.666666666664)</f>
        <v>37757.66667</v>
      </c>
      <c r="B1352" s="1">
        <f>IFERROR(__xludf.DUMMYFUNCTION("""COMPUTED_VALUE"""),1363.32)</f>
        <v>1363.32</v>
      </c>
    </row>
    <row r="1353">
      <c r="A1353" s="2">
        <f>IFERROR(__xludf.DUMMYFUNCTION("""COMPUTED_VALUE"""),37760.666666666664)</f>
        <v>37760.66667</v>
      </c>
      <c r="B1353" s="1">
        <f>IFERROR(__xludf.DUMMYFUNCTION("""COMPUTED_VALUE"""),1329.38)</f>
        <v>1329.38</v>
      </c>
    </row>
    <row r="1354">
      <c r="A1354" s="2">
        <f>IFERROR(__xludf.DUMMYFUNCTION("""COMPUTED_VALUE"""),37761.666666666664)</f>
        <v>37761.66667</v>
      </c>
      <c r="B1354" s="1">
        <f>IFERROR(__xludf.DUMMYFUNCTION("""COMPUTED_VALUE"""),1327.87)</f>
        <v>1327.87</v>
      </c>
    </row>
    <row r="1355">
      <c r="A1355" s="2">
        <f>IFERROR(__xludf.DUMMYFUNCTION("""COMPUTED_VALUE"""),37762.666666666664)</f>
        <v>37762.66667</v>
      </c>
      <c r="B1355" s="1">
        <f>IFERROR(__xludf.DUMMYFUNCTION("""COMPUTED_VALUE"""),1333.33)</f>
        <v>1333.33</v>
      </c>
    </row>
    <row r="1356">
      <c r="A1356" s="2">
        <f>IFERROR(__xludf.DUMMYFUNCTION("""COMPUTED_VALUE"""),37763.666666666664)</f>
        <v>37763.66667</v>
      </c>
      <c r="B1356" s="1">
        <f>IFERROR(__xludf.DUMMYFUNCTION("""COMPUTED_VALUE"""),1345.53)</f>
        <v>1345.53</v>
      </c>
    </row>
    <row r="1357">
      <c r="A1357" s="2">
        <f>IFERROR(__xludf.DUMMYFUNCTION("""COMPUTED_VALUE"""),37764.666666666664)</f>
        <v>37764.66667</v>
      </c>
      <c r="B1357" s="1">
        <f>IFERROR(__xludf.DUMMYFUNCTION("""COMPUTED_VALUE"""),1347.49)</f>
        <v>1347.49</v>
      </c>
    </row>
    <row r="1358">
      <c r="A1358" s="2">
        <f>IFERROR(__xludf.DUMMYFUNCTION("""COMPUTED_VALUE"""),37768.666666666664)</f>
        <v>37768.66667</v>
      </c>
      <c r="B1358" s="1">
        <f>IFERROR(__xludf.DUMMYFUNCTION("""COMPUTED_VALUE"""),1373.86)</f>
        <v>1373.86</v>
      </c>
    </row>
    <row r="1359">
      <c r="A1359" s="2">
        <f>IFERROR(__xludf.DUMMYFUNCTION("""COMPUTED_VALUE"""),37769.666666666664)</f>
        <v>37769.66667</v>
      </c>
      <c r="B1359" s="1">
        <f>IFERROR(__xludf.DUMMYFUNCTION("""COMPUTED_VALUE"""),1376.58)</f>
        <v>1376.58</v>
      </c>
    </row>
    <row r="1360">
      <c r="A1360" s="2">
        <f>IFERROR(__xludf.DUMMYFUNCTION("""COMPUTED_VALUE"""),37770.666666666664)</f>
        <v>37770.66667</v>
      </c>
      <c r="B1360" s="1">
        <f>IFERROR(__xludf.DUMMYFUNCTION("""COMPUTED_VALUE"""),1371.51)</f>
        <v>1371.51</v>
      </c>
    </row>
    <row r="1361">
      <c r="A1361" s="2">
        <f>IFERROR(__xludf.DUMMYFUNCTION("""COMPUTED_VALUE"""),37771.666666666664)</f>
        <v>37771.66667</v>
      </c>
      <c r="B1361" s="1">
        <f>IFERROR(__xludf.DUMMYFUNCTION("""COMPUTED_VALUE"""),1391.72)</f>
        <v>1391.72</v>
      </c>
    </row>
    <row r="1362">
      <c r="A1362" s="2">
        <f>IFERROR(__xludf.DUMMYFUNCTION("""COMPUTED_VALUE"""),37774.666666666664)</f>
        <v>37774.66667</v>
      </c>
      <c r="B1362" s="1">
        <f>IFERROR(__xludf.DUMMYFUNCTION("""COMPUTED_VALUE"""),1396.7)</f>
        <v>1396.7</v>
      </c>
    </row>
    <row r="1363">
      <c r="A1363" s="2">
        <f>IFERROR(__xludf.DUMMYFUNCTION("""COMPUTED_VALUE"""),37775.666666666664)</f>
        <v>37775.66667</v>
      </c>
      <c r="B1363" s="1">
        <f>IFERROR(__xludf.DUMMYFUNCTION("""COMPUTED_VALUE"""),1403.29)</f>
        <v>1403.29</v>
      </c>
    </row>
    <row r="1364">
      <c r="A1364" s="2">
        <f>IFERROR(__xludf.DUMMYFUNCTION("""COMPUTED_VALUE"""),37776.666666666664)</f>
        <v>37776.66667</v>
      </c>
      <c r="B1364" s="1">
        <f>IFERROR(__xludf.DUMMYFUNCTION("""COMPUTED_VALUE"""),1424.91)</f>
        <v>1424.91</v>
      </c>
    </row>
    <row r="1365">
      <c r="A1365" s="2">
        <f>IFERROR(__xludf.DUMMYFUNCTION("""COMPUTED_VALUE"""),37777.666666666664)</f>
        <v>37777.66667</v>
      </c>
      <c r="B1365" s="1">
        <f>IFERROR(__xludf.DUMMYFUNCTION("""COMPUTED_VALUE"""),1430.64)</f>
        <v>1430.64</v>
      </c>
    </row>
    <row r="1366">
      <c r="A1366" s="2">
        <f>IFERROR(__xludf.DUMMYFUNCTION("""COMPUTED_VALUE"""),37778.666666666664)</f>
        <v>37778.66667</v>
      </c>
      <c r="B1366" s="1">
        <f>IFERROR(__xludf.DUMMYFUNCTION("""COMPUTED_VALUE"""),1427.28)</f>
        <v>1427.28</v>
      </c>
    </row>
    <row r="1367">
      <c r="A1367" s="2">
        <f>IFERROR(__xludf.DUMMYFUNCTION("""COMPUTED_VALUE"""),37781.666666666664)</f>
        <v>37781.66667</v>
      </c>
      <c r="B1367" s="1">
        <f>IFERROR(__xludf.DUMMYFUNCTION("""COMPUTED_VALUE"""),1410.21)</f>
        <v>1410.21</v>
      </c>
    </row>
    <row r="1368">
      <c r="A1368" s="2">
        <f>IFERROR(__xludf.DUMMYFUNCTION("""COMPUTED_VALUE"""),37782.666666666664)</f>
        <v>37782.66667</v>
      </c>
      <c r="B1368" s="1">
        <f>IFERROR(__xludf.DUMMYFUNCTION("""COMPUTED_VALUE"""),1423.11)</f>
        <v>1423.11</v>
      </c>
    </row>
    <row r="1369">
      <c r="A1369" s="2">
        <f>IFERROR(__xludf.DUMMYFUNCTION("""COMPUTED_VALUE"""),37783.666666666664)</f>
        <v>37783.66667</v>
      </c>
      <c r="B1369" s="1">
        <f>IFERROR(__xludf.DUMMYFUNCTION("""COMPUTED_VALUE"""),1441.86)</f>
        <v>1441.86</v>
      </c>
    </row>
    <row r="1370">
      <c r="A1370" s="2">
        <f>IFERROR(__xludf.DUMMYFUNCTION("""COMPUTED_VALUE"""),37784.666666666664)</f>
        <v>37784.66667</v>
      </c>
      <c r="B1370" s="1">
        <f>IFERROR(__xludf.DUMMYFUNCTION("""COMPUTED_VALUE"""),1443.41)</f>
        <v>1443.41</v>
      </c>
    </row>
    <row r="1371">
      <c r="A1371" s="2">
        <f>IFERROR(__xludf.DUMMYFUNCTION("""COMPUTED_VALUE"""),37785.666666666664)</f>
        <v>37785.66667</v>
      </c>
      <c r="B1371" s="1">
        <f>IFERROR(__xludf.DUMMYFUNCTION("""COMPUTED_VALUE"""),1429.11)</f>
        <v>1429.11</v>
      </c>
    </row>
    <row r="1372">
      <c r="A1372" s="2">
        <f>IFERROR(__xludf.DUMMYFUNCTION("""COMPUTED_VALUE"""),37788.666666666664)</f>
        <v>37788.66667</v>
      </c>
      <c r="B1372" s="1">
        <f>IFERROR(__xludf.DUMMYFUNCTION("""COMPUTED_VALUE"""),1461.15)</f>
        <v>1461.15</v>
      </c>
    </row>
    <row r="1373">
      <c r="A1373" s="2">
        <f>IFERROR(__xludf.DUMMYFUNCTION("""COMPUTED_VALUE"""),37789.666666666664)</f>
        <v>37789.66667</v>
      </c>
      <c r="B1373" s="1">
        <f>IFERROR(__xludf.DUMMYFUNCTION("""COMPUTED_VALUE"""),1462.48)</f>
        <v>1462.48</v>
      </c>
    </row>
    <row r="1374">
      <c r="A1374" s="2">
        <f>IFERROR(__xludf.DUMMYFUNCTION("""COMPUTED_VALUE"""),37790.666666666664)</f>
        <v>37790.66667</v>
      </c>
      <c r="B1374" s="1">
        <f>IFERROR(__xludf.DUMMYFUNCTION("""COMPUTED_VALUE"""),1460.32)</f>
        <v>1460.32</v>
      </c>
    </row>
    <row r="1375">
      <c r="A1375" s="2">
        <f>IFERROR(__xludf.DUMMYFUNCTION("""COMPUTED_VALUE"""),37791.666666666664)</f>
        <v>37791.66667</v>
      </c>
      <c r="B1375" s="1">
        <f>IFERROR(__xludf.DUMMYFUNCTION("""COMPUTED_VALUE"""),1438.09)</f>
        <v>1438.09</v>
      </c>
    </row>
    <row r="1376">
      <c r="A1376" s="2">
        <f>IFERROR(__xludf.DUMMYFUNCTION("""COMPUTED_VALUE"""),37792.666666666664)</f>
        <v>37792.66667</v>
      </c>
      <c r="B1376" s="1">
        <f>IFERROR(__xludf.DUMMYFUNCTION("""COMPUTED_VALUE"""),1439.54)</f>
        <v>1439.54</v>
      </c>
    </row>
    <row r="1377">
      <c r="A1377" s="2">
        <f>IFERROR(__xludf.DUMMYFUNCTION("""COMPUTED_VALUE"""),37795.666666666664)</f>
        <v>37795.66667</v>
      </c>
      <c r="B1377" s="1">
        <f>IFERROR(__xludf.DUMMYFUNCTION("""COMPUTED_VALUE"""),1419.24)</f>
        <v>1419.24</v>
      </c>
    </row>
    <row r="1378">
      <c r="A1378" s="2">
        <f>IFERROR(__xludf.DUMMYFUNCTION("""COMPUTED_VALUE"""),37796.666666666664)</f>
        <v>37796.66667</v>
      </c>
      <c r="B1378" s="1">
        <f>IFERROR(__xludf.DUMMYFUNCTION("""COMPUTED_VALUE"""),1421.86)</f>
        <v>1421.86</v>
      </c>
    </row>
    <row r="1379">
      <c r="A1379" s="2">
        <f>IFERROR(__xludf.DUMMYFUNCTION("""COMPUTED_VALUE"""),37797.666666666664)</f>
        <v>37797.66667</v>
      </c>
      <c r="B1379" s="1">
        <f>IFERROR(__xludf.DUMMYFUNCTION("""COMPUTED_VALUE"""),1410.1)</f>
        <v>1410.1</v>
      </c>
    </row>
    <row r="1380">
      <c r="A1380" s="2">
        <f>IFERROR(__xludf.DUMMYFUNCTION("""COMPUTED_VALUE"""),37798.666666666664)</f>
        <v>37798.66667</v>
      </c>
      <c r="B1380" s="1">
        <f>IFERROR(__xludf.DUMMYFUNCTION("""COMPUTED_VALUE"""),1425.82)</f>
        <v>1425.82</v>
      </c>
    </row>
    <row r="1381">
      <c r="A1381" s="2">
        <f>IFERROR(__xludf.DUMMYFUNCTION("""COMPUTED_VALUE"""),37799.666666666664)</f>
        <v>37799.66667</v>
      </c>
      <c r="B1381" s="1">
        <f>IFERROR(__xludf.DUMMYFUNCTION("""COMPUTED_VALUE"""),1411.97)</f>
        <v>1411.97</v>
      </c>
    </row>
    <row r="1382">
      <c r="A1382" s="2">
        <f>IFERROR(__xludf.DUMMYFUNCTION("""COMPUTED_VALUE"""),37802.666666666664)</f>
        <v>37802.66667</v>
      </c>
      <c r="B1382" s="1">
        <f>IFERROR(__xludf.DUMMYFUNCTION("""COMPUTED_VALUE"""),1409.48)</f>
        <v>1409.48</v>
      </c>
    </row>
    <row r="1383">
      <c r="A1383" s="2">
        <f>IFERROR(__xludf.DUMMYFUNCTION("""COMPUTED_VALUE"""),37803.666666666664)</f>
        <v>37803.66667</v>
      </c>
      <c r="B1383" s="1">
        <f>IFERROR(__xludf.DUMMYFUNCTION("""COMPUTED_VALUE"""),1421.03)</f>
        <v>1421.03</v>
      </c>
    </row>
    <row r="1384">
      <c r="A1384" s="2">
        <f>IFERROR(__xludf.DUMMYFUNCTION("""COMPUTED_VALUE"""),37804.666666666664)</f>
        <v>37804.66667</v>
      </c>
      <c r="B1384" s="1">
        <f>IFERROR(__xludf.DUMMYFUNCTION("""COMPUTED_VALUE"""),1437.61)</f>
        <v>1437.61</v>
      </c>
    </row>
    <row r="1385">
      <c r="A1385" s="2">
        <f>IFERROR(__xludf.DUMMYFUNCTION("""COMPUTED_VALUE"""),37805.666666666664)</f>
        <v>37805.66667</v>
      </c>
      <c r="B1385" s="1">
        <f>IFERROR(__xludf.DUMMYFUNCTION("""COMPUTED_VALUE"""),1425.97)</f>
        <v>1425.97</v>
      </c>
    </row>
    <row r="1386">
      <c r="A1386" s="2">
        <f>IFERROR(__xludf.DUMMYFUNCTION("""COMPUTED_VALUE"""),37809.666666666664)</f>
        <v>37809.66667</v>
      </c>
      <c r="B1386" s="1">
        <f>IFERROR(__xludf.DUMMYFUNCTION("""COMPUTED_VALUE"""),1453.07)</f>
        <v>1453.07</v>
      </c>
    </row>
    <row r="1387">
      <c r="A1387" s="2">
        <f>IFERROR(__xludf.DUMMYFUNCTION("""COMPUTED_VALUE"""),37810.666666666664)</f>
        <v>37810.66667</v>
      </c>
      <c r="B1387" s="1">
        <f>IFERROR(__xludf.DUMMYFUNCTION("""COMPUTED_VALUE"""),1458.51)</f>
        <v>1458.51</v>
      </c>
    </row>
    <row r="1388">
      <c r="A1388" s="2">
        <f>IFERROR(__xludf.DUMMYFUNCTION("""COMPUTED_VALUE"""),37811.666666666664)</f>
        <v>37811.66667</v>
      </c>
      <c r="B1388" s="1">
        <f>IFERROR(__xludf.DUMMYFUNCTION("""COMPUTED_VALUE"""),1450.51)</f>
        <v>1450.51</v>
      </c>
    </row>
    <row r="1389">
      <c r="A1389" s="2">
        <f>IFERROR(__xludf.DUMMYFUNCTION("""COMPUTED_VALUE"""),37812.666666666664)</f>
        <v>37812.66667</v>
      </c>
      <c r="B1389" s="1">
        <f>IFERROR(__xludf.DUMMYFUNCTION("""COMPUTED_VALUE"""),1430.96)</f>
        <v>1430.96</v>
      </c>
    </row>
    <row r="1390">
      <c r="A1390" s="2">
        <f>IFERROR(__xludf.DUMMYFUNCTION("""COMPUTED_VALUE"""),37813.666666666664)</f>
        <v>37813.66667</v>
      </c>
      <c r="B1390" s="1">
        <f>IFERROR(__xludf.DUMMYFUNCTION("""COMPUTED_VALUE"""),1444.7)</f>
        <v>1444.7</v>
      </c>
    </row>
    <row r="1391">
      <c r="A1391" s="2">
        <f>IFERROR(__xludf.DUMMYFUNCTION("""COMPUTED_VALUE"""),37816.666666666664)</f>
        <v>37816.66667</v>
      </c>
      <c r="B1391" s="1">
        <f>IFERROR(__xludf.DUMMYFUNCTION("""COMPUTED_VALUE"""),1453.0)</f>
        <v>1453</v>
      </c>
    </row>
    <row r="1392">
      <c r="A1392" s="2">
        <f>IFERROR(__xludf.DUMMYFUNCTION("""COMPUTED_VALUE"""),37817.666666666664)</f>
        <v>37817.66667</v>
      </c>
      <c r="B1392" s="1">
        <f>IFERROR(__xludf.DUMMYFUNCTION("""COMPUTED_VALUE"""),1448.02)</f>
        <v>1448.02</v>
      </c>
    </row>
    <row r="1393">
      <c r="A1393" s="2">
        <f>IFERROR(__xludf.DUMMYFUNCTION("""COMPUTED_VALUE"""),37818.666666666664)</f>
        <v>37818.66667</v>
      </c>
      <c r="B1393" s="1">
        <f>IFERROR(__xludf.DUMMYFUNCTION("""COMPUTED_VALUE"""),1438.86)</f>
        <v>1438.86</v>
      </c>
    </row>
    <row r="1394">
      <c r="A1394" s="2">
        <f>IFERROR(__xludf.DUMMYFUNCTION("""COMPUTED_VALUE"""),37819.666666666664)</f>
        <v>37819.66667</v>
      </c>
      <c r="B1394" s="1">
        <f>IFERROR(__xludf.DUMMYFUNCTION("""COMPUTED_VALUE"""),1421.11)</f>
        <v>1421.11</v>
      </c>
    </row>
    <row r="1395">
      <c r="A1395" s="2">
        <f>IFERROR(__xludf.DUMMYFUNCTION("""COMPUTED_VALUE"""),37820.666666666664)</f>
        <v>37820.66667</v>
      </c>
      <c r="B1395" s="1">
        <f>IFERROR(__xludf.DUMMYFUNCTION("""COMPUTED_VALUE"""),1437.89)</f>
        <v>1437.89</v>
      </c>
    </row>
    <row r="1396">
      <c r="A1396" s="2">
        <f>IFERROR(__xludf.DUMMYFUNCTION("""COMPUTED_VALUE"""),37823.666666666664)</f>
        <v>37823.66667</v>
      </c>
      <c r="B1396" s="1">
        <f>IFERROR(__xludf.DUMMYFUNCTION("""COMPUTED_VALUE"""),1416.88)</f>
        <v>1416.88</v>
      </c>
    </row>
    <row r="1397">
      <c r="A1397" s="2">
        <f>IFERROR(__xludf.DUMMYFUNCTION("""COMPUTED_VALUE"""),37824.666666666664)</f>
        <v>37824.66667</v>
      </c>
      <c r="B1397" s="1">
        <f>IFERROR(__xludf.DUMMYFUNCTION("""COMPUTED_VALUE"""),1430.35)</f>
        <v>1430.35</v>
      </c>
    </row>
    <row r="1398">
      <c r="A1398" s="2">
        <f>IFERROR(__xludf.DUMMYFUNCTION("""COMPUTED_VALUE"""),37825.666666666664)</f>
        <v>37825.66667</v>
      </c>
      <c r="B1398" s="1">
        <f>IFERROR(__xludf.DUMMYFUNCTION("""COMPUTED_VALUE"""),1431.1)</f>
        <v>1431.1</v>
      </c>
    </row>
    <row r="1399">
      <c r="A1399" s="2">
        <f>IFERROR(__xludf.DUMMYFUNCTION("""COMPUTED_VALUE"""),37826.666666666664)</f>
        <v>37826.66667</v>
      </c>
      <c r="B1399" s="1">
        <f>IFERROR(__xludf.DUMMYFUNCTION("""COMPUTED_VALUE"""),1420.96)</f>
        <v>1420.96</v>
      </c>
    </row>
    <row r="1400">
      <c r="A1400" s="2">
        <f>IFERROR(__xludf.DUMMYFUNCTION("""COMPUTED_VALUE"""),37827.666666666664)</f>
        <v>37827.66667</v>
      </c>
      <c r="B1400" s="1">
        <f>IFERROR(__xludf.DUMMYFUNCTION("""COMPUTED_VALUE"""),1445.7)</f>
        <v>1445.7</v>
      </c>
    </row>
    <row r="1401">
      <c r="A1401" s="2">
        <f>IFERROR(__xludf.DUMMYFUNCTION("""COMPUTED_VALUE"""),37830.666666666664)</f>
        <v>37830.66667</v>
      </c>
      <c r="B1401" s="1">
        <f>IFERROR(__xludf.DUMMYFUNCTION("""COMPUTED_VALUE"""),1442.58)</f>
        <v>1442.58</v>
      </c>
    </row>
    <row r="1402">
      <c r="A1402" s="2">
        <f>IFERROR(__xludf.DUMMYFUNCTION("""COMPUTED_VALUE"""),37831.666666666664)</f>
        <v>37831.66667</v>
      </c>
      <c r="B1402" s="1">
        <f>IFERROR(__xludf.DUMMYFUNCTION("""COMPUTED_VALUE"""),1432.31)</f>
        <v>1432.31</v>
      </c>
    </row>
    <row r="1403">
      <c r="A1403" s="2">
        <f>IFERROR(__xludf.DUMMYFUNCTION("""COMPUTED_VALUE"""),37832.666666666664)</f>
        <v>37832.66667</v>
      </c>
      <c r="B1403" s="1">
        <f>IFERROR(__xludf.DUMMYFUNCTION("""COMPUTED_VALUE"""),1429.91)</f>
        <v>1429.91</v>
      </c>
    </row>
    <row r="1404">
      <c r="A1404" s="2">
        <f>IFERROR(__xludf.DUMMYFUNCTION("""COMPUTED_VALUE"""),37833.666666666664)</f>
        <v>37833.66667</v>
      </c>
      <c r="B1404" s="1">
        <f>IFERROR(__xludf.DUMMYFUNCTION("""COMPUTED_VALUE"""),1434.33)</f>
        <v>1434.33</v>
      </c>
    </row>
    <row r="1405">
      <c r="A1405" s="2">
        <f>IFERROR(__xludf.DUMMYFUNCTION("""COMPUTED_VALUE"""),37834.666666666664)</f>
        <v>37834.66667</v>
      </c>
      <c r="B1405" s="1">
        <f>IFERROR(__xludf.DUMMYFUNCTION("""COMPUTED_VALUE"""),1419.64)</f>
        <v>1419.64</v>
      </c>
    </row>
    <row r="1406">
      <c r="A1406" s="2">
        <f>IFERROR(__xludf.DUMMYFUNCTION("""COMPUTED_VALUE"""),37837.666666666664)</f>
        <v>37837.66667</v>
      </c>
      <c r="B1406" s="1">
        <f>IFERROR(__xludf.DUMMYFUNCTION("""COMPUTED_VALUE"""),1423.51)</f>
        <v>1423.51</v>
      </c>
    </row>
    <row r="1407">
      <c r="A1407" s="2">
        <f>IFERROR(__xludf.DUMMYFUNCTION("""COMPUTED_VALUE"""),37838.666666666664)</f>
        <v>37838.66667</v>
      </c>
      <c r="B1407" s="1">
        <f>IFERROR(__xludf.DUMMYFUNCTION("""COMPUTED_VALUE"""),1398.42)</f>
        <v>1398.42</v>
      </c>
    </row>
    <row r="1408">
      <c r="A1408" s="2">
        <f>IFERROR(__xludf.DUMMYFUNCTION("""COMPUTED_VALUE"""),37839.666666666664)</f>
        <v>37839.66667</v>
      </c>
      <c r="B1408" s="1">
        <f>IFERROR(__xludf.DUMMYFUNCTION("""COMPUTED_VALUE"""),1401.01)</f>
        <v>1401.01</v>
      </c>
    </row>
    <row r="1409">
      <c r="A1409" s="2">
        <f>IFERROR(__xludf.DUMMYFUNCTION("""COMPUTED_VALUE"""),37840.666666666664)</f>
        <v>37840.66667</v>
      </c>
      <c r="B1409" s="1">
        <f>IFERROR(__xludf.DUMMYFUNCTION("""COMPUTED_VALUE"""),1411.27)</f>
        <v>1411.27</v>
      </c>
    </row>
    <row r="1410">
      <c r="A1410" s="2">
        <f>IFERROR(__xludf.DUMMYFUNCTION("""COMPUTED_VALUE"""),37841.666666666664)</f>
        <v>37841.66667</v>
      </c>
      <c r="B1410" s="1">
        <f>IFERROR(__xludf.DUMMYFUNCTION("""COMPUTED_VALUE"""),1416.3)</f>
        <v>1416.3</v>
      </c>
    </row>
    <row r="1411">
      <c r="A1411" s="2">
        <f>IFERROR(__xludf.DUMMYFUNCTION("""COMPUTED_VALUE"""),37844.666666666664)</f>
        <v>37844.66667</v>
      </c>
      <c r="B1411" s="1">
        <f>IFERROR(__xludf.DUMMYFUNCTION("""COMPUTED_VALUE"""),1421.01)</f>
        <v>1421.01</v>
      </c>
    </row>
    <row r="1412">
      <c r="A1412" s="2">
        <f>IFERROR(__xludf.DUMMYFUNCTION("""COMPUTED_VALUE"""),37845.666666666664)</f>
        <v>37845.66667</v>
      </c>
      <c r="B1412" s="1">
        <f>IFERROR(__xludf.DUMMYFUNCTION("""COMPUTED_VALUE"""),1435.17)</f>
        <v>1435.17</v>
      </c>
    </row>
    <row r="1413">
      <c r="A1413" s="2">
        <f>IFERROR(__xludf.DUMMYFUNCTION("""COMPUTED_VALUE"""),37846.666666666664)</f>
        <v>37846.66667</v>
      </c>
      <c r="B1413" s="1">
        <f>IFERROR(__xludf.DUMMYFUNCTION("""COMPUTED_VALUE"""),1426.55)</f>
        <v>1426.55</v>
      </c>
    </row>
    <row r="1414">
      <c r="A1414" s="2">
        <f>IFERROR(__xludf.DUMMYFUNCTION("""COMPUTED_VALUE"""),37847.666666666664)</f>
        <v>37847.66667</v>
      </c>
      <c r="B1414" s="1">
        <f>IFERROR(__xludf.DUMMYFUNCTION("""COMPUTED_VALUE"""),1435.96)</f>
        <v>1435.96</v>
      </c>
    </row>
    <row r="1415">
      <c r="A1415" s="2">
        <f>IFERROR(__xludf.DUMMYFUNCTION("""COMPUTED_VALUE"""),37848.666666666664)</f>
        <v>37848.66667</v>
      </c>
      <c r="B1415" s="1">
        <f>IFERROR(__xludf.DUMMYFUNCTION("""COMPUTED_VALUE"""),1436.43)</f>
        <v>1436.43</v>
      </c>
    </row>
    <row r="1416">
      <c r="A1416" s="2">
        <f>IFERROR(__xludf.DUMMYFUNCTION("""COMPUTED_VALUE"""),37851.666666666664)</f>
        <v>37851.66667</v>
      </c>
      <c r="B1416" s="1">
        <f>IFERROR(__xludf.DUMMYFUNCTION("""COMPUTED_VALUE"""),1449.65)</f>
        <v>1449.65</v>
      </c>
    </row>
    <row r="1417">
      <c r="A1417" s="2">
        <f>IFERROR(__xludf.DUMMYFUNCTION("""COMPUTED_VALUE"""),37852.666666666664)</f>
        <v>37852.66667</v>
      </c>
      <c r="B1417" s="1">
        <f>IFERROR(__xludf.DUMMYFUNCTION("""COMPUTED_VALUE"""),1453.45)</f>
        <v>1453.45</v>
      </c>
    </row>
    <row r="1418">
      <c r="A1418" s="2">
        <f>IFERROR(__xludf.DUMMYFUNCTION("""COMPUTED_VALUE"""),37853.666666666664)</f>
        <v>37853.66667</v>
      </c>
      <c r="B1418" s="1">
        <f>IFERROR(__xludf.DUMMYFUNCTION("""COMPUTED_VALUE"""),1450.61)</f>
        <v>1450.61</v>
      </c>
    </row>
    <row r="1419">
      <c r="A1419" s="2">
        <f>IFERROR(__xludf.DUMMYFUNCTION("""COMPUTED_VALUE"""),37854.666666666664)</f>
        <v>37854.66667</v>
      </c>
      <c r="B1419" s="1">
        <f>IFERROR(__xludf.DUMMYFUNCTION("""COMPUTED_VALUE"""),1454.98)</f>
        <v>1454.98</v>
      </c>
    </row>
    <row r="1420">
      <c r="A1420" s="2">
        <f>IFERROR(__xludf.DUMMYFUNCTION("""COMPUTED_VALUE"""),37855.666666666664)</f>
        <v>37855.66667</v>
      </c>
      <c r="B1420" s="1">
        <f>IFERROR(__xludf.DUMMYFUNCTION("""COMPUTED_VALUE"""),1440.17)</f>
        <v>1440.17</v>
      </c>
    </row>
    <row r="1421">
      <c r="A1421" s="2">
        <f>IFERROR(__xludf.DUMMYFUNCTION("""COMPUTED_VALUE"""),37858.666666666664)</f>
        <v>37858.66667</v>
      </c>
      <c r="B1421" s="1">
        <f>IFERROR(__xludf.DUMMYFUNCTION("""COMPUTED_VALUE"""),1441.11)</f>
        <v>1441.11</v>
      </c>
    </row>
    <row r="1422">
      <c r="A1422" s="2">
        <f>IFERROR(__xludf.DUMMYFUNCTION("""COMPUTED_VALUE"""),37859.666666666664)</f>
        <v>37859.66667</v>
      </c>
      <c r="B1422" s="1">
        <f>IFERROR(__xludf.DUMMYFUNCTION("""COMPUTED_VALUE"""),1445.51)</f>
        <v>1445.51</v>
      </c>
    </row>
    <row r="1423">
      <c r="A1423" s="2">
        <f>IFERROR(__xludf.DUMMYFUNCTION("""COMPUTED_VALUE"""),37860.666666666664)</f>
        <v>37860.66667</v>
      </c>
      <c r="B1423" s="1">
        <f>IFERROR(__xludf.DUMMYFUNCTION("""COMPUTED_VALUE"""),1445.84)</f>
        <v>1445.84</v>
      </c>
    </row>
    <row r="1424">
      <c r="A1424" s="2">
        <f>IFERROR(__xludf.DUMMYFUNCTION("""COMPUTED_VALUE"""),37861.666666666664)</f>
        <v>37861.66667</v>
      </c>
      <c r="B1424" s="1">
        <f>IFERROR(__xludf.DUMMYFUNCTION("""COMPUTED_VALUE"""),1454.7)</f>
        <v>1454.7</v>
      </c>
    </row>
    <row r="1425">
      <c r="A1425" s="2">
        <f>IFERROR(__xludf.DUMMYFUNCTION("""COMPUTED_VALUE"""),37862.666666666664)</f>
        <v>37862.66667</v>
      </c>
      <c r="B1425" s="1">
        <f>IFERROR(__xludf.DUMMYFUNCTION("""COMPUTED_VALUE"""),1462.3)</f>
        <v>1462.3</v>
      </c>
    </row>
    <row r="1426">
      <c r="A1426" s="2">
        <f>IFERROR(__xludf.DUMMYFUNCTION("""COMPUTED_VALUE"""),37866.666666666664)</f>
        <v>37866.66667</v>
      </c>
      <c r="B1426" s="1">
        <f>IFERROR(__xludf.DUMMYFUNCTION("""COMPUTED_VALUE"""),1482.61)</f>
        <v>1482.61</v>
      </c>
    </row>
    <row r="1427">
      <c r="A1427" s="2">
        <f>IFERROR(__xludf.DUMMYFUNCTION("""COMPUTED_VALUE"""),37867.666666666664)</f>
        <v>37867.66667</v>
      </c>
      <c r="B1427" s="1">
        <f>IFERROR(__xludf.DUMMYFUNCTION("""COMPUTED_VALUE"""),1489.25)</f>
        <v>1489.25</v>
      </c>
    </row>
    <row r="1428">
      <c r="A1428" s="2">
        <f>IFERROR(__xludf.DUMMYFUNCTION("""COMPUTED_VALUE"""),37868.666666666664)</f>
        <v>37868.66667</v>
      </c>
      <c r="B1428" s="1">
        <f>IFERROR(__xludf.DUMMYFUNCTION("""COMPUTED_VALUE"""),1491.77)</f>
        <v>1491.77</v>
      </c>
    </row>
    <row r="1429">
      <c r="A1429" s="2">
        <f>IFERROR(__xludf.DUMMYFUNCTION("""COMPUTED_VALUE"""),37869.666666666664)</f>
        <v>37869.66667</v>
      </c>
      <c r="B1429" s="1">
        <f>IFERROR(__xludf.DUMMYFUNCTION("""COMPUTED_VALUE"""),1482.24)</f>
        <v>1482.24</v>
      </c>
    </row>
    <row r="1430">
      <c r="A1430" s="2">
        <f>IFERROR(__xludf.DUMMYFUNCTION("""COMPUTED_VALUE"""),37872.666666666664)</f>
        <v>37872.66667</v>
      </c>
      <c r="B1430" s="1">
        <f>IFERROR(__xludf.DUMMYFUNCTION("""COMPUTED_VALUE"""),1497.22)</f>
        <v>1497.22</v>
      </c>
    </row>
    <row r="1431">
      <c r="A1431" s="2">
        <f>IFERROR(__xludf.DUMMYFUNCTION("""COMPUTED_VALUE"""),37873.666666666664)</f>
        <v>37873.66667</v>
      </c>
      <c r="B1431" s="1">
        <f>IFERROR(__xludf.DUMMYFUNCTION("""COMPUTED_VALUE"""),1484.93)</f>
        <v>1484.93</v>
      </c>
    </row>
    <row r="1432">
      <c r="A1432" s="2">
        <f>IFERROR(__xludf.DUMMYFUNCTION("""COMPUTED_VALUE"""),37874.666666666664)</f>
        <v>37874.66667</v>
      </c>
      <c r="B1432" s="1">
        <f>IFERROR(__xludf.DUMMYFUNCTION("""COMPUTED_VALUE"""),1467.29)</f>
        <v>1467.29</v>
      </c>
    </row>
    <row r="1433">
      <c r="A1433" s="2">
        <f>IFERROR(__xludf.DUMMYFUNCTION("""COMPUTED_VALUE"""),37875.666666666664)</f>
        <v>37875.66667</v>
      </c>
      <c r="B1433" s="1">
        <f>IFERROR(__xludf.DUMMYFUNCTION("""COMPUTED_VALUE"""),1475.72)</f>
        <v>1475.72</v>
      </c>
    </row>
    <row r="1434">
      <c r="A1434" s="2">
        <f>IFERROR(__xludf.DUMMYFUNCTION("""COMPUTED_VALUE"""),37876.666666666664)</f>
        <v>37876.66667</v>
      </c>
      <c r="B1434" s="1">
        <f>IFERROR(__xludf.DUMMYFUNCTION("""COMPUTED_VALUE"""),1478.94)</f>
        <v>1478.94</v>
      </c>
    </row>
    <row r="1435">
      <c r="A1435" s="2">
        <f>IFERROR(__xludf.DUMMYFUNCTION("""COMPUTED_VALUE"""),37879.666666666664)</f>
        <v>37879.66667</v>
      </c>
      <c r="B1435" s="1">
        <f>IFERROR(__xludf.DUMMYFUNCTION("""COMPUTED_VALUE"""),1473.43)</f>
        <v>1473.43</v>
      </c>
    </row>
    <row r="1436">
      <c r="A1436" s="2">
        <f>IFERROR(__xludf.DUMMYFUNCTION("""COMPUTED_VALUE"""),37880.666666666664)</f>
        <v>37880.66667</v>
      </c>
      <c r="B1436" s="1">
        <f>IFERROR(__xludf.DUMMYFUNCTION("""COMPUTED_VALUE"""),1494.51)</f>
        <v>1494.51</v>
      </c>
    </row>
    <row r="1437">
      <c r="A1437" s="2">
        <f>IFERROR(__xludf.DUMMYFUNCTION("""COMPUTED_VALUE"""),37881.666666666664)</f>
        <v>37881.66667</v>
      </c>
      <c r="B1437" s="1">
        <f>IFERROR(__xludf.DUMMYFUNCTION("""COMPUTED_VALUE"""),1489.7)</f>
        <v>1489.7</v>
      </c>
    </row>
    <row r="1438">
      <c r="A1438" s="2">
        <f>IFERROR(__xludf.DUMMYFUNCTION("""COMPUTED_VALUE"""),37882.666666666664)</f>
        <v>37882.66667</v>
      </c>
      <c r="B1438" s="1">
        <f>IFERROR(__xludf.DUMMYFUNCTION("""COMPUTED_VALUE"""),1509.47)</f>
        <v>1509.47</v>
      </c>
    </row>
    <row r="1439">
      <c r="A1439" s="2">
        <f>IFERROR(__xludf.DUMMYFUNCTION("""COMPUTED_VALUE"""),37883.666666666664)</f>
        <v>37883.66667</v>
      </c>
      <c r="B1439" s="1">
        <f>IFERROR(__xludf.DUMMYFUNCTION("""COMPUTED_VALUE"""),1504.74)</f>
        <v>1504.74</v>
      </c>
    </row>
    <row r="1440">
      <c r="A1440" s="2">
        <f>IFERROR(__xludf.DUMMYFUNCTION("""COMPUTED_VALUE"""),37886.666666666664)</f>
        <v>37886.66667</v>
      </c>
      <c r="B1440" s="1">
        <f>IFERROR(__xludf.DUMMYFUNCTION("""COMPUTED_VALUE"""),1485.16)</f>
        <v>1485.16</v>
      </c>
    </row>
    <row r="1441">
      <c r="A1441" s="2">
        <f>IFERROR(__xludf.DUMMYFUNCTION("""COMPUTED_VALUE"""),37887.666666666664)</f>
        <v>37887.66667</v>
      </c>
      <c r="B1441" s="1">
        <f>IFERROR(__xludf.DUMMYFUNCTION("""COMPUTED_VALUE"""),1494.19)</f>
        <v>1494.19</v>
      </c>
    </row>
    <row r="1442">
      <c r="A1442" s="2">
        <f>IFERROR(__xludf.DUMMYFUNCTION("""COMPUTED_VALUE"""),37888.666666666664)</f>
        <v>37888.66667</v>
      </c>
      <c r="B1442" s="1">
        <f>IFERROR(__xludf.DUMMYFUNCTION("""COMPUTED_VALUE"""),1465.66)</f>
        <v>1465.66</v>
      </c>
    </row>
    <row r="1443">
      <c r="A1443" s="2">
        <f>IFERROR(__xludf.DUMMYFUNCTION("""COMPUTED_VALUE"""),37889.666666666664)</f>
        <v>37889.66667</v>
      </c>
      <c r="B1443" s="1">
        <f>IFERROR(__xludf.DUMMYFUNCTION("""COMPUTED_VALUE"""),1457.09)</f>
        <v>1457.09</v>
      </c>
    </row>
    <row r="1444">
      <c r="A1444" s="2">
        <f>IFERROR(__xludf.DUMMYFUNCTION("""COMPUTED_VALUE"""),37890.666666666664)</f>
        <v>37890.66667</v>
      </c>
      <c r="B1444" s="1">
        <f>IFERROR(__xludf.DUMMYFUNCTION("""COMPUTED_VALUE"""),1448.03)</f>
        <v>1448.03</v>
      </c>
    </row>
    <row r="1445">
      <c r="A1445" s="2">
        <f>IFERROR(__xludf.DUMMYFUNCTION("""COMPUTED_VALUE"""),37893.666666666664)</f>
        <v>37893.66667</v>
      </c>
      <c r="B1445" s="1">
        <f>IFERROR(__xludf.DUMMYFUNCTION("""COMPUTED_VALUE"""),1462.2)</f>
        <v>1462.2</v>
      </c>
    </row>
    <row r="1446">
      <c r="A1446" s="2">
        <f>IFERROR(__xludf.DUMMYFUNCTION("""COMPUTED_VALUE"""),37894.666666666664)</f>
        <v>37894.66667</v>
      </c>
      <c r="B1446" s="1">
        <f>IFERROR(__xludf.DUMMYFUNCTION("""COMPUTED_VALUE"""),1446.77)</f>
        <v>1446.77</v>
      </c>
    </row>
    <row r="1447">
      <c r="A1447" s="2">
        <f>IFERROR(__xludf.DUMMYFUNCTION("""COMPUTED_VALUE"""),37895.666666666664)</f>
        <v>37895.66667</v>
      </c>
      <c r="B1447" s="1">
        <f>IFERROR(__xludf.DUMMYFUNCTION("""COMPUTED_VALUE"""),1479.23)</f>
        <v>1479.23</v>
      </c>
    </row>
    <row r="1448">
      <c r="A1448" s="2">
        <f>IFERROR(__xludf.DUMMYFUNCTION("""COMPUTED_VALUE"""),37896.666666666664)</f>
        <v>37896.66667</v>
      </c>
      <c r="B1448" s="1">
        <f>IFERROR(__xludf.DUMMYFUNCTION("""COMPUTED_VALUE"""),1482.36)</f>
        <v>1482.36</v>
      </c>
    </row>
    <row r="1449">
      <c r="A1449" s="2">
        <f>IFERROR(__xludf.DUMMYFUNCTION("""COMPUTED_VALUE"""),37897.666666666664)</f>
        <v>37897.66667</v>
      </c>
      <c r="B1449" s="1">
        <f>IFERROR(__xludf.DUMMYFUNCTION("""COMPUTED_VALUE"""),1496.32)</f>
        <v>1496.32</v>
      </c>
    </row>
    <row r="1450">
      <c r="A1450" s="2">
        <f>IFERROR(__xludf.DUMMYFUNCTION("""COMPUTED_VALUE"""),37900.666666666664)</f>
        <v>37900.66667</v>
      </c>
      <c r="B1450" s="1">
        <f>IFERROR(__xludf.DUMMYFUNCTION("""COMPUTED_VALUE"""),1502.86)</f>
        <v>1502.86</v>
      </c>
    </row>
    <row r="1451">
      <c r="A1451" s="2">
        <f>IFERROR(__xludf.DUMMYFUNCTION("""COMPUTED_VALUE"""),37901.666666666664)</f>
        <v>37901.66667</v>
      </c>
      <c r="B1451" s="1">
        <f>IFERROR(__xludf.DUMMYFUNCTION("""COMPUTED_VALUE"""),1510.05)</f>
        <v>1510.05</v>
      </c>
    </row>
    <row r="1452">
      <c r="A1452" s="2">
        <f>IFERROR(__xludf.DUMMYFUNCTION("""COMPUTED_VALUE"""),37902.666666666664)</f>
        <v>37902.66667</v>
      </c>
      <c r="B1452" s="1">
        <f>IFERROR(__xludf.DUMMYFUNCTION("""COMPUTED_VALUE"""),1502.65)</f>
        <v>1502.65</v>
      </c>
    </row>
    <row r="1453">
      <c r="A1453" s="2">
        <f>IFERROR(__xludf.DUMMYFUNCTION("""COMPUTED_VALUE"""),37903.666666666664)</f>
        <v>37903.66667</v>
      </c>
      <c r="B1453" s="1">
        <f>IFERROR(__xludf.DUMMYFUNCTION("""COMPUTED_VALUE"""),1509.86)</f>
        <v>1509.86</v>
      </c>
    </row>
    <row r="1454">
      <c r="A1454" s="2">
        <f>IFERROR(__xludf.DUMMYFUNCTION("""COMPUTED_VALUE"""),37904.666666666664)</f>
        <v>37904.66667</v>
      </c>
      <c r="B1454" s="1">
        <f>IFERROR(__xludf.DUMMYFUNCTION("""COMPUTED_VALUE"""),1509.0)</f>
        <v>1509</v>
      </c>
    </row>
    <row r="1455">
      <c r="A1455" s="2">
        <f>IFERROR(__xludf.DUMMYFUNCTION("""COMPUTED_VALUE"""),37907.666666666664)</f>
        <v>37907.66667</v>
      </c>
      <c r="B1455" s="1">
        <f>IFERROR(__xludf.DUMMYFUNCTION("""COMPUTED_VALUE"""),1519.6)</f>
        <v>1519.6</v>
      </c>
    </row>
    <row r="1456">
      <c r="A1456" s="2">
        <f>IFERROR(__xludf.DUMMYFUNCTION("""COMPUTED_VALUE"""),37908.666666666664)</f>
        <v>37908.66667</v>
      </c>
      <c r="B1456" s="1">
        <f>IFERROR(__xludf.DUMMYFUNCTION("""COMPUTED_VALUE"""),1525.6)</f>
        <v>1525.6</v>
      </c>
    </row>
    <row r="1457">
      <c r="A1457" s="2">
        <f>IFERROR(__xludf.DUMMYFUNCTION("""COMPUTED_VALUE"""),37909.666666666664)</f>
        <v>37909.66667</v>
      </c>
      <c r="B1457" s="1">
        <f>IFERROR(__xludf.DUMMYFUNCTION("""COMPUTED_VALUE"""),1521.95)</f>
        <v>1521.95</v>
      </c>
    </row>
    <row r="1458">
      <c r="A1458" s="2">
        <f>IFERROR(__xludf.DUMMYFUNCTION("""COMPUTED_VALUE"""),37910.666666666664)</f>
        <v>37910.66667</v>
      </c>
      <c r="B1458" s="1">
        <f>IFERROR(__xludf.DUMMYFUNCTION("""COMPUTED_VALUE"""),1526.8)</f>
        <v>1526.8</v>
      </c>
    </row>
    <row r="1459">
      <c r="A1459" s="2">
        <f>IFERROR(__xludf.DUMMYFUNCTION("""COMPUTED_VALUE"""),37911.666666666664)</f>
        <v>37911.66667</v>
      </c>
      <c r="B1459" s="1">
        <f>IFERROR(__xludf.DUMMYFUNCTION("""COMPUTED_VALUE"""),1511.18)</f>
        <v>1511.18</v>
      </c>
    </row>
    <row r="1460">
      <c r="A1460" s="2">
        <f>IFERROR(__xludf.DUMMYFUNCTION("""COMPUTED_VALUE"""),37914.666666666664)</f>
        <v>37914.66667</v>
      </c>
      <c r="B1460" s="1">
        <f>IFERROR(__xludf.DUMMYFUNCTION("""COMPUTED_VALUE"""),1518.97)</f>
        <v>1518.97</v>
      </c>
    </row>
    <row r="1461">
      <c r="A1461" s="2">
        <f>IFERROR(__xludf.DUMMYFUNCTION("""COMPUTED_VALUE"""),37915.666666666664)</f>
        <v>37915.66667</v>
      </c>
      <c r="B1461" s="1">
        <f>IFERROR(__xludf.DUMMYFUNCTION("""COMPUTED_VALUE"""),1520.93)</f>
        <v>1520.93</v>
      </c>
    </row>
    <row r="1462">
      <c r="A1462" s="2">
        <f>IFERROR(__xludf.DUMMYFUNCTION("""COMPUTED_VALUE"""),37916.666666666664)</f>
        <v>37916.66667</v>
      </c>
      <c r="B1462" s="1">
        <f>IFERROR(__xludf.DUMMYFUNCTION("""COMPUTED_VALUE"""),1498.28)</f>
        <v>1498.28</v>
      </c>
    </row>
    <row r="1463">
      <c r="A1463" s="2">
        <f>IFERROR(__xludf.DUMMYFUNCTION("""COMPUTED_VALUE"""),37917.666666666664)</f>
        <v>37917.66667</v>
      </c>
      <c r="B1463" s="1">
        <f>IFERROR(__xludf.DUMMYFUNCTION("""COMPUTED_VALUE"""),1503.26)</f>
        <v>1503.26</v>
      </c>
    </row>
    <row r="1464">
      <c r="A1464" s="2">
        <f>IFERROR(__xludf.DUMMYFUNCTION("""COMPUTED_VALUE"""),37918.666666666664)</f>
        <v>37918.66667</v>
      </c>
      <c r="B1464" s="1">
        <f>IFERROR(__xludf.DUMMYFUNCTION("""COMPUTED_VALUE"""),1496.2)</f>
        <v>1496.2</v>
      </c>
    </row>
    <row r="1465">
      <c r="A1465" s="2">
        <f>IFERROR(__xludf.DUMMYFUNCTION("""COMPUTED_VALUE"""),37921.666666666664)</f>
        <v>37921.66667</v>
      </c>
      <c r="B1465" s="1">
        <f>IFERROR(__xludf.DUMMYFUNCTION("""COMPUTED_VALUE"""),1499.43)</f>
        <v>1499.43</v>
      </c>
    </row>
    <row r="1466">
      <c r="A1466" s="2">
        <f>IFERROR(__xludf.DUMMYFUNCTION("""COMPUTED_VALUE"""),37922.666666666664)</f>
        <v>37922.66667</v>
      </c>
      <c r="B1466" s="1">
        <f>IFERROR(__xludf.DUMMYFUNCTION("""COMPUTED_VALUE"""),1522.21)</f>
        <v>1522.21</v>
      </c>
    </row>
    <row r="1467">
      <c r="A1467" s="2">
        <f>IFERROR(__xludf.DUMMYFUNCTION("""COMPUTED_VALUE"""),37923.666666666664)</f>
        <v>37923.66667</v>
      </c>
      <c r="B1467" s="1">
        <f>IFERROR(__xludf.DUMMYFUNCTION("""COMPUTED_VALUE"""),1524.41)</f>
        <v>1524.41</v>
      </c>
    </row>
    <row r="1468">
      <c r="A1468" s="2">
        <f>IFERROR(__xludf.DUMMYFUNCTION("""COMPUTED_VALUE"""),37924.666666666664)</f>
        <v>37924.66667</v>
      </c>
      <c r="B1468" s="1">
        <f>IFERROR(__xludf.DUMMYFUNCTION("""COMPUTED_VALUE"""),1523.12)</f>
        <v>1523.12</v>
      </c>
    </row>
    <row r="1469">
      <c r="A1469" s="2">
        <f>IFERROR(__xludf.DUMMYFUNCTION("""COMPUTED_VALUE"""),37925.666666666664)</f>
        <v>37925.66667</v>
      </c>
      <c r="B1469" s="1">
        <f>IFERROR(__xludf.DUMMYFUNCTION("""COMPUTED_VALUE"""),1528.62)</f>
        <v>1528.62</v>
      </c>
    </row>
    <row r="1470">
      <c r="A1470" s="2">
        <f>IFERROR(__xludf.DUMMYFUNCTION("""COMPUTED_VALUE"""),37928.666666666664)</f>
        <v>37928.66667</v>
      </c>
      <c r="B1470" s="1">
        <f>IFERROR(__xludf.DUMMYFUNCTION("""COMPUTED_VALUE"""),1540.71)</f>
        <v>1540.71</v>
      </c>
    </row>
    <row r="1471">
      <c r="A1471" s="2">
        <f>IFERROR(__xludf.DUMMYFUNCTION("""COMPUTED_VALUE"""),37929.666666666664)</f>
        <v>37929.66667</v>
      </c>
      <c r="B1471" s="1">
        <f>IFERROR(__xludf.DUMMYFUNCTION("""COMPUTED_VALUE"""),1532.34)</f>
        <v>1532.34</v>
      </c>
    </row>
    <row r="1472">
      <c r="A1472" s="2">
        <f>IFERROR(__xludf.DUMMYFUNCTION("""COMPUTED_VALUE"""),37930.666666666664)</f>
        <v>37930.66667</v>
      </c>
      <c r="B1472" s="1">
        <f>IFERROR(__xludf.DUMMYFUNCTION("""COMPUTED_VALUE"""),1530.54)</f>
        <v>1530.54</v>
      </c>
    </row>
    <row r="1473">
      <c r="A1473" s="2">
        <f>IFERROR(__xludf.DUMMYFUNCTION("""COMPUTED_VALUE"""),37931.666666666664)</f>
        <v>37931.66667</v>
      </c>
      <c r="B1473" s="1">
        <f>IFERROR(__xludf.DUMMYFUNCTION("""COMPUTED_VALUE"""),1539.75)</f>
        <v>1539.75</v>
      </c>
    </row>
    <row r="1474">
      <c r="A1474" s="2">
        <f>IFERROR(__xludf.DUMMYFUNCTION("""COMPUTED_VALUE"""),37932.666666666664)</f>
        <v>37932.66667</v>
      </c>
      <c r="B1474" s="1">
        <f>IFERROR(__xludf.DUMMYFUNCTION("""COMPUTED_VALUE"""),1533.02)</f>
        <v>1533.02</v>
      </c>
    </row>
    <row r="1475">
      <c r="A1475" s="2">
        <f>IFERROR(__xludf.DUMMYFUNCTION("""COMPUTED_VALUE"""),37935.666666666664)</f>
        <v>37935.66667</v>
      </c>
      <c r="B1475" s="1">
        <f>IFERROR(__xludf.DUMMYFUNCTION("""COMPUTED_VALUE"""),1524.26)</f>
        <v>1524.26</v>
      </c>
    </row>
    <row r="1476">
      <c r="A1476" s="2">
        <f>IFERROR(__xludf.DUMMYFUNCTION("""COMPUTED_VALUE"""),37936.666666666664)</f>
        <v>37936.66667</v>
      </c>
      <c r="B1476" s="1">
        <f>IFERROR(__xludf.DUMMYFUNCTION("""COMPUTED_VALUE"""),1523.47)</f>
        <v>1523.47</v>
      </c>
    </row>
    <row r="1477">
      <c r="A1477" s="2">
        <f>IFERROR(__xludf.DUMMYFUNCTION("""COMPUTED_VALUE"""),37937.666666666664)</f>
        <v>37937.66667</v>
      </c>
      <c r="B1477" s="1">
        <f>IFERROR(__xludf.DUMMYFUNCTION("""COMPUTED_VALUE"""),1541.49)</f>
        <v>1541.49</v>
      </c>
    </row>
    <row r="1478">
      <c r="A1478" s="2">
        <f>IFERROR(__xludf.DUMMYFUNCTION("""COMPUTED_VALUE"""),37938.666666666664)</f>
        <v>37938.66667</v>
      </c>
      <c r="B1478" s="1">
        <f>IFERROR(__xludf.DUMMYFUNCTION("""COMPUTED_VALUE"""),1541.3)</f>
        <v>1541.3</v>
      </c>
    </row>
    <row r="1479">
      <c r="A1479" s="2">
        <f>IFERROR(__xludf.DUMMYFUNCTION("""COMPUTED_VALUE"""),37939.666666666664)</f>
        <v>37939.66667</v>
      </c>
      <c r="B1479" s="1">
        <f>IFERROR(__xludf.DUMMYFUNCTION("""COMPUTED_VALUE"""),1529.84)</f>
        <v>1529.84</v>
      </c>
    </row>
    <row r="1480">
      <c r="A1480" s="2">
        <f>IFERROR(__xludf.DUMMYFUNCTION("""COMPUTED_VALUE"""),37942.666666666664)</f>
        <v>37942.66667</v>
      </c>
      <c r="B1480" s="1">
        <f>IFERROR(__xludf.DUMMYFUNCTION("""COMPUTED_VALUE"""),1520.07)</f>
        <v>1520.07</v>
      </c>
    </row>
    <row r="1481">
      <c r="A1481" s="2">
        <f>IFERROR(__xludf.DUMMYFUNCTION("""COMPUTED_VALUE"""),37943.666666666664)</f>
        <v>37943.66667</v>
      </c>
      <c r="B1481" s="1">
        <f>IFERROR(__xludf.DUMMYFUNCTION("""COMPUTED_VALUE"""),1506.32)</f>
        <v>1506.32</v>
      </c>
    </row>
    <row r="1482">
      <c r="A1482" s="2">
        <f>IFERROR(__xludf.DUMMYFUNCTION("""COMPUTED_VALUE"""),37944.666666666664)</f>
        <v>37944.66667</v>
      </c>
      <c r="B1482" s="1">
        <f>IFERROR(__xludf.DUMMYFUNCTION("""COMPUTED_VALUE"""),1518.51)</f>
        <v>1518.51</v>
      </c>
    </row>
    <row r="1483">
      <c r="A1483" s="2">
        <f>IFERROR(__xludf.DUMMYFUNCTION("""COMPUTED_VALUE"""),37945.666666666664)</f>
        <v>37945.66667</v>
      </c>
      <c r="B1483" s="1">
        <f>IFERROR(__xludf.DUMMYFUNCTION("""COMPUTED_VALUE"""),1505.76)</f>
        <v>1505.76</v>
      </c>
    </row>
    <row r="1484">
      <c r="A1484" s="2">
        <f>IFERROR(__xludf.DUMMYFUNCTION("""COMPUTED_VALUE"""),37946.666666666664)</f>
        <v>37946.66667</v>
      </c>
      <c r="B1484" s="1">
        <f>IFERROR(__xludf.DUMMYFUNCTION("""COMPUTED_VALUE"""),1508.21)</f>
        <v>1508.21</v>
      </c>
    </row>
    <row r="1485">
      <c r="A1485" s="2">
        <f>IFERROR(__xludf.DUMMYFUNCTION("""COMPUTED_VALUE"""),37949.666666666664)</f>
        <v>37949.66667</v>
      </c>
      <c r="B1485" s="1">
        <f>IFERROR(__xludf.DUMMYFUNCTION("""COMPUTED_VALUE"""),1532.69)</f>
        <v>1532.69</v>
      </c>
    </row>
    <row r="1486">
      <c r="A1486" s="2">
        <f>IFERROR(__xludf.DUMMYFUNCTION("""COMPUTED_VALUE"""),37950.666666666664)</f>
        <v>37950.66667</v>
      </c>
      <c r="B1486" s="1">
        <f>IFERROR(__xludf.DUMMYFUNCTION("""COMPUTED_VALUE"""),1535.49)</f>
        <v>1535.49</v>
      </c>
    </row>
    <row r="1487">
      <c r="A1487" s="2">
        <f>IFERROR(__xludf.DUMMYFUNCTION("""COMPUTED_VALUE"""),37951.666666666664)</f>
        <v>37951.66667</v>
      </c>
      <c r="B1487" s="1">
        <f>IFERROR(__xludf.DUMMYFUNCTION("""COMPUTED_VALUE"""),1542.4)</f>
        <v>1542.4</v>
      </c>
    </row>
    <row r="1488">
      <c r="A1488" s="2">
        <f>IFERROR(__xludf.DUMMYFUNCTION("""COMPUTED_VALUE"""),37953.666666666664)</f>
        <v>37953.66667</v>
      </c>
      <c r="B1488" s="1">
        <f>IFERROR(__xludf.DUMMYFUNCTION("""COMPUTED_VALUE"""),1542.07)</f>
        <v>1542.07</v>
      </c>
    </row>
    <row r="1489">
      <c r="A1489" s="2">
        <f>IFERROR(__xludf.DUMMYFUNCTION("""COMPUTED_VALUE"""),37956.666666666664)</f>
        <v>37956.66667</v>
      </c>
      <c r="B1489" s="1">
        <f>IFERROR(__xludf.DUMMYFUNCTION("""COMPUTED_VALUE"""),1559.5)</f>
        <v>1559.5</v>
      </c>
    </row>
    <row r="1490">
      <c r="A1490" s="2">
        <f>IFERROR(__xludf.DUMMYFUNCTION("""COMPUTED_VALUE"""),37957.666666666664)</f>
        <v>37957.66667</v>
      </c>
      <c r="B1490" s="1">
        <f>IFERROR(__xludf.DUMMYFUNCTION("""COMPUTED_VALUE"""),1554.42)</f>
        <v>1554.42</v>
      </c>
    </row>
    <row r="1491">
      <c r="A1491" s="2">
        <f>IFERROR(__xludf.DUMMYFUNCTION("""COMPUTED_VALUE"""),37958.666666666664)</f>
        <v>37958.66667</v>
      </c>
      <c r="B1491" s="1">
        <f>IFERROR(__xludf.DUMMYFUNCTION("""COMPUTED_VALUE"""),1552.09)</f>
        <v>1552.09</v>
      </c>
    </row>
    <row r="1492">
      <c r="A1492" s="2">
        <f>IFERROR(__xludf.DUMMYFUNCTION("""COMPUTED_VALUE"""),37959.666666666664)</f>
        <v>37959.66667</v>
      </c>
      <c r="B1492" s="1">
        <f>IFERROR(__xludf.DUMMYFUNCTION("""COMPUTED_VALUE"""),1559.47)</f>
        <v>1559.47</v>
      </c>
    </row>
    <row r="1493">
      <c r="A1493" s="2">
        <f>IFERROR(__xludf.DUMMYFUNCTION("""COMPUTED_VALUE"""),37960.666666666664)</f>
        <v>37960.66667</v>
      </c>
      <c r="B1493" s="1">
        <f>IFERROR(__xludf.DUMMYFUNCTION("""COMPUTED_VALUE"""),1547.52)</f>
        <v>1547.52</v>
      </c>
    </row>
    <row r="1494">
      <c r="A1494" s="2">
        <f>IFERROR(__xludf.DUMMYFUNCTION("""COMPUTED_VALUE"""),37963.666666666664)</f>
        <v>37963.66667</v>
      </c>
      <c r="B1494" s="1">
        <f>IFERROR(__xludf.DUMMYFUNCTION("""COMPUTED_VALUE"""),1558.96)</f>
        <v>1558.96</v>
      </c>
    </row>
    <row r="1495">
      <c r="A1495" s="2">
        <f>IFERROR(__xludf.DUMMYFUNCTION("""COMPUTED_VALUE"""),37964.666666666664)</f>
        <v>37964.66667</v>
      </c>
      <c r="B1495" s="1">
        <f>IFERROR(__xludf.DUMMYFUNCTION("""COMPUTED_VALUE"""),1545.68)</f>
        <v>1545.68</v>
      </c>
    </row>
    <row r="1496">
      <c r="A1496" s="2">
        <f>IFERROR(__xludf.DUMMYFUNCTION("""COMPUTED_VALUE"""),37965.666666666664)</f>
        <v>37965.66667</v>
      </c>
      <c r="B1496" s="1">
        <f>IFERROR(__xludf.DUMMYFUNCTION("""COMPUTED_VALUE"""),1544.31)</f>
        <v>1544.31</v>
      </c>
    </row>
    <row r="1497">
      <c r="A1497" s="2">
        <f>IFERROR(__xludf.DUMMYFUNCTION("""COMPUTED_VALUE"""),37966.666666666664)</f>
        <v>37966.66667</v>
      </c>
      <c r="B1497" s="1">
        <f>IFERROR(__xludf.DUMMYFUNCTION("""COMPUTED_VALUE"""),1562.23)</f>
        <v>1562.23</v>
      </c>
    </row>
    <row r="1498">
      <c r="A1498" s="2">
        <f>IFERROR(__xludf.DUMMYFUNCTION("""COMPUTED_VALUE"""),37967.666666666664)</f>
        <v>37967.66667</v>
      </c>
      <c r="B1498" s="1">
        <f>IFERROR(__xludf.DUMMYFUNCTION("""COMPUTED_VALUE"""),1566.5)</f>
        <v>1566.5</v>
      </c>
    </row>
    <row r="1499">
      <c r="A1499" s="2">
        <f>IFERROR(__xludf.DUMMYFUNCTION("""COMPUTED_VALUE"""),37970.666666666664)</f>
        <v>37970.66667</v>
      </c>
      <c r="B1499" s="1">
        <f>IFERROR(__xludf.DUMMYFUNCTION("""COMPUTED_VALUE"""),1557.66)</f>
        <v>1557.66</v>
      </c>
    </row>
    <row r="1500">
      <c r="A1500" s="2">
        <f>IFERROR(__xludf.DUMMYFUNCTION("""COMPUTED_VALUE"""),37971.666666666664)</f>
        <v>37971.66667</v>
      </c>
      <c r="B1500" s="1">
        <f>IFERROR(__xludf.DUMMYFUNCTION("""COMPUTED_VALUE"""),1568.02)</f>
        <v>1568.02</v>
      </c>
    </row>
    <row r="1501">
      <c r="A1501" s="2">
        <f>IFERROR(__xludf.DUMMYFUNCTION("""COMPUTED_VALUE"""),37972.666666666664)</f>
        <v>37972.66667</v>
      </c>
      <c r="B1501" s="1">
        <f>IFERROR(__xludf.DUMMYFUNCTION("""COMPUTED_VALUE"""),1570.15)</f>
        <v>1570.15</v>
      </c>
    </row>
    <row r="1502">
      <c r="A1502" s="2">
        <f>IFERROR(__xludf.DUMMYFUNCTION("""COMPUTED_VALUE"""),37973.666666666664)</f>
        <v>37973.66667</v>
      </c>
      <c r="B1502" s="1">
        <f>IFERROR(__xludf.DUMMYFUNCTION("""COMPUTED_VALUE"""),1588.9)</f>
        <v>1588.9</v>
      </c>
    </row>
    <row r="1503">
      <c r="A1503" s="2">
        <f>IFERROR(__xludf.DUMMYFUNCTION("""COMPUTED_VALUE"""),37974.666666666664)</f>
        <v>37974.66667</v>
      </c>
      <c r="B1503" s="1">
        <f>IFERROR(__xludf.DUMMYFUNCTION("""COMPUTED_VALUE"""),1588.19)</f>
        <v>1588.19</v>
      </c>
    </row>
    <row r="1504">
      <c r="A1504" s="2">
        <f>IFERROR(__xludf.DUMMYFUNCTION("""COMPUTED_VALUE"""),37977.666666666664)</f>
        <v>37977.66667</v>
      </c>
      <c r="B1504" s="1">
        <f>IFERROR(__xludf.DUMMYFUNCTION("""COMPUTED_VALUE"""),1594.43)</f>
        <v>1594.43</v>
      </c>
    </row>
    <row r="1505">
      <c r="A1505" s="2">
        <f>IFERROR(__xludf.DUMMYFUNCTION("""COMPUTED_VALUE"""),37978.666666666664)</f>
        <v>37978.66667</v>
      </c>
      <c r="B1505" s="1">
        <f>IFERROR(__xludf.DUMMYFUNCTION("""COMPUTED_VALUE"""),1598.93)</f>
        <v>1598.93</v>
      </c>
    </row>
    <row r="1506">
      <c r="A1506" s="2">
        <f>IFERROR(__xludf.DUMMYFUNCTION("""COMPUTED_VALUE"""),37979.666666666664)</f>
        <v>37979.66667</v>
      </c>
      <c r="B1506" s="1">
        <f>IFERROR(__xludf.DUMMYFUNCTION("""COMPUTED_VALUE"""),1596.05)</f>
        <v>1596.05</v>
      </c>
    </row>
    <row r="1507">
      <c r="A1507" s="2">
        <f>IFERROR(__xludf.DUMMYFUNCTION("""COMPUTED_VALUE"""),37981.666666666664)</f>
        <v>37981.66667</v>
      </c>
      <c r="B1507" s="1">
        <f>IFERROR(__xludf.DUMMYFUNCTION("""COMPUTED_VALUE"""),1598.75)</f>
        <v>1598.75</v>
      </c>
    </row>
    <row r="1508">
      <c r="A1508" s="2">
        <f>IFERROR(__xludf.DUMMYFUNCTION("""COMPUTED_VALUE"""),37984.666666666664)</f>
        <v>37984.66667</v>
      </c>
      <c r="B1508" s="1">
        <f>IFERROR(__xludf.DUMMYFUNCTION("""COMPUTED_VALUE"""),1619.16)</f>
        <v>1619.16</v>
      </c>
    </row>
    <row r="1509">
      <c r="A1509" s="2">
        <f>IFERROR(__xludf.DUMMYFUNCTION("""COMPUTED_VALUE"""),37985.666666666664)</f>
        <v>37985.66667</v>
      </c>
      <c r="B1509" s="1">
        <f>IFERROR(__xludf.DUMMYFUNCTION("""COMPUTED_VALUE"""),1619.59)</f>
        <v>1619.59</v>
      </c>
    </row>
    <row r="1510">
      <c r="A1510" s="2">
        <f>IFERROR(__xludf.DUMMYFUNCTION("""COMPUTED_VALUE"""),37986.666666666664)</f>
        <v>37986.66667</v>
      </c>
      <c r="B1510" s="1">
        <f>IFERROR(__xludf.DUMMYFUNCTION("""COMPUTED_VALUE"""),1622.94)</f>
        <v>1622.94</v>
      </c>
    </row>
    <row r="1511">
      <c r="A1511" s="2">
        <f>IFERROR(__xludf.DUMMYFUNCTION("""COMPUTED_VALUE"""),37988.666666666664)</f>
        <v>37988.66667</v>
      </c>
      <c r="B1511" s="1">
        <f>IFERROR(__xludf.DUMMYFUNCTION("""COMPUTED_VALUE"""),1618.05)</f>
        <v>1618.05</v>
      </c>
    </row>
    <row r="1512">
      <c r="A1512" s="2">
        <f>IFERROR(__xludf.DUMMYFUNCTION("""COMPUTED_VALUE"""),37991.666666666664)</f>
        <v>37991.66667</v>
      </c>
      <c r="B1512" s="1">
        <f>IFERROR(__xludf.DUMMYFUNCTION("""COMPUTED_VALUE"""),1638.1)</f>
        <v>1638.1</v>
      </c>
    </row>
    <row r="1513">
      <c r="A1513" s="2">
        <f>IFERROR(__xludf.DUMMYFUNCTION("""COMPUTED_VALUE"""),37992.666666666664)</f>
        <v>37992.66667</v>
      </c>
      <c r="B1513" s="1">
        <f>IFERROR(__xludf.DUMMYFUNCTION("""COMPUTED_VALUE"""),1640.31)</f>
        <v>1640.31</v>
      </c>
    </row>
    <row r="1514">
      <c r="A1514" s="2">
        <f>IFERROR(__xludf.DUMMYFUNCTION("""COMPUTED_VALUE"""),37993.666666666664)</f>
        <v>37993.66667</v>
      </c>
      <c r="B1514" s="1">
        <f>IFERROR(__xludf.DUMMYFUNCTION("""COMPUTED_VALUE"""),1644.6)</f>
        <v>1644.6</v>
      </c>
    </row>
    <row r="1515">
      <c r="A1515" s="2">
        <f>IFERROR(__xludf.DUMMYFUNCTION("""COMPUTED_VALUE"""),37994.666666666664)</f>
        <v>37994.66667</v>
      </c>
      <c r="B1515" s="1">
        <f>IFERROR(__xludf.DUMMYFUNCTION("""COMPUTED_VALUE"""),1652.83)</f>
        <v>1652.83</v>
      </c>
    </row>
    <row r="1516">
      <c r="A1516" s="2">
        <f>IFERROR(__xludf.DUMMYFUNCTION("""COMPUTED_VALUE"""),37995.666666666664)</f>
        <v>37995.66667</v>
      </c>
      <c r="B1516" s="1">
        <f>IFERROR(__xludf.DUMMYFUNCTION("""COMPUTED_VALUE"""),1638.14)</f>
        <v>1638.14</v>
      </c>
    </row>
    <row r="1517">
      <c r="A1517" s="2">
        <f>IFERROR(__xludf.DUMMYFUNCTION("""COMPUTED_VALUE"""),37998.666666666664)</f>
        <v>37998.66667</v>
      </c>
      <c r="B1517" s="1">
        <f>IFERROR(__xludf.DUMMYFUNCTION("""COMPUTED_VALUE"""),1646.03)</f>
        <v>1646.03</v>
      </c>
    </row>
    <row r="1518">
      <c r="A1518" s="2">
        <f>IFERROR(__xludf.DUMMYFUNCTION("""COMPUTED_VALUE"""),37999.666666666664)</f>
        <v>37999.66667</v>
      </c>
      <c r="B1518" s="1">
        <f>IFERROR(__xludf.DUMMYFUNCTION("""COMPUTED_VALUE"""),1637.33)</f>
        <v>1637.33</v>
      </c>
    </row>
    <row r="1519">
      <c r="A1519" s="2">
        <f>IFERROR(__xludf.DUMMYFUNCTION("""COMPUTED_VALUE"""),38000.666666666664)</f>
        <v>38000.66667</v>
      </c>
      <c r="B1519" s="1">
        <f>IFERROR(__xludf.DUMMYFUNCTION("""COMPUTED_VALUE"""),1650.96)</f>
        <v>1650.96</v>
      </c>
    </row>
    <row r="1520">
      <c r="A1520" s="2">
        <f>IFERROR(__xludf.DUMMYFUNCTION("""COMPUTED_VALUE"""),38001.666666666664)</f>
        <v>38001.66667</v>
      </c>
      <c r="B1520" s="1">
        <f>IFERROR(__xludf.DUMMYFUNCTION("""COMPUTED_VALUE"""),1653.21)</f>
        <v>1653.21</v>
      </c>
    </row>
    <row r="1521">
      <c r="A1521" s="2">
        <f>IFERROR(__xludf.DUMMYFUNCTION("""COMPUTED_VALUE"""),38002.666666666664)</f>
        <v>38002.66667</v>
      </c>
      <c r="B1521" s="1">
        <f>IFERROR(__xludf.DUMMYFUNCTION("""COMPUTED_VALUE"""),1664.57)</f>
        <v>1664.57</v>
      </c>
    </row>
    <row r="1522">
      <c r="A1522" s="2">
        <f>IFERROR(__xludf.DUMMYFUNCTION("""COMPUTED_VALUE"""),38006.666666666664)</f>
        <v>38006.66667</v>
      </c>
      <c r="B1522" s="1">
        <f>IFERROR(__xludf.DUMMYFUNCTION("""COMPUTED_VALUE"""),1663.03)</f>
        <v>1663.03</v>
      </c>
    </row>
    <row r="1523">
      <c r="A1523" s="2">
        <f>IFERROR(__xludf.DUMMYFUNCTION("""COMPUTED_VALUE"""),38007.666666666664)</f>
        <v>38007.66667</v>
      </c>
      <c r="B1523" s="1">
        <f>IFERROR(__xludf.DUMMYFUNCTION("""COMPUTED_VALUE"""),1676.07)</f>
        <v>1676.07</v>
      </c>
    </row>
    <row r="1524">
      <c r="A1524" s="2">
        <f>IFERROR(__xludf.DUMMYFUNCTION("""COMPUTED_VALUE"""),38008.666666666664)</f>
        <v>38008.66667</v>
      </c>
      <c r="B1524" s="1">
        <f>IFERROR(__xludf.DUMMYFUNCTION("""COMPUTED_VALUE"""),1670.73)</f>
        <v>1670.73</v>
      </c>
    </row>
    <row r="1525">
      <c r="A1525" s="2">
        <f>IFERROR(__xludf.DUMMYFUNCTION("""COMPUTED_VALUE"""),38009.666666666664)</f>
        <v>38009.66667</v>
      </c>
      <c r="B1525" s="1">
        <f>IFERROR(__xludf.DUMMYFUNCTION("""COMPUTED_VALUE"""),1667.26)</f>
        <v>1667.26</v>
      </c>
    </row>
    <row r="1526">
      <c r="A1526" s="2">
        <f>IFERROR(__xludf.DUMMYFUNCTION("""COMPUTED_VALUE"""),38012.666666666664)</f>
        <v>38012.66667</v>
      </c>
      <c r="B1526" s="1">
        <f>IFERROR(__xludf.DUMMYFUNCTION("""COMPUTED_VALUE"""),1687.44)</f>
        <v>1687.44</v>
      </c>
    </row>
    <row r="1527">
      <c r="A1527" s="2">
        <f>IFERROR(__xludf.DUMMYFUNCTION("""COMPUTED_VALUE"""),38013.666666666664)</f>
        <v>38013.66667</v>
      </c>
      <c r="B1527" s="1">
        <f>IFERROR(__xludf.DUMMYFUNCTION("""COMPUTED_VALUE"""),1670.91)</f>
        <v>1670.91</v>
      </c>
    </row>
    <row r="1528">
      <c r="A1528" s="2">
        <f>IFERROR(__xludf.DUMMYFUNCTION("""COMPUTED_VALUE"""),38014.666666666664)</f>
        <v>38014.66667</v>
      </c>
      <c r="B1528" s="1">
        <f>IFERROR(__xludf.DUMMYFUNCTION("""COMPUTED_VALUE"""),1648.44)</f>
        <v>1648.44</v>
      </c>
    </row>
    <row r="1529">
      <c r="A1529" s="2">
        <f>IFERROR(__xludf.DUMMYFUNCTION("""COMPUTED_VALUE"""),38015.666666666664)</f>
        <v>38015.66667</v>
      </c>
      <c r="B1529" s="1">
        <f>IFERROR(__xludf.DUMMYFUNCTION("""COMPUTED_VALUE"""),1657.09)</f>
        <v>1657.09</v>
      </c>
    </row>
    <row r="1530">
      <c r="A1530" s="2">
        <f>IFERROR(__xludf.DUMMYFUNCTION("""COMPUTED_VALUE"""),38016.666666666664)</f>
        <v>38016.66667</v>
      </c>
      <c r="B1530" s="1">
        <f>IFERROR(__xludf.DUMMYFUNCTION("""COMPUTED_VALUE"""),1652.73)</f>
        <v>1652.73</v>
      </c>
    </row>
    <row r="1531">
      <c r="A1531" s="2">
        <f>IFERROR(__xludf.DUMMYFUNCTION("""COMPUTED_VALUE"""),38019.666666666664)</f>
        <v>38019.66667</v>
      </c>
      <c r="B1531" s="1">
        <f>IFERROR(__xludf.DUMMYFUNCTION("""COMPUTED_VALUE"""),1658.79)</f>
        <v>1658.79</v>
      </c>
    </row>
    <row r="1532">
      <c r="A1532" s="2">
        <f>IFERROR(__xludf.DUMMYFUNCTION("""COMPUTED_VALUE"""),38020.666666666664)</f>
        <v>38020.66667</v>
      </c>
      <c r="B1532" s="1">
        <f>IFERROR(__xludf.DUMMYFUNCTION("""COMPUTED_VALUE"""),1659.92)</f>
        <v>1659.92</v>
      </c>
    </row>
    <row r="1533">
      <c r="A1533" s="2">
        <f>IFERROR(__xludf.DUMMYFUNCTION("""COMPUTED_VALUE"""),38021.666666666664)</f>
        <v>38021.66667</v>
      </c>
      <c r="B1533" s="1">
        <f>IFERROR(__xludf.DUMMYFUNCTION("""COMPUTED_VALUE"""),1646.29)</f>
        <v>1646.29</v>
      </c>
    </row>
    <row r="1534">
      <c r="A1534" s="2">
        <f>IFERROR(__xludf.DUMMYFUNCTION("""COMPUTED_VALUE"""),38022.666666666664)</f>
        <v>38022.66667</v>
      </c>
      <c r="B1534" s="1">
        <f>IFERROR(__xludf.DUMMYFUNCTION("""COMPUTED_VALUE"""),1649.35)</f>
        <v>1649.35</v>
      </c>
    </row>
    <row r="1535">
      <c r="A1535" s="2">
        <f>IFERROR(__xludf.DUMMYFUNCTION("""COMPUTED_VALUE"""),38023.666666666664)</f>
        <v>38023.66667</v>
      </c>
      <c r="B1535" s="1">
        <f>IFERROR(__xludf.DUMMYFUNCTION("""COMPUTED_VALUE"""),1670.14)</f>
        <v>1670.14</v>
      </c>
    </row>
    <row r="1536">
      <c r="A1536" s="2">
        <f>IFERROR(__xludf.DUMMYFUNCTION("""COMPUTED_VALUE"""),38026.666666666664)</f>
        <v>38026.66667</v>
      </c>
      <c r="B1536" s="1">
        <f>IFERROR(__xludf.DUMMYFUNCTION("""COMPUTED_VALUE"""),1666.16)</f>
        <v>1666.16</v>
      </c>
    </row>
    <row r="1537">
      <c r="A1537" s="2">
        <f>IFERROR(__xludf.DUMMYFUNCTION("""COMPUTED_VALUE"""),38027.666666666664)</f>
        <v>38027.66667</v>
      </c>
      <c r="B1537" s="1">
        <f>IFERROR(__xludf.DUMMYFUNCTION("""COMPUTED_VALUE"""),1674.55)</f>
        <v>1674.55</v>
      </c>
    </row>
    <row r="1538">
      <c r="A1538" s="2">
        <f>IFERROR(__xludf.DUMMYFUNCTION("""COMPUTED_VALUE"""),38028.666666666664)</f>
        <v>38028.66667</v>
      </c>
      <c r="B1538" s="1">
        <f>IFERROR(__xludf.DUMMYFUNCTION("""COMPUTED_VALUE"""),1693.03)</f>
        <v>1693.03</v>
      </c>
    </row>
    <row r="1539">
      <c r="A1539" s="2">
        <f>IFERROR(__xludf.DUMMYFUNCTION("""COMPUTED_VALUE"""),38029.666666666664)</f>
        <v>38029.66667</v>
      </c>
      <c r="B1539" s="1">
        <f>IFERROR(__xludf.DUMMYFUNCTION("""COMPUTED_VALUE"""),1684.92)</f>
        <v>1684.92</v>
      </c>
    </row>
    <row r="1540">
      <c r="A1540" s="2">
        <f>IFERROR(__xludf.DUMMYFUNCTION("""COMPUTED_VALUE"""),38030.666666666664)</f>
        <v>38030.66667</v>
      </c>
      <c r="B1540" s="1">
        <f>IFERROR(__xludf.DUMMYFUNCTION("""COMPUTED_VALUE"""),1675.86)</f>
        <v>1675.86</v>
      </c>
    </row>
    <row r="1541">
      <c r="A1541" s="2">
        <f>IFERROR(__xludf.DUMMYFUNCTION("""COMPUTED_VALUE"""),38034.666666666664)</f>
        <v>38034.66667</v>
      </c>
      <c r="B1541" s="1">
        <f>IFERROR(__xludf.DUMMYFUNCTION("""COMPUTED_VALUE"""),1692.22)</f>
        <v>1692.22</v>
      </c>
    </row>
    <row r="1542">
      <c r="A1542" s="2">
        <f>IFERROR(__xludf.DUMMYFUNCTION("""COMPUTED_VALUE"""),38035.666666666664)</f>
        <v>38035.66667</v>
      </c>
      <c r="B1542" s="1">
        <f>IFERROR(__xludf.DUMMYFUNCTION("""COMPUTED_VALUE"""),1684.9)</f>
        <v>1684.9</v>
      </c>
    </row>
    <row r="1543">
      <c r="A1543" s="2">
        <f>IFERROR(__xludf.DUMMYFUNCTION("""COMPUTED_VALUE"""),38036.666666666664)</f>
        <v>38036.66667</v>
      </c>
      <c r="B1543" s="1">
        <f>IFERROR(__xludf.DUMMYFUNCTION("""COMPUTED_VALUE"""),1678.01)</f>
        <v>1678.01</v>
      </c>
    </row>
    <row r="1544">
      <c r="A1544" s="2">
        <f>IFERROR(__xludf.DUMMYFUNCTION("""COMPUTED_VALUE"""),38037.666666666664)</f>
        <v>38037.66667</v>
      </c>
      <c r="B1544" s="1">
        <f>IFERROR(__xludf.DUMMYFUNCTION("""COMPUTED_VALUE"""),1673.71)</f>
        <v>1673.71</v>
      </c>
    </row>
    <row r="1545">
      <c r="A1545" s="2">
        <f>IFERROR(__xludf.DUMMYFUNCTION("""COMPUTED_VALUE"""),38040.666666666664)</f>
        <v>38040.66667</v>
      </c>
      <c r="B1545" s="1">
        <f>IFERROR(__xludf.DUMMYFUNCTION("""COMPUTED_VALUE"""),1669.2)</f>
        <v>1669.2</v>
      </c>
    </row>
    <row r="1546">
      <c r="A1546" s="2">
        <f>IFERROR(__xludf.DUMMYFUNCTION("""COMPUTED_VALUE"""),38041.666666666664)</f>
        <v>38041.66667</v>
      </c>
      <c r="B1546" s="1">
        <f>IFERROR(__xludf.DUMMYFUNCTION("""COMPUTED_VALUE"""),1666.42)</f>
        <v>1666.42</v>
      </c>
    </row>
    <row r="1547">
      <c r="A1547" s="2">
        <f>IFERROR(__xludf.DUMMYFUNCTION("""COMPUTED_VALUE"""),38042.666666666664)</f>
        <v>38042.66667</v>
      </c>
      <c r="B1547" s="1">
        <f>IFERROR(__xludf.DUMMYFUNCTION("""COMPUTED_VALUE"""),1673.34)</f>
        <v>1673.34</v>
      </c>
    </row>
    <row r="1548">
      <c r="A1548" s="2">
        <f>IFERROR(__xludf.DUMMYFUNCTION("""COMPUTED_VALUE"""),38043.666666666664)</f>
        <v>38043.66667</v>
      </c>
      <c r="B1548" s="1">
        <f>IFERROR(__xludf.DUMMYFUNCTION("""COMPUTED_VALUE"""),1675.63)</f>
        <v>1675.63</v>
      </c>
    </row>
    <row r="1549">
      <c r="A1549" s="2">
        <f>IFERROR(__xludf.DUMMYFUNCTION("""COMPUTED_VALUE"""),38044.666666666664)</f>
        <v>38044.66667</v>
      </c>
      <c r="B1549" s="1">
        <f>IFERROR(__xludf.DUMMYFUNCTION("""COMPUTED_VALUE"""),1675.7)</f>
        <v>1675.7</v>
      </c>
    </row>
    <row r="1550">
      <c r="A1550" s="2">
        <f>IFERROR(__xludf.DUMMYFUNCTION("""COMPUTED_VALUE"""),38047.666666666664)</f>
        <v>38047.66667</v>
      </c>
      <c r="B1550" s="1">
        <f>IFERROR(__xludf.DUMMYFUNCTION("""COMPUTED_VALUE"""),1691.9)</f>
        <v>1691.9</v>
      </c>
    </row>
    <row r="1551">
      <c r="A1551" s="2">
        <f>IFERROR(__xludf.DUMMYFUNCTION("""COMPUTED_VALUE"""),38048.666666666664)</f>
        <v>38048.66667</v>
      </c>
      <c r="B1551" s="1">
        <f>IFERROR(__xludf.DUMMYFUNCTION("""COMPUTED_VALUE"""),1681.88)</f>
        <v>1681.88</v>
      </c>
    </row>
    <row r="1552">
      <c r="A1552" s="2">
        <f>IFERROR(__xludf.DUMMYFUNCTION("""COMPUTED_VALUE"""),38049.666666666664)</f>
        <v>38049.66667</v>
      </c>
      <c r="B1552" s="1">
        <f>IFERROR(__xludf.DUMMYFUNCTION("""COMPUTED_VALUE"""),1685.17)</f>
        <v>1685.17</v>
      </c>
    </row>
    <row r="1553">
      <c r="A1553" s="2">
        <f>IFERROR(__xludf.DUMMYFUNCTION("""COMPUTED_VALUE"""),38050.666666666664)</f>
        <v>38050.66667</v>
      </c>
      <c r="B1553" s="1">
        <f>IFERROR(__xludf.DUMMYFUNCTION("""COMPUTED_VALUE"""),1690.83)</f>
        <v>1690.83</v>
      </c>
    </row>
    <row r="1554">
      <c r="A1554" s="2">
        <f>IFERROR(__xludf.DUMMYFUNCTION("""COMPUTED_VALUE"""),38051.666666666664)</f>
        <v>38051.66667</v>
      </c>
      <c r="B1554" s="1">
        <f>IFERROR(__xludf.DUMMYFUNCTION("""COMPUTED_VALUE"""),1693.76)</f>
        <v>1693.76</v>
      </c>
    </row>
    <row r="1555">
      <c r="A1555" s="2">
        <f>IFERROR(__xludf.DUMMYFUNCTION("""COMPUTED_VALUE"""),38054.666666666664)</f>
        <v>38054.66667</v>
      </c>
      <c r="B1555" s="1">
        <f>IFERROR(__xludf.DUMMYFUNCTION("""COMPUTED_VALUE"""),1679.74)</f>
        <v>1679.74</v>
      </c>
    </row>
    <row r="1556">
      <c r="A1556" s="2">
        <f>IFERROR(__xludf.DUMMYFUNCTION("""COMPUTED_VALUE"""),38055.666666666664)</f>
        <v>38055.66667</v>
      </c>
      <c r="B1556" s="1">
        <f>IFERROR(__xludf.DUMMYFUNCTION("""COMPUTED_VALUE"""),1670.07)</f>
        <v>1670.07</v>
      </c>
    </row>
    <row r="1557">
      <c r="A1557" s="2">
        <f>IFERROR(__xludf.DUMMYFUNCTION("""COMPUTED_VALUE"""),38056.666666666664)</f>
        <v>38056.66667</v>
      </c>
      <c r="B1557" s="1">
        <f>IFERROR(__xludf.DUMMYFUNCTION("""COMPUTED_VALUE"""),1645.79)</f>
        <v>1645.79</v>
      </c>
    </row>
    <row r="1558">
      <c r="A1558" s="2">
        <f>IFERROR(__xludf.DUMMYFUNCTION("""COMPUTED_VALUE"""),38057.666666666664)</f>
        <v>38057.66667</v>
      </c>
      <c r="B1558" s="1">
        <f>IFERROR(__xludf.DUMMYFUNCTION("""COMPUTED_VALUE"""),1621.22)</f>
        <v>1621.22</v>
      </c>
    </row>
    <row r="1559">
      <c r="A1559" s="2">
        <f>IFERROR(__xludf.DUMMYFUNCTION("""COMPUTED_VALUE"""),38058.666666666664)</f>
        <v>38058.66667</v>
      </c>
      <c r="B1559" s="1">
        <f>IFERROR(__xludf.DUMMYFUNCTION("""COMPUTED_VALUE"""),1641.42)</f>
        <v>1641.42</v>
      </c>
    </row>
    <row r="1560">
      <c r="A1560" s="2">
        <f>IFERROR(__xludf.DUMMYFUNCTION("""COMPUTED_VALUE"""),38061.666666666664)</f>
        <v>38061.66667</v>
      </c>
      <c r="B1560" s="1">
        <f>IFERROR(__xludf.DUMMYFUNCTION("""COMPUTED_VALUE"""),1617.91)</f>
        <v>1617.91</v>
      </c>
    </row>
    <row r="1561">
      <c r="A1561" s="2">
        <f>IFERROR(__xludf.DUMMYFUNCTION("""COMPUTED_VALUE"""),38062.666666666664)</f>
        <v>38062.66667</v>
      </c>
      <c r="B1561" s="1">
        <f>IFERROR(__xludf.DUMMYFUNCTION("""COMPUTED_VALUE"""),1627.03)</f>
        <v>1627.03</v>
      </c>
    </row>
    <row r="1562">
      <c r="A1562" s="2">
        <f>IFERROR(__xludf.DUMMYFUNCTION("""COMPUTED_VALUE"""),38063.666666666664)</f>
        <v>38063.66667</v>
      </c>
      <c r="B1562" s="1">
        <f>IFERROR(__xludf.DUMMYFUNCTION("""COMPUTED_VALUE"""),1646.29)</f>
        <v>1646.29</v>
      </c>
    </row>
    <row r="1563">
      <c r="A1563" s="2">
        <f>IFERROR(__xludf.DUMMYFUNCTION("""COMPUTED_VALUE"""),38064.666666666664)</f>
        <v>38064.66667</v>
      </c>
      <c r="B1563" s="1">
        <f>IFERROR(__xludf.DUMMYFUNCTION("""COMPUTED_VALUE"""),1644.21)</f>
        <v>1644.21</v>
      </c>
    </row>
    <row r="1564">
      <c r="A1564" s="2">
        <f>IFERROR(__xludf.DUMMYFUNCTION("""COMPUTED_VALUE"""),38065.666666666664)</f>
        <v>38065.66667</v>
      </c>
      <c r="B1564" s="1">
        <f>IFERROR(__xludf.DUMMYFUNCTION("""COMPUTED_VALUE"""),1625.84)</f>
        <v>1625.84</v>
      </c>
    </row>
    <row r="1565">
      <c r="A1565" s="2">
        <f>IFERROR(__xludf.DUMMYFUNCTION("""COMPUTED_VALUE"""),38068.666666666664)</f>
        <v>38068.66667</v>
      </c>
      <c r="B1565" s="1">
        <f>IFERROR(__xludf.DUMMYFUNCTION("""COMPUTED_VALUE"""),1604.8)</f>
        <v>1604.8</v>
      </c>
    </row>
    <row r="1566">
      <c r="A1566" s="2">
        <f>IFERROR(__xludf.DUMMYFUNCTION("""COMPUTED_VALUE"""),38069.666666666664)</f>
        <v>38069.66667</v>
      </c>
      <c r="B1566" s="1">
        <f>IFERROR(__xludf.DUMMYFUNCTION("""COMPUTED_VALUE"""),1602.67)</f>
        <v>1602.67</v>
      </c>
    </row>
    <row r="1567">
      <c r="A1567" s="2">
        <f>IFERROR(__xludf.DUMMYFUNCTION("""COMPUTED_VALUE"""),38070.666666666664)</f>
        <v>38070.66667</v>
      </c>
      <c r="B1567" s="1">
        <f>IFERROR(__xludf.DUMMYFUNCTION("""COMPUTED_VALUE"""),1598.85)</f>
        <v>1598.85</v>
      </c>
    </row>
    <row r="1568">
      <c r="A1568" s="2">
        <f>IFERROR(__xludf.DUMMYFUNCTION("""COMPUTED_VALUE"""),38071.666666666664)</f>
        <v>38071.66667</v>
      </c>
      <c r="B1568" s="1">
        <f>IFERROR(__xludf.DUMMYFUNCTION("""COMPUTED_VALUE"""),1625.01)</f>
        <v>1625.01</v>
      </c>
    </row>
    <row r="1569">
      <c r="A1569" s="2">
        <f>IFERROR(__xludf.DUMMYFUNCTION("""COMPUTED_VALUE"""),38072.666666666664)</f>
        <v>38072.66667</v>
      </c>
      <c r="B1569" s="1">
        <f>IFERROR(__xludf.DUMMYFUNCTION("""COMPUTED_VALUE"""),1623.36)</f>
        <v>1623.36</v>
      </c>
    </row>
    <row r="1570">
      <c r="A1570" s="2">
        <f>IFERROR(__xludf.DUMMYFUNCTION("""COMPUTED_VALUE"""),38075.666666666664)</f>
        <v>38075.66667</v>
      </c>
      <c r="B1570" s="1">
        <f>IFERROR(__xludf.DUMMYFUNCTION("""COMPUTED_VALUE"""),1644.75)</f>
        <v>1644.75</v>
      </c>
    </row>
    <row r="1571">
      <c r="A1571" s="2">
        <f>IFERROR(__xludf.DUMMYFUNCTION("""COMPUTED_VALUE"""),38076.666666666664)</f>
        <v>38076.66667</v>
      </c>
      <c r="B1571" s="1">
        <f>IFERROR(__xludf.DUMMYFUNCTION("""COMPUTED_VALUE"""),1651.43)</f>
        <v>1651.43</v>
      </c>
    </row>
    <row r="1572">
      <c r="A1572" s="2">
        <f>IFERROR(__xludf.DUMMYFUNCTION("""COMPUTED_VALUE"""),38077.666666666664)</f>
        <v>38077.66667</v>
      </c>
      <c r="B1572" s="1">
        <f>IFERROR(__xludf.DUMMYFUNCTION("""COMPUTED_VALUE"""),1650.42)</f>
        <v>1650.42</v>
      </c>
    </row>
    <row r="1573">
      <c r="A1573" s="2">
        <f>IFERROR(__xludf.DUMMYFUNCTION("""COMPUTED_VALUE"""),38078.666666666664)</f>
        <v>38078.66667</v>
      </c>
      <c r="B1573" s="1">
        <f>IFERROR(__xludf.DUMMYFUNCTION("""COMPUTED_VALUE"""),1659.17)</f>
        <v>1659.17</v>
      </c>
    </row>
    <row r="1574">
      <c r="A1574" s="2">
        <f>IFERROR(__xludf.DUMMYFUNCTION("""COMPUTED_VALUE"""),38079.666666666664)</f>
        <v>38079.66667</v>
      </c>
      <c r="B1574" s="1">
        <f>IFERROR(__xludf.DUMMYFUNCTION("""COMPUTED_VALUE"""),1673.41)</f>
        <v>1673.41</v>
      </c>
    </row>
    <row r="1575">
      <c r="A1575" s="2">
        <f>IFERROR(__xludf.DUMMYFUNCTION("""COMPUTED_VALUE"""),38082.666666666664)</f>
        <v>38082.66667</v>
      </c>
      <c r="B1575" s="1">
        <f>IFERROR(__xludf.DUMMYFUNCTION("""COMPUTED_VALUE"""),1686.24)</f>
        <v>1686.24</v>
      </c>
    </row>
    <row r="1576">
      <c r="A1576" s="2">
        <f>IFERROR(__xludf.DUMMYFUNCTION("""COMPUTED_VALUE"""),38083.666666666664)</f>
        <v>38083.66667</v>
      </c>
      <c r="B1576" s="1">
        <f>IFERROR(__xludf.DUMMYFUNCTION("""COMPUTED_VALUE"""),1683.23)</f>
        <v>1683.23</v>
      </c>
    </row>
    <row r="1577">
      <c r="A1577" s="2">
        <f>IFERROR(__xludf.DUMMYFUNCTION("""COMPUTED_VALUE"""),38084.666666666664)</f>
        <v>38084.66667</v>
      </c>
      <c r="B1577" s="1">
        <f>IFERROR(__xludf.DUMMYFUNCTION("""COMPUTED_VALUE"""),1672.14)</f>
        <v>1672.14</v>
      </c>
    </row>
    <row r="1578">
      <c r="A1578" s="2">
        <f>IFERROR(__xludf.DUMMYFUNCTION("""COMPUTED_VALUE"""),38085.666666666664)</f>
        <v>38085.66667</v>
      </c>
      <c r="B1578" s="1">
        <f>IFERROR(__xludf.DUMMYFUNCTION("""COMPUTED_VALUE"""),1670.36)</f>
        <v>1670.36</v>
      </c>
    </row>
    <row r="1579">
      <c r="A1579" s="2">
        <f>IFERROR(__xludf.DUMMYFUNCTION("""COMPUTED_VALUE"""),38089.666666666664)</f>
        <v>38089.66667</v>
      </c>
      <c r="B1579" s="1">
        <f>IFERROR(__xludf.DUMMYFUNCTION("""COMPUTED_VALUE"""),1679.02)</f>
        <v>1679.02</v>
      </c>
    </row>
    <row r="1580">
      <c r="A1580" s="2">
        <f>IFERROR(__xludf.DUMMYFUNCTION("""COMPUTED_VALUE"""),38090.666666666664)</f>
        <v>38090.66667</v>
      </c>
      <c r="B1580" s="1">
        <f>IFERROR(__xludf.DUMMYFUNCTION("""COMPUTED_VALUE"""),1655.99)</f>
        <v>1655.99</v>
      </c>
    </row>
    <row r="1581">
      <c r="A1581" s="2">
        <f>IFERROR(__xludf.DUMMYFUNCTION("""COMPUTED_VALUE"""),38091.666666666664)</f>
        <v>38091.66667</v>
      </c>
      <c r="B1581" s="1">
        <f>IFERROR(__xludf.DUMMYFUNCTION("""COMPUTED_VALUE"""),1654.17)</f>
        <v>1654.17</v>
      </c>
    </row>
    <row r="1582">
      <c r="A1582" s="2">
        <f>IFERROR(__xludf.DUMMYFUNCTION("""COMPUTED_VALUE"""),38092.666666666664)</f>
        <v>38092.66667</v>
      </c>
      <c r="B1582" s="1">
        <f>IFERROR(__xludf.DUMMYFUNCTION("""COMPUTED_VALUE"""),1655.15)</f>
        <v>1655.15</v>
      </c>
    </row>
    <row r="1583">
      <c r="A1583" s="2">
        <f>IFERROR(__xludf.DUMMYFUNCTION("""COMPUTED_VALUE"""),38093.666666666664)</f>
        <v>38093.66667</v>
      </c>
      <c r="B1583" s="1">
        <f>IFERROR(__xludf.DUMMYFUNCTION("""COMPUTED_VALUE"""),1663.62)</f>
        <v>1663.62</v>
      </c>
    </row>
    <row r="1584">
      <c r="A1584" s="2">
        <f>IFERROR(__xludf.DUMMYFUNCTION("""COMPUTED_VALUE"""),38096.666666666664)</f>
        <v>38096.66667</v>
      </c>
      <c r="B1584" s="1">
        <f>IFERROR(__xludf.DUMMYFUNCTION("""COMPUTED_VALUE"""),1665.4)</f>
        <v>1665.4</v>
      </c>
    </row>
    <row r="1585">
      <c r="A1585" s="2">
        <f>IFERROR(__xludf.DUMMYFUNCTION("""COMPUTED_VALUE"""),38097.666666666664)</f>
        <v>38097.66667</v>
      </c>
      <c r="B1585" s="1">
        <f>IFERROR(__xludf.DUMMYFUNCTION("""COMPUTED_VALUE"""),1639.49)</f>
        <v>1639.49</v>
      </c>
    </row>
    <row r="1586">
      <c r="A1586" s="2">
        <f>IFERROR(__xludf.DUMMYFUNCTION("""COMPUTED_VALUE"""),38098.666666666664)</f>
        <v>38098.66667</v>
      </c>
      <c r="B1586" s="1">
        <f>IFERROR(__xludf.DUMMYFUNCTION("""COMPUTED_VALUE"""),1648.32)</f>
        <v>1648.32</v>
      </c>
    </row>
    <row r="1587">
      <c r="A1587" s="2">
        <f>IFERROR(__xludf.DUMMYFUNCTION("""COMPUTED_VALUE"""),38099.666666666664)</f>
        <v>38099.66667</v>
      </c>
      <c r="B1587" s="1">
        <f>IFERROR(__xludf.DUMMYFUNCTION("""COMPUTED_VALUE"""),1671.63)</f>
        <v>1671.63</v>
      </c>
    </row>
    <row r="1588">
      <c r="A1588" s="2">
        <f>IFERROR(__xludf.DUMMYFUNCTION("""COMPUTED_VALUE"""),38100.666666666664)</f>
        <v>38100.66667</v>
      </c>
      <c r="B1588" s="1">
        <f>IFERROR(__xludf.DUMMYFUNCTION("""COMPUTED_VALUE"""),1672.62)</f>
        <v>1672.62</v>
      </c>
    </row>
    <row r="1589">
      <c r="A1589" s="2">
        <f>IFERROR(__xludf.DUMMYFUNCTION("""COMPUTED_VALUE"""),38103.666666666664)</f>
        <v>38103.66667</v>
      </c>
      <c r="B1589" s="1">
        <f>IFERROR(__xludf.DUMMYFUNCTION("""COMPUTED_VALUE"""),1665.2)</f>
        <v>1665.2</v>
      </c>
    </row>
    <row r="1590">
      <c r="A1590" s="2">
        <f>IFERROR(__xludf.DUMMYFUNCTION("""COMPUTED_VALUE"""),38104.666666666664)</f>
        <v>38104.66667</v>
      </c>
      <c r="B1590" s="1">
        <f>IFERROR(__xludf.DUMMYFUNCTION("""COMPUTED_VALUE"""),1668.99)</f>
        <v>1668.99</v>
      </c>
    </row>
    <row r="1591">
      <c r="A1591" s="2">
        <f>IFERROR(__xludf.DUMMYFUNCTION("""COMPUTED_VALUE"""),38105.666666666664)</f>
        <v>38105.66667</v>
      </c>
      <c r="B1591" s="1">
        <f>IFERROR(__xludf.DUMMYFUNCTION("""COMPUTED_VALUE"""),1646.2)</f>
        <v>1646.2</v>
      </c>
    </row>
    <row r="1592">
      <c r="A1592" s="2">
        <f>IFERROR(__xludf.DUMMYFUNCTION("""COMPUTED_VALUE"""),38106.666666666664)</f>
        <v>38106.66667</v>
      </c>
      <c r="B1592" s="1">
        <f>IFERROR(__xludf.DUMMYFUNCTION("""COMPUTED_VALUE"""),1634.16)</f>
        <v>1634.16</v>
      </c>
    </row>
    <row r="1593">
      <c r="A1593" s="2">
        <f>IFERROR(__xludf.DUMMYFUNCTION("""COMPUTED_VALUE"""),38107.666666666664)</f>
        <v>38107.66667</v>
      </c>
      <c r="B1593" s="1">
        <f>IFERROR(__xludf.DUMMYFUNCTION("""COMPUTED_VALUE"""),1624.51)</f>
        <v>1624.51</v>
      </c>
    </row>
    <row r="1594">
      <c r="A1594" s="2">
        <f>IFERROR(__xludf.DUMMYFUNCTION("""COMPUTED_VALUE"""),38110.666666666664)</f>
        <v>38110.66667</v>
      </c>
      <c r="B1594" s="1">
        <f>IFERROR(__xludf.DUMMYFUNCTION("""COMPUTED_VALUE"""),1639.46)</f>
        <v>1639.46</v>
      </c>
    </row>
    <row r="1595">
      <c r="A1595" s="2">
        <f>IFERROR(__xludf.DUMMYFUNCTION("""COMPUTED_VALUE"""),38111.666666666664)</f>
        <v>38111.66667</v>
      </c>
      <c r="B1595" s="1">
        <f>IFERROR(__xludf.DUMMYFUNCTION("""COMPUTED_VALUE"""),1642.5)</f>
        <v>1642.5</v>
      </c>
    </row>
    <row r="1596">
      <c r="A1596" s="2">
        <f>IFERROR(__xludf.DUMMYFUNCTION("""COMPUTED_VALUE"""),38112.666666666664)</f>
        <v>38112.66667</v>
      </c>
      <c r="B1596" s="1">
        <f>IFERROR(__xludf.DUMMYFUNCTION("""COMPUTED_VALUE"""),1645.65)</f>
        <v>1645.65</v>
      </c>
    </row>
    <row r="1597">
      <c r="A1597" s="2">
        <f>IFERROR(__xludf.DUMMYFUNCTION("""COMPUTED_VALUE"""),38113.666666666664)</f>
        <v>38113.66667</v>
      </c>
      <c r="B1597" s="1">
        <f>IFERROR(__xludf.DUMMYFUNCTION("""COMPUTED_VALUE"""),1634.75)</f>
        <v>1634.75</v>
      </c>
    </row>
    <row r="1598">
      <c r="A1598" s="2">
        <f>IFERROR(__xludf.DUMMYFUNCTION("""COMPUTED_VALUE"""),38114.666666666664)</f>
        <v>38114.66667</v>
      </c>
      <c r="B1598" s="1">
        <f>IFERROR(__xludf.DUMMYFUNCTION("""COMPUTED_VALUE"""),1612.31)</f>
        <v>1612.31</v>
      </c>
    </row>
    <row r="1599">
      <c r="A1599" s="2">
        <f>IFERROR(__xludf.DUMMYFUNCTION("""COMPUTED_VALUE"""),38117.666666666664)</f>
        <v>38117.66667</v>
      </c>
      <c r="B1599" s="1">
        <f>IFERROR(__xludf.DUMMYFUNCTION("""COMPUTED_VALUE"""),1595.38)</f>
        <v>1595.38</v>
      </c>
    </row>
    <row r="1600">
      <c r="A1600" s="2">
        <f>IFERROR(__xludf.DUMMYFUNCTION("""COMPUTED_VALUE"""),38118.666666666664)</f>
        <v>38118.66667</v>
      </c>
      <c r="B1600" s="1">
        <f>IFERROR(__xludf.DUMMYFUNCTION("""COMPUTED_VALUE"""),1607.94)</f>
        <v>1607.94</v>
      </c>
    </row>
    <row r="1601">
      <c r="A1601" s="2">
        <f>IFERROR(__xludf.DUMMYFUNCTION("""COMPUTED_VALUE"""),38119.666666666664)</f>
        <v>38119.66667</v>
      </c>
      <c r="B1601" s="1">
        <f>IFERROR(__xludf.DUMMYFUNCTION("""COMPUTED_VALUE"""),1611.15)</f>
        <v>1611.15</v>
      </c>
    </row>
    <row r="1602">
      <c r="A1602" s="2">
        <f>IFERROR(__xludf.DUMMYFUNCTION("""COMPUTED_VALUE"""),38120.666666666664)</f>
        <v>38120.66667</v>
      </c>
      <c r="B1602" s="1">
        <f>IFERROR(__xludf.DUMMYFUNCTION("""COMPUTED_VALUE"""),1610.05)</f>
        <v>1610.05</v>
      </c>
    </row>
    <row r="1603">
      <c r="A1603" s="2">
        <f>IFERROR(__xludf.DUMMYFUNCTION("""COMPUTED_VALUE"""),38121.666666666664)</f>
        <v>38121.66667</v>
      </c>
      <c r="B1603" s="1">
        <f>IFERROR(__xludf.DUMMYFUNCTION("""COMPUTED_VALUE"""),1609.12)</f>
        <v>1609.12</v>
      </c>
    </row>
    <row r="1604">
      <c r="A1604" s="2">
        <f>IFERROR(__xludf.DUMMYFUNCTION("""COMPUTED_VALUE"""),38124.666666666664)</f>
        <v>38124.66667</v>
      </c>
      <c r="B1604" s="1">
        <f>IFERROR(__xludf.DUMMYFUNCTION("""COMPUTED_VALUE"""),1592.23)</f>
        <v>1592.23</v>
      </c>
    </row>
    <row r="1605">
      <c r="A1605" s="2">
        <f>IFERROR(__xludf.DUMMYFUNCTION("""COMPUTED_VALUE"""),38125.666666666664)</f>
        <v>38125.66667</v>
      </c>
      <c r="B1605" s="1">
        <f>IFERROR(__xludf.DUMMYFUNCTION("""COMPUTED_VALUE"""),1603.14)</f>
        <v>1603.14</v>
      </c>
    </row>
    <row r="1606">
      <c r="A1606" s="2">
        <f>IFERROR(__xludf.DUMMYFUNCTION("""COMPUTED_VALUE"""),38126.666666666664)</f>
        <v>38126.66667</v>
      </c>
      <c r="B1606" s="1">
        <f>IFERROR(__xludf.DUMMYFUNCTION("""COMPUTED_VALUE"""),1599.29)</f>
        <v>1599.29</v>
      </c>
    </row>
    <row r="1607">
      <c r="A1607" s="2">
        <f>IFERROR(__xludf.DUMMYFUNCTION("""COMPUTED_VALUE"""),38127.666666666664)</f>
        <v>38127.66667</v>
      </c>
      <c r="B1607" s="1">
        <f>IFERROR(__xludf.DUMMYFUNCTION("""COMPUTED_VALUE"""),1600.06)</f>
        <v>1600.06</v>
      </c>
    </row>
    <row r="1608">
      <c r="A1608" s="2">
        <f>IFERROR(__xludf.DUMMYFUNCTION("""COMPUTED_VALUE"""),38128.666666666664)</f>
        <v>38128.66667</v>
      </c>
      <c r="B1608" s="1">
        <f>IFERROR(__xludf.DUMMYFUNCTION("""COMPUTED_VALUE"""),1606.49)</f>
        <v>1606.49</v>
      </c>
    </row>
    <row r="1609">
      <c r="A1609" s="2">
        <f>IFERROR(__xludf.DUMMYFUNCTION("""COMPUTED_VALUE"""),38131.666666666664)</f>
        <v>38131.66667</v>
      </c>
      <c r="B1609" s="1">
        <f>IFERROR(__xludf.DUMMYFUNCTION("""COMPUTED_VALUE"""),1609.22)</f>
        <v>1609.22</v>
      </c>
    </row>
    <row r="1610">
      <c r="A1610" s="2">
        <f>IFERROR(__xludf.DUMMYFUNCTION("""COMPUTED_VALUE"""),38132.666666666664)</f>
        <v>38132.66667</v>
      </c>
      <c r="B1610" s="1">
        <f>IFERROR(__xludf.DUMMYFUNCTION("""COMPUTED_VALUE"""),1635.14)</f>
        <v>1635.14</v>
      </c>
    </row>
    <row r="1611">
      <c r="A1611" s="2">
        <f>IFERROR(__xludf.DUMMYFUNCTION("""COMPUTED_VALUE"""),38133.666666666664)</f>
        <v>38133.66667</v>
      </c>
      <c r="B1611" s="1">
        <f>IFERROR(__xludf.DUMMYFUNCTION("""COMPUTED_VALUE"""),1638.16)</f>
        <v>1638.16</v>
      </c>
    </row>
    <row r="1612">
      <c r="A1612" s="2">
        <f>IFERROR(__xludf.DUMMYFUNCTION("""COMPUTED_VALUE"""),38134.666666666664)</f>
        <v>38134.66667</v>
      </c>
      <c r="B1612" s="1">
        <f>IFERROR(__xludf.DUMMYFUNCTION("""COMPUTED_VALUE"""),1647.65)</f>
        <v>1647.65</v>
      </c>
    </row>
    <row r="1613">
      <c r="A1613" s="2">
        <f>IFERROR(__xludf.DUMMYFUNCTION("""COMPUTED_VALUE"""),38135.666666666664)</f>
        <v>38135.66667</v>
      </c>
      <c r="B1613" s="1">
        <f>IFERROR(__xludf.DUMMYFUNCTION("""COMPUTED_VALUE"""),1646.8)</f>
        <v>1646.8</v>
      </c>
    </row>
    <row r="1614">
      <c r="A1614" s="2">
        <f>IFERROR(__xludf.DUMMYFUNCTION("""COMPUTED_VALUE"""),38139.666666666664)</f>
        <v>38139.66667</v>
      </c>
      <c r="B1614" s="1">
        <f>IFERROR(__xludf.DUMMYFUNCTION("""COMPUTED_VALUE"""),1647.57)</f>
        <v>1647.57</v>
      </c>
    </row>
    <row r="1615">
      <c r="A1615" s="2">
        <f>IFERROR(__xludf.DUMMYFUNCTION("""COMPUTED_VALUE"""),38140.666666666664)</f>
        <v>38140.66667</v>
      </c>
      <c r="B1615" s="1">
        <f>IFERROR(__xludf.DUMMYFUNCTION("""COMPUTED_VALUE"""),1653.67)</f>
        <v>1653.67</v>
      </c>
    </row>
    <row r="1616">
      <c r="A1616" s="2">
        <f>IFERROR(__xludf.DUMMYFUNCTION("""COMPUTED_VALUE"""),38141.666666666664)</f>
        <v>38141.66667</v>
      </c>
      <c r="B1616" s="1">
        <f>IFERROR(__xludf.DUMMYFUNCTION("""COMPUTED_VALUE"""),1641.43)</f>
        <v>1641.43</v>
      </c>
    </row>
    <row r="1617">
      <c r="A1617" s="2">
        <f>IFERROR(__xludf.DUMMYFUNCTION("""COMPUTED_VALUE"""),38142.666666666664)</f>
        <v>38142.66667</v>
      </c>
      <c r="B1617" s="1">
        <f>IFERROR(__xludf.DUMMYFUNCTION("""COMPUTED_VALUE"""),1650.08)</f>
        <v>1650.08</v>
      </c>
    </row>
    <row r="1618">
      <c r="A1618" s="2">
        <f>IFERROR(__xludf.DUMMYFUNCTION("""COMPUTED_VALUE"""),38145.666666666664)</f>
        <v>38145.66667</v>
      </c>
      <c r="B1618" s="1">
        <f>IFERROR(__xludf.DUMMYFUNCTION("""COMPUTED_VALUE"""),1676.48)</f>
        <v>1676.48</v>
      </c>
    </row>
    <row r="1619">
      <c r="A1619" s="2">
        <f>IFERROR(__xludf.DUMMYFUNCTION("""COMPUTED_VALUE"""),38146.666666666664)</f>
        <v>38146.66667</v>
      </c>
      <c r="B1619" s="1">
        <f>IFERROR(__xludf.DUMMYFUNCTION("""COMPUTED_VALUE"""),1679.21)</f>
        <v>1679.21</v>
      </c>
    </row>
    <row r="1620">
      <c r="A1620" s="2">
        <f>IFERROR(__xludf.DUMMYFUNCTION("""COMPUTED_VALUE"""),38147.666666666664)</f>
        <v>38147.66667</v>
      </c>
      <c r="B1620" s="1">
        <f>IFERROR(__xludf.DUMMYFUNCTION("""COMPUTED_VALUE"""),1663.38)</f>
        <v>1663.38</v>
      </c>
    </row>
    <row r="1621">
      <c r="A1621" s="2">
        <f>IFERROR(__xludf.DUMMYFUNCTION("""COMPUTED_VALUE"""),38148.666666666664)</f>
        <v>38148.66667</v>
      </c>
      <c r="B1621" s="1">
        <f>IFERROR(__xludf.DUMMYFUNCTION("""COMPUTED_VALUE"""),1671.02)</f>
        <v>1671.02</v>
      </c>
    </row>
    <row r="1622">
      <c r="A1622" s="2">
        <f>IFERROR(__xludf.DUMMYFUNCTION("""COMPUTED_VALUE"""),38152.666666666664)</f>
        <v>38152.66667</v>
      </c>
      <c r="B1622" s="1">
        <f>IFERROR(__xludf.DUMMYFUNCTION("""COMPUTED_VALUE"""),1655.0)</f>
        <v>1655</v>
      </c>
    </row>
    <row r="1623">
      <c r="A1623" s="2">
        <f>IFERROR(__xludf.DUMMYFUNCTION("""COMPUTED_VALUE"""),38153.666666666664)</f>
        <v>38153.66667</v>
      </c>
      <c r="B1623" s="1">
        <f>IFERROR(__xludf.DUMMYFUNCTION("""COMPUTED_VALUE"""),1664.92)</f>
        <v>1664.92</v>
      </c>
    </row>
    <row r="1624">
      <c r="A1624" s="2">
        <f>IFERROR(__xludf.DUMMYFUNCTION("""COMPUTED_VALUE"""),38154.666666666664)</f>
        <v>38154.66667</v>
      </c>
      <c r="B1624" s="1">
        <f>IFERROR(__xludf.DUMMYFUNCTION("""COMPUTED_VALUE"""),1667.23)</f>
        <v>1667.23</v>
      </c>
    </row>
    <row r="1625">
      <c r="A1625" s="2">
        <f>IFERROR(__xludf.DUMMYFUNCTION("""COMPUTED_VALUE"""),38155.666666666664)</f>
        <v>38155.66667</v>
      </c>
      <c r="B1625" s="1">
        <f>IFERROR(__xludf.DUMMYFUNCTION("""COMPUTED_VALUE"""),1665.02)</f>
        <v>1665.02</v>
      </c>
    </row>
    <row r="1626">
      <c r="A1626" s="2">
        <f>IFERROR(__xludf.DUMMYFUNCTION("""COMPUTED_VALUE"""),38156.666666666664)</f>
        <v>38156.66667</v>
      </c>
      <c r="B1626" s="1">
        <f>IFERROR(__xludf.DUMMYFUNCTION("""COMPUTED_VALUE"""),1669.39)</f>
        <v>1669.39</v>
      </c>
    </row>
    <row r="1627">
      <c r="A1627" s="2">
        <f>IFERROR(__xludf.DUMMYFUNCTION("""COMPUTED_VALUE"""),38159.666666666664)</f>
        <v>38159.66667</v>
      </c>
      <c r="B1627" s="1">
        <f>IFERROR(__xludf.DUMMYFUNCTION("""COMPUTED_VALUE"""),1662.46)</f>
        <v>1662.46</v>
      </c>
    </row>
    <row r="1628">
      <c r="A1628" s="2">
        <f>IFERROR(__xludf.DUMMYFUNCTION("""COMPUTED_VALUE"""),38160.666666666664)</f>
        <v>38160.66667</v>
      </c>
      <c r="B1628" s="1">
        <f>IFERROR(__xludf.DUMMYFUNCTION("""COMPUTED_VALUE"""),1668.55)</f>
        <v>1668.55</v>
      </c>
    </row>
    <row r="1629">
      <c r="A1629" s="2">
        <f>IFERROR(__xludf.DUMMYFUNCTION("""COMPUTED_VALUE"""),38161.666666666664)</f>
        <v>38161.66667</v>
      </c>
      <c r="B1629" s="1">
        <f>IFERROR(__xludf.DUMMYFUNCTION("""COMPUTED_VALUE"""),1682.75)</f>
        <v>1682.75</v>
      </c>
    </row>
    <row r="1630">
      <c r="A1630" s="2">
        <f>IFERROR(__xludf.DUMMYFUNCTION("""COMPUTED_VALUE"""),38162.666666666664)</f>
        <v>38162.66667</v>
      </c>
      <c r="B1630" s="1">
        <f>IFERROR(__xludf.DUMMYFUNCTION("""COMPUTED_VALUE"""),1678.07)</f>
        <v>1678.07</v>
      </c>
    </row>
    <row r="1631">
      <c r="A1631" s="2">
        <f>IFERROR(__xludf.DUMMYFUNCTION("""COMPUTED_VALUE"""),38163.666666666664)</f>
        <v>38163.66667</v>
      </c>
      <c r="B1631" s="1">
        <f>IFERROR(__xludf.DUMMYFUNCTION("""COMPUTED_VALUE"""),1668.93)</f>
        <v>1668.93</v>
      </c>
    </row>
    <row r="1632">
      <c r="A1632" s="2">
        <f>IFERROR(__xludf.DUMMYFUNCTION("""COMPUTED_VALUE"""),38166.666666666664)</f>
        <v>38166.66667</v>
      </c>
      <c r="B1632" s="1">
        <f>IFERROR(__xludf.DUMMYFUNCTION("""COMPUTED_VALUE"""),1667.61)</f>
        <v>1667.61</v>
      </c>
    </row>
    <row r="1633">
      <c r="A1633" s="2">
        <f>IFERROR(__xludf.DUMMYFUNCTION("""COMPUTED_VALUE"""),38167.666666666664)</f>
        <v>38167.66667</v>
      </c>
      <c r="B1633" s="1">
        <f>IFERROR(__xludf.DUMMYFUNCTION("""COMPUTED_VALUE"""),1671.84)</f>
        <v>1671.84</v>
      </c>
    </row>
    <row r="1634">
      <c r="A1634" s="2">
        <f>IFERROR(__xludf.DUMMYFUNCTION("""COMPUTED_VALUE"""),38168.666666666664)</f>
        <v>38168.66667</v>
      </c>
      <c r="B1634" s="1">
        <f>IFERROR(__xludf.DUMMYFUNCTION("""COMPUTED_VALUE"""),1678.83)</f>
        <v>1678.83</v>
      </c>
    </row>
    <row r="1635">
      <c r="A1635" s="2">
        <f>IFERROR(__xludf.DUMMYFUNCTION("""COMPUTED_VALUE"""),38169.666666666664)</f>
        <v>38169.66667</v>
      </c>
      <c r="B1635" s="1">
        <f>IFERROR(__xludf.DUMMYFUNCTION("""COMPUTED_VALUE"""),1661.53)</f>
        <v>1661.53</v>
      </c>
    </row>
    <row r="1636">
      <c r="A1636" s="2">
        <f>IFERROR(__xludf.DUMMYFUNCTION("""COMPUTED_VALUE"""),38170.666666666664)</f>
        <v>38170.66667</v>
      </c>
      <c r="B1636" s="1">
        <f>IFERROR(__xludf.DUMMYFUNCTION("""COMPUTED_VALUE"""),1656.33)</f>
        <v>1656.33</v>
      </c>
    </row>
    <row r="1637">
      <c r="A1637" s="2">
        <f>IFERROR(__xludf.DUMMYFUNCTION("""COMPUTED_VALUE"""),38174.666666666664)</f>
        <v>38174.66667</v>
      </c>
      <c r="B1637" s="1">
        <f>IFERROR(__xludf.DUMMYFUNCTION("""COMPUTED_VALUE"""),1642.84)</f>
        <v>1642.84</v>
      </c>
    </row>
    <row r="1638">
      <c r="A1638" s="2">
        <f>IFERROR(__xludf.DUMMYFUNCTION("""COMPUTED_VALUE"""),38175.666666666664)</f>
        <v>38175.66667</v>
      </c>
      <c r="B1638" s="1">
        <f>IFERROR(__xludf.DUMMYFUNCTION("""COMPUTED_VALUE"""),1646.36)</f>
        <v>1646.36</v>
      </c>
    </row>
    <row r="1639">
      <c r="A1639" s="2">
        <f>IFERROR(__xludf.DUMMYFUNCTION("""COMPUTED_VALUE"""),38176.666666666664)</f>
        <v>38176.66667</v>
      </c>
      <c r="B1639" s="1">
        <f>IFERROR(__xludf.DUMMYFUNCTION("""COMPUTED_VALUE"""),1632.89)</f>
        <v>1632.89</v>
      </c>
    </row>
    <row r="1640">
      <c r="A1640" s="2">
        <f>IFERROR(__xludf.DUMMYFUNCTION("""COMPUTED_VALUE"""),38177.666666666664)</f>
        <v>38177.66667</v>
      </c>
      <c r="B1640" s="1">
        <f>IFERROR(__xludf.DUMMYFUNCTION("""COMPUTED_VALUE"""),1638.42)</f>
        <v>1638.42</v>
      </c>
    </row>
    <row r="1641">
      <c r="A1641" s="2">
        <f>IFERROR(__xludf.DUMMYFUNCTION("""COMPUTED_VALUE"""),38180.666666666664)</f>
        <v>38180.66667</v>
      </c>
      <c r="B1641" s="1">
        <f>IFERROR(__xludf.DUMMYFUNCTION("""COMPUTED_VALUE"""),1640.73)</f>
        <v>1640.73</v>
      </c>
    </row>
    <row r="1642">
      <c r="A1642" s="2">
        <f>IFERROR(__xludf.DUMMYFUNCTION("""COMPUTED_VALUE"""),38181.666666666664)</f>
        <v>38181.66667</v>
      </c>
      <c r="B1642" s="1">
        <f>IFERROR(__xludf.DUMMYFUNCTION("""COMPUTED_VALUE"""),1641.97)</f>
        <v>1641.97</v>
      </c>
    </row>
    <row r="1643">
      <c r="A1643" s="2">
        <f>IFERROR(__xludf.DUMMYFUNCTION("""COMPUTED_VALUE"""),38182.666666666664)</f>
        <v>38182.66667</v>
      </c>
      <c r="B1643" s="1">
        <f>IFERROR(__xludf.DUMMYFUNCTION("""COMPUTED_VALUE"""),1636.62)</f>
        <v>1636.62</v>
      </c>
    </row>
    <row r="1644">
      <c r="A1644" s="2">
        <f>IFERROR(__xludf.DUMMYFUNCTION("""COMPUTED_VALUE"""),38183.666666666664)</f>
        <v>38183.66667</v>
      </c>
      <c r="B1644" s="1">
        <f>IFERROR(__xludf.DUMMYFUNCTION("""COMPUTED_VALUE"""),1629.58)</f>
        <v>1629.58</v>
      </c>
    </row>
    <row r="1645">
      <c r="A1645" s="2">
        <f>IFERROR(__xludf.DUMMYFUNCTION("""COMPUTED_VALUE"""),38184.666666666664)</f>
        <v>38184.66667</v>
      </c>
      <c r="B1645" s="1">
        <f>IFERROR(__xludf.DUMMYFUNCTION("""COMPUTED_VALUE"""),1621.81)</f>
        <v>1621.81</v>
      </c>
    </row>
    <row r="1646">
      <c r="A1646" s="2">
        <f>IFERROR(__xludf.DUMMYFUNCTION("""COMPUTED_VALUE"""),38187.666666666664)</f>
        <v>38187.66667</v>
      </c>
      <c r="B1646" s="1">
        <f>IFERROR(__xludf.DUMMYFUNCTION("""COMPUTED_VALUE"""),1621.09)</f>
        <v>1621.09</v>
      </c>
    </row>
    <row r="1647">
      <c r="A1647" s="2">
        <f>IFERROR(__xludf.DUMMYFUNCTION("""COMPUTED_VALUE"""),38188.666666666664)</f>
        <v>38188.66667</v>
      </c>
      <c r="B1647" s="1">
        <f>IFERROR(__xludf.DUMMYFUNCTION("""COMPUTED_VALUE"""),1632.52)</f>
        <v>1632.52</v>
      </c>
    </row>
    <row r="1648">
      <c r="A1648" s="2">
        <f>IFERROR(__xludf.DUMMYFUNCTION("""COMPUTED_VALUE"""),38189.666666666664)</f>
        <v>38189.66667</v>
      </c>
      <c r="B1648" s="1">
        <f>IFERROR(__xludf.DUMMYFUNCTION("""COMPUTED_VALUE"""),1610.89)</f>
        <v>1610.89</v>
      </c>
    </row>
    <row r="1649">
      <c r="A1649" s="2">
        <f>IFERROR(__xludf.DUMMYFUNCTION("""COMPUTED_VALUE"""),38190.666666666664)</f>
        <v>38190.66667</v>
      </c>
      <c r="B1649" s="1">
        <f>IFERROR(__xludf.DUMMYFUNCTION("""COMPUTED_VALUE"""),1615.28)</f>
        <v>1615.28</v>
      </c>
    </row>
    <row r="1650">
      <c r="A1650" s="2">
        <f>IFERROR(__xludf.DUMMYFUNCTION("""COMPUTED_VALUE"""),38191.666666666664)</f>
        <v>38191.66667</v>
      </c>
      <c r="B1650" s="1">
        <f>IFERROR(__xludf.DUMMYFUNCTION("""COMPUTED_VALUE"""),1599.62)</f>
        <v>1599.62</v>
      </c>
    </row>
    <row r="1651">
      <c r="A1651" s="2">
        <f>IFERROR(__xludf.DUMMYFUNCTION("""COMPUTED_VALUE"""),38194.666666666664)</f>
        <v>38194.66667</v>
      </c>
      <c r="B1651" s="1">
        <f>IFERROR(__xludf.DUMMYFUNCTION("""COMPUTED_VALUE"""),1596.49)</f>
        <v>1596.49</v>
      </c>
    </row>
    <row r="1652">
      <c r="A1652" s="2">
        <f>IFERROR(__xludf.DUMMYFUNCTION("""COMPUTED_VALUE"""),38195.666666666664)</f>
        <v>38195.66667</v>
      </c>
      <c r="B1652" s="1">
        <f>IFERROR(__xludf.DUMMYFUNCTION("""COMPUTED_VALUE"""),1612.33)</f>
        <v>1612.33</v>
      </c>
    </row>
    <row r="1653">
      <c r="A1653" s="2">
        <f>IFERROR(__xludf.DUMMYFUNCTION("""COMPUTED_VALUE"""),38196.666666666664)</f>
        <v>38196.66667</v>
      </c>
      <c r="B1653" s="1">
        <f>IFERROR(__xludf.DUMMYFUNCTION("""COMPUTED_VALUE"""),1613.5)</f>
        <v>1613.5</v>
      </c>
    </row>
    <row r="1654">
      <c r="A1654" s="2">
        <f>IFERROR(__xludf.DUMMYFUNCTION("""COMPUTED_VALUE"""),38197.666666666664)</f>
        <v>38197.66667</v>
      </c>
      <c r="B1654" s="1">
        <f>IFERROR(__xludf.DUMMYFUNCTION("""COMPUTED_VALUE"""),1621.35)</f>
        <v>1621.35</v>
      </c>
    </row>
    <row r="1655">
      <c r="A1655" s="2">
        <f>IFERROR(__xludf.DUMMYFUNCTION("""COMPUTED_VALUE"""),38198.666666666664)</f>
        <v>38198.66667</v>
      </c>
      <c r="B1655" s="1">
        <f>IFERROR(__xludf.DUMMYFUNCTION("""COMPUTED_VALUE"""),1623.26)</f>
        <v>1623.26</v>
      </c>
    </row>
    <row r="1656">
      <c r="A1656" s="2">
        <f>IFERROR(__xludf.DUMMYFUNCTION("""COMPUTED_VALUE"""),38201.666666666664)</f>
        <v>38201.66667</v>
      </c>
      <c r="B1656" s="1">
        <f>IFERROR(__xludf.DUMMYFUNCTION("""COMPUTED_VALUE"""),1630.48)</f>
        <v>1630.48</v>
      </c>
    </row>
    <row r="1657">
      <c r="A1657" s="2">
        <f>IFERROR(__xludf.DUMMYFUNCTION("""COMPUTED_VALUE"""),38202.666666666664)</f>
        <v>38202.66667</v>
      </c>
      <c r="B1657" s="1">
        <f>IFERROR(__xludf.DUMMYFUNCTION("""COMPUTED_VALUE"""),1620.28)</f>
        <v>1620.28</v>
      </c>
    </row>
    <row r="1658">
      <c r="A1658" s="2">
        <f>IFERROR(__xludf.DUMMYFUNCTION("""COMPUTED_VALUE"""),38203.666666666664)</f>
        <v>38203.66667</v>
      </c>
      <c r="B1658" s="1">
        <f>IFERROR(__xludf.DUMMYFUNCTION("""COMPUTED_VALUE"""),1619.0)</f>
        <v>1619</v>
      </c>
    </row>
    <row r="1659">
      <c r="A1659" s="2">
        <f>IFERROR(__xludf.DUMMYFUNCTION("""COMPUTED_VALUE"""),38204.666666666664)</f>
        <v>38204.66667</v>
      </c>
      <c r="B1659" s="1">
        <f>IFERROR(__xludf.DUMMYFUNCTION("""COMPUTED_VALUE"""),1592.64)</f>
        <v>1592.64</v>
      </c>
    </row>
    <row r="1660">
      <c r="A1660" s="2">
        <f>IFERROR(__xludf.DUMMYFUNCTION("""COMPUTED_VALUE"""),38205.666666666664)</f>
        <v>38205.66667</v>
      </c>
      <c r="B1660" s="1">
        <f>IFERROR(__xludf.DUMMYFUNCTION("""COMPUTED_VALUE"""),1568.07)</f>
        <v>1568.07</v>
      </c>
    </row>
    <row r="1661">
      <c r="A1661" s="2">
        <f>IFERROR(__xludf.DUMMYFUNCTION("""COMPUTED_VALUE"""),38208.666666666664)</f>
        <v>38208.66667</v>
      </c>
      <c r="B1661" s="1">
        <f>IFERROR(__xludf.DUMMYFUNCTION("""COMPUTED_VALUE"""),1569.96)</f>
        <v>1569.96</v>
      </c>
    </row>
    <row r="1662">
      <c r="A1662" s="2">
        <f>IFERROR(__xludf.DUMMYFUNCTION("""COMPUTED_VALUE"""),38209.666666666664)</f>
        <v>38209.66667</v>
      </c>
      <c r="B1662" s="1">
        <f>IFERROR(__xludf.DUMMYFUNCTION("""COMPUTED_VALUE"""),1590.35)</f>
        <v>1590.35</v>
      </c>
    </row>
    <row r="1663">
      <c r="A1663" s="2">
        <f>IFERROR(__xludf.DUMMYFUNCTION("""COMPUTED_VALUE"""),38210.666666666664)</f>
        <v>38210.66667</v>
      </c>
      <c r="B1663" s="1">
        <f>IFERROR(__xludf.DUMMYFUNCTION("""COMPUTED_VALUE"""),1586.43)</f>
        <v>1586.43</v>
      </c>
    </row>
    <row r="1664">
      <c r="A1664" s="2">
        <f>IFERROR(__xludf.DUMMYFUNCTION("""COMPUTED_VALUE"""),38211.666666666664)</f>
        <v>38211.66667</v>
      </c>
      <c r="B1664" s="1">
        <f>IFERROR(__xludf.DUMMYFUNCTION("""COMPUTED_VALUE"""),1567.95)</f>
        <v>1567.95</v>
      </c>
    </row>
    <row r="1665">
      <c r="A1665" s="2">
        <f>IFERROR(__xludf.DUMMYFUNCTION("""COMPUTED_VALUE"""),38212.666666666664)</f>
        <v>38212.66667</v>
      </c>
      <c r="B1665" s="1">
        <f>IFERROR(__xludf.DUMMYFUNCTION("""COMPUTED_VALUE"""),1570.45)</f>
        <v>1570.45</v>
      </c>
    </row>
    <row r="1666">
      <c r="A1666" s="2">
        <f>IFERROR(__xludf.DUMMYFUNCTION("""COMPUTED_VALUE"""),38215.666666666664)</f>
        <v>38215.66667</v>
      </c>
      <c r="B1666" s="1">
        <f>IFERROR(__xludf.DUMMYFUNCTION("""COMPUTED_VALUE"""),1591.94)</f>
        <v>1591.94</v>
      </c>
    </row>
    <row r="1667">
      <c r="A1667" s="2">
        <f>IFERROR(__xludf.DUMMYFUNCTION("""COMPUTED_VALUE"""),38216.666666666664)</f>
        <v>38216.66667</v>
      </c>
      <c r="B1667" s="1">
        <f>IFERROR(__xludf.DUMMYFUNCTION("""COMPUTED_VALUE"""),1595.57)</f>
        <v>1595.57</v>
      </c>
    </row>
    <row r="1668">
      <c r="A1668" s="2">
        <f>IFERROR(__xludf.DUMMYFUNCTION("""COMPUTED_VALUE"""),38217.666666666664)</f>
        <v>38217.66667</v>
      </c>
      <c r="B1668" s="1">
        <f>IFERROR(__xludf.DUMMYFUNCTION("""COMPUTED_VALUE"""),1615.72)</f>
        <v>1615.72</v>
      </c>
    </row>
    <row r="1669">
      <c r="A1669" s="2">
        <f>IFERROR(__xludf.DUMMYFUNCTION("""COMPUTED_VALUE"""),38218.666666666664)</f>
        <v>38218.66667</v>
      </c>
      <c r="B1669" s="1">
        <f>IFERROR(__xludf.DUMMYFUNCTION("""COMPUTED_VALUE"""),1609.97)</f>
        <v>1609.97</v>
      </c>
    </row>
    <row r="1670">
      <c r="A1670" s="2">
        <f>IFERROR(__xludf.DUMMYFUNCTION("""COMPUTED_VALUE"""),38219.666666666664)</f>
        <v>38219.66667</v>
      </c>
      <c r="B1670" s="1">
        <f>IFERROR(__xludf.DUMMYFUNCTION("""COMPUTED_VALUE"""),1620.47)</f>
        <v>1620.47</v>
      </c>
    </row>
    <row r="1671">
      <c r="A1671" s="2">
        <f>IFERROR(__xludf.DUMMYFUNCTION("""COMPUTED_VALUE"""),38222.666666666664)</f>
        <v>38222.66667</v>
      </c>
      <c r="B1671" s="1">
        <f>IFERROR(__xludf.DUMMYFUNCTION("""COMPUTED_VALUE"""),1616.68)</f>
        <v>1616.68</v>
      </c>
    </row>
    <row r="1672">
      <c r="A1672" s="2">
        <f>IFERROR(__xludf.DUMMYFUNCTION("""COMPUTED_VALUE"""),38223.666666666664)</f>
        <v>38223.66667</v>
      </c>
      <c r="B1672" s="1">
        <f>IFERROR(__xludf.DUMMYFUNCTION("""COMPUTED_VALUE"""),1617.46)</f>
        <v>1617.46</v>
      </c>
    </row>
    <row r="1673">
      <c r="A1673" s="2">
        <f>IFERROR(__xludf.DUMMYFUNCTION("""COMPUTED_VALUE"""),38224.666666666664)</f>
        <v>38224.66667</v>
      </c>
      <c r="B1673" s="1">
        <f>IFERROR(__xludf.DUMMYFUNCTION("""COMPUTED_VALUE"""),1630.49)</f>
        <v>1630.49</v>
      </c>
    </row>
    <row r="1674">
      <c r="A1674" s="2">
        <f>IFERROR(__xludf.DUMMYFUNCTION("""COMPUTED_VALUE"""),38225.666666666664)</f>
        <v>38225.66667</v>
      </c>
      <c r="B1674" s="1">
        <f>IFERROR(__xludf.DUMMYFUNCTION("""COMPUTED_VALUE"""),1630.68)</f>
        <v>1630.68</v>
      </c>
    </row>
    <row r="1675">
      <c r="A1675" s="2">
        <f>IFERROR(__xludf.DUMMYFUNCTION("""COMPUTED_VALUE"""),38226.666666666664)</f>
        <v>38226.66667</v>
      </c>
      <c r="B1675" s="1">
        <f>IFERROR(__xludf.DUMMYFUNCTION("""COMPUTED_VALUE"""),1634.83)</f>
        <v>1634.83</v>
      </c>
    </row>
    <row r="1676">
      <c r="A1676" s="2">
        <f>IFERROR(__xludf.DUMMYFUNCTION("""COMPUTED_VALUE"""),38229.666666666664)</f>
        <v>38229.66667</v>
      </c>
      <c r="B1676" s="1">
        <f>IFERROR(__xludf.DUMMYFUNCTION("""COMPUTED_VALUE"""),1622.28)</f>
        <v>1622.28</v>
      </c>
    </row>
    <row r="1677">
      <c r="A1677" s="2">
        <f>IFERROR(__xludf.DUMMYFUNCTION("""COMPUTED_VALUE"""),38230.666666666664)</f>
        <v>38230.66667</v>
      </c>
      <c r="B1677" s="1">
        <f>IFERROR(__xludf.DUMMYFUNCTION("""COMPUTED_VALUE"""),1629.83)</f>
        <v>1629.83</v>
      </c>
    </row>
    <row r="1678">
      <c r="A1678" s="2">
        <f>IFERROR(__xludf.DUMMYFUNCTION("""COMPUTED_VALUE"""),38231.666666666664)</f>
        <v>38231.66667</v>
      </c>
      <c r="B1678" s="1">
        <f>IFERROR(__xludf.DUMMYFUNCTION("""COMPUTED_VALUE"""),1632.82)</f>
        <v>1632.82</v>
      </c>
    </row>
    <row r="1679">
      <c r="A1679" s="2">
        <f>IFERROR(__xludf.DUMMYFUNCTION("""COMPUTED_VALUE"""),38232.666666666664)</f>
        <v>38232.66667</v>
      </c>
      <c r="B1679" s="1">
        <f>IFERROR(__xludf.DUMMYFUNCTION("""COMPUTED_VALUE"""),1651.14)</f>
        <v>1651.14</v>
      </c>
    </row>
    <row r="1680">
      <c r="A1680" s="2">
        <f>IFERROR(__xludf.DUMMYFUNCTION("""COMPUTED_VALUE"""),38233.666666666664)</f>
        <v>38233.66667</v>
      </c>
      <c r="B1680" s="1">
        <f>IFERROR(__xludf.DUMMYFUNCTION("""COMPUTED_VALUE"""),1644.25)</f>
        <v>1644.25</v>
      </c>
    </row>
    <row r="1681">
      <c r="A1681" s="2">
        <f>IFERROR(__xludf.DUMMYFUNCTION("""COMPUTED_VALUE"""),38237.666666666664)</f>
        <v>38237.66667</v>
      </c>
      <c r="B1681" s="1">
        <f>IFERROR(__xludf.DUMMYFUNCTION("""COMPUTED_VALUE"""),1655.65)</f>
        <v>1655.65</v>
      </c>
    </row>
    <row r="1682">
      <c r="A1682" s="2">
        <f>IFERROR(__xludf.DUMMYFUNCTION("""COMPUTED_VALUE"""),38238.666666666664)</f>
        <v>38238.66667</v>
      </c>
      <c r="B1682" s="1">
        <f>IFERROR(__xludf.DUMMYFUNCTION("""COMPUTED_VALUE"""),1648.52)</f>
        <v>1648.52</v>
      </c>
    </row>
    <row r="1683">
      <c r="A1683" s="2">
        <f>IFERROR(__xludf.DUMMYFUNCTION("""COMPUTED_VALUE"""),38239.666666666664)</f>
        <v>38239.66667</v>
      </c>
      <c r="B1683" s="1">
        <f>IFERROR(__xludf.DUMMYFUNCTION("""COMPUTED_VALUE"""),1651.65)</f>
        <v>1651.65</v>
      </c>
    </row>
    <row r="1684">
      <c r="A1684" s="2">
        <f>IFERROR(__xludf.DUMMYFUNCTION("""COMPUTED_VALUE"""),38240.666666666664)</f>
        <v>38240.66667</v>
      </c>
      <c r="B1684" s="1">
        <f>IFERROR(__xludf.DUMMYFUNCTION("""COMPUTED_VALUE"""),1659.84)</f>
        <v>1659.84</v>
      </c>
    </row>
    <row r="1685">
      <c r="A1685" s="2">
        <f>IFERROR(__xludf.DUMMYFUNCTION("""COMPUTED_VALUE"""),38243.666666666664)</f>
        <v>38243.66667</v>
      </c>
      <c r="B1685" s="1">
        <f>IFERROR(__xludf.DUMMYFUNCTION("""COMPUTED_VALUE"""),1663.1)</f>
        <v>1663.1</v>
      </c>
    </row>
    <row r="1686">
      <c r="A1686" s="2">
        <f>IFERROR(__xludf.DUMMYFUNCTION("""COMPUTED_VALUE"""),38244.666666666664)</f>
        <v>38244.66667</v>
      </c>
      <c r="B1686" s="1">
        <f>IFERROR(__xludf.DUMMYFUNCTION("""COMPUTED_VALUE"""),1666.82)</f>
        <v>1666.82</v>
      </c>
    </row>
    <row r="1687">
      <c r="A1687" s="2">
        <f>IFERROR(__xludf.DUMMYFUNCTION("""COMPUTED_VALUE"""),38245.666666666664)</f>
        <v>38245.66667</v>
      </c>
      <c r="B1687" s="1">
        <f>IFERROR(__xludf.DUMMYFUNCTION("""COMPUTED_VALUE"""),1655.1)</f>
        <v>1655.1</v>
      </c>
    </row>
    <row r="1688">
      <c r="A1688" s="2">
        <f>IFERROR(__xludf.DUMMYFUNCTION("""COMPUTED_VALUE"""),38246.666666666664)</f>
        <v>38246.66667</v>
      </c>
      <c r="B1688" s="1">
        <f>IFERROR(__xludf.DUMMYFUNCTION("""COMPUTED_VALUE"""),1659.78)</f>
        <v>1659.78</v>
      </c>
    </row>
    <row r="1689">
      <c r="A1689" s="2">
        <f>IFERROR(__xludf.DUMMYFUNCTION("""COMPUTED_VALUE"""),38247.666666666664)</f>
        <v>38247.66667</v>
      </c>
      <c r="B1689" s="1">
        <f>IFERROR(__xludf.DUMMYFUNCTION("""COMPUTED_VALUE"""),1667.25)</f>
        <v>1667.25</v>
      </c>
    </row>
    <row r="1690">
      <c r="A1690" s="2">
        <f>IFERROR(__xludf.DUMMYFUNCTION("""COMPUTED_VALUE"""),38250.666666666664)</f>
        <v>38250.66667</v>
      </c>
      <c r="B1690" s="1">
        <f>IFERROR(__xludf.DUMMYFUNCTION("""COMPUTED_VALUE"""),1657.88)</f>
        <v>1657.88</v>
      </c>
    </row>
    <row r="1691">
      <c r="A1691" s="2">
        <f>IFERROR(__xludf.DUMMYFUNCTION("""COMPUTED_VALUE"""),38251.666666666664)</f>
        <v>38251.66667</v>
      </c>
      <c r="B1691" s="1">
        <f>IFERROR(__xludf.DUMMYFUNCTION("""COMPUTED_VALUE"""),1668.39)</f>
        <v>1668.39</v>
      </c>
    </row>
    <row r="1692">
      <c r="A1692" s="2">
        <f>IFERROR(__xludf.DUMMYFUNCTION("""COMPUTED_VALUE"""),38252.666666666664)</f>
        <v>38252.66667</v>
      </c>
      <c r="B1692" s="1">
        <f>IFERROR(__xludf.DUMMYFUNCTION("""COMPUTED_VALUE"""),1645.17)</f>
        <v>1645.17</v>
      </c>
    </row>
    <row r="1693">
      <c r="A1693" s="2">
        <f>IFERROR(__xludf.DUMMYFUNCTION("""COMPUTED_VALUE"""),38253.666666666664)</f>
        <v>38253.66667</v>
      </c>
      <c r="B1693" s="1">
        <f>IFERROR(__xludf.DUMMYFUNCTION("""COMPUTED_VALUE"""),1637.82)</f>
        <v>1637.82</v>
      </c>
    </row>
    <row r="1694">
      <c r="A1694" s="2">
        <f>IFERROR(__xludf.DUMMYFUNCTION("""COMPUTED_VALUE"""),38254.666666666664)</f>
        <v>38254.66667</v>
      </c>
      <c r="B1694" s="1">
        <f>IFERROR(__xludf.DUMMYFUNCTION("""COMPUTED_VALUE"""),1640.4)</f>
        <v>1640.4</v>
      </c>
    </row>
    <row r="1695">
      <c r="A1695" s="2">
        <f>IFERROR(__xludf.DUMMYFUNCTION("""COMPUTED_VALUE"""),38257.666666666664)</f>
        <v>38257.66667</v>
      </c>
      <c r="B1695" s="1">
        <f>IFERROR(__xludf.DUMMYFUNCTION("""COMPUTED_VALUE"""),1630.67)</f>
        <v>1630.67</v>
      </c>
    </row>
    <row r="1696">
      <c r="A1696" s="2">
        <f>IFERROR(__xludf.DUMMYFUNCTION("""COMPUTED_VALUE"""),38258.666666666664)</f>
        <v>38258.66667</v>
      </c>
      <c r="B1696" s="1">
        <f>IFERROR(__xludf.DUMMYFUNCTION("""COMPUTED_VALUE"""),1640.62)</f>
        <v>1640.62</v>
      </c>
    </row>
    <row r="1697">
      <c r="A1697" s="2">
        <f>IFERROR(__xludf.DUMMYFUNCTION("""COMPUTED_VALUE"""),38259.666666666664)</f>
        <v>38259.66667</v>
      </c>
      <c r="B1697" s="1">
        <f>IFERROR(__xludf.DUMMYFUNCTION("""COMPUTED_VALUE"""),1647.79)</f>
        <v>1647.79</v>
      </c>
    </row>
    <row r="1698">
      <c r="A1698" s="2">
        <f>IFERROR(__xludf.DUMMYFUNCTION("""COMPUTED_VALUE"""),38260.666666666664)</f>
        <v>38260.66667</v>
      </c>
      <c r="B1698" s="1">
        <f>IFERROR(__xludf.DUMMYFUNCTION("""COMPUTED_VALUE"""),1647.48)</f>
        <v>1647.48</v>
      </c>
    </row>
    <row r="1699">
      <c r="A1699" s="2">
        <f>IFERROR(__xludf.DUMMYFUNCTION("""COMPUTED_VALUE"""),38261.666666666664)</f>
        <v>38261.66667</v>
      </c>
      <c r="B1699" s="1">
        <f>IFERROR(__xludf.DUMMYFUNCTION("""COMPUTED_VALUE"""),1672.49)</f>
        <v>1672.49</v>
      </c>
    </row>
    <row r="1700">
      <c r="A1700" s="2">
        <f>IFERROR(__xludf.DUMMYFUNCTION("""COMPUTED_VALUE"""),38264.666666666664)</f>
        <v>38264.66667</v>
      </c>
      <c r="B1700" s="1">
        <f>IFERROR(__xludf.DUMMYFUNCTION("""COMPUTED_VALUE"""),1678.1)</f>
        <v>1678.1</v>
      </c>
    </row>
    <row r="1701">
      <c r="A1701" s="2">
        <f>IFERROR(__xludf.DUMMYFUNCTION("""COMPUTED_VALUE"""),38265.666666666664)</f>
        <v>38265.66667</v>
      </c>
      <c r="B1701" s="1">
        <f>IFERROR(__xludf.DUMMYFUNCTION("""COMPUTED_VALUE"""),1677.09)</f>
        <v>1677.09</v>
      </c>
    </row>
    <row r="1702">
      <c r="A1702" s="2">
        <f>IFERROR(__xludf.DUMMYFUNCTION("""COMPUTED_VALUE"""),38266.666666666664)</f>
        <v>38266.66667</v>
      </c>
      <c r="B1702" s="1">
        <f>IFERROR(__xludf.DUMMYFUNCTION("""COMPUTED_VALUE"""),1688.83)</f>
        <v>1688.83</v>
      </c>
    </row>
    <row r="1703">
      <c r="A1703" s="2">
        <f>IFERROR(__xludf.DUMMYFUNCTION("""COMPUTED_VALUE"""),38267.666666666664)</f>
        <v>38267.66667</v>
      </c>
      <c r="B1703" s="1">
        <f>IFERROR(__xludf.DUMMYFUNCTION("""COMPUTED_VALUE"""),1672.08)</f>
        <v>1672.08</v>
      </c>
    </row>
    <row r="1704">
      <c r="A1704" s="2">
        <f>IFERROR(__xludf.DUMMYFUNCTION("""COMPUTED_VALUE"""),38268.666666666664)</f>
        <v>38268.66667</v>
      </c>
      <c r="B1704" s="1">
        <f>IFERROR(__xludf.DUMMYFUNCTION("""COMPUTED_VALUE"""),1659.51)</f>
        <v>1659.51</v>
      </c>
    </row>
    <row r="1705">
      <c r="A1705" s="2">
        <f>IFERROR(__xludf.DUMMYFUNCTION("""COMPUTED_VALUE"""),38271.666666666664)</f>
        <v>38271.66667</v>
      </c>
      <c r="B1705" s="1">
        <f>IFERROR(__xludf.DUMMYFUNCTION("""COMPUTED_VALUE"""),1662.84)</f>
        <v>1662.84</v>
      </c>
    </row>
    <row r="1706">
      <c r="A1706" s="2">
        <f>IFERROR(__xludf.DUMMYFUNCTION("""COMPUTED_VALUE"""),38272.666666666664)</f>
        <v>38272.66667</v>
      </c>
      <c r="B1706" s="1">
        <f>IFERROR(__xludf.DUMMYFUNCTION("""COMPUTED_VALUE"""),1659.07)</f>
        <v>1659.07</v>
      </c>
    </row>
    <row r="1707">
      <c r="A1707" s="2">
        <f>IFERROR(__xludf.DUMMYFUNCTION("""COMPUTED_VALUE"""),38273.666666666664)</f>
        <v>38273.66667</v>
      </c>
      <c r="B1707" s="1">
        <f>IFERROR(__xludf.DUMMYFUNCTION("""COMPUTED_VALUE"""),1647.13)</f>
        <v>1647.13</v>
      </c>
    </row>
    <row r="1708">
      <c r="A1708" s="2">
        <f>IFERROR(__xludf.DUMMYFUNCTION("""COMPUTED_VALUE"""),38274.666666666664)</f>
        <v>38274.66667</v>
      </c>
      <c r="B1708" s="1">
        <f>IFERROR(__xludf.DUMMYFUNCTION("""COMPUTED_VALUE"""),1631.81)</f>
        <v>1631.81</v>
      </c>
    </row>
    <row r="1709">
      <c r="A1709" s="2">
        <f>IFERROR(__xludf.DUMMYFUNCTION("""COMPUTED_VALUE"""),38275.666666666664)</f>
        <v>38275.66667</v>
      </c>
      <c r="B1709" s="1">
        <f>IFERROR(__xludf.DUMMYFUNCTION("""COMPUTED_VALUE"""),1639.08)</f>
        <v>1639.08</v>
      </c>
    </row>
    <row r="1710">
      <c r="A1710" s="2">
        <f>IFERROR(__xludf.DUMMYFUNCTION("""COMPUTED_VALUE"""),38278.666666666664)</f>
        <v>38278.66667</v>
      </c>
      <c r="B1710" s="1">
        <f>IFERROR(__xludf.DUMMYFUNCTION("""COMPUTED_VALUE"""),1647.7)</f>
        <v>1647.7</v>
      </c>
    </row>
    <row r="1711">
      <c r="A1711" s="2">
        <f>IFERROR(__xludf.DUMMYFUNCTION("""COMPUTED_VALUE"""),38279.666666666664)</f>
        <v>38279.66667</v>
      </c>
      <c r="B1711" s="1">
        <f>IFERROR(__xludf.DUMMYFUNCTION("""COMPUTED_VALUE"""),1631.74)</f>
        <v>1631.74</v>
      </c>
    </row>
    <row r="1712">
      <c r="A1712" s="2">
        <f>IFERROR(__xludf.DUMMYFUNCTION("""COMPUTED_VALUE"""),38280.666666666664)</f>
        <v>38280.66667</v>
      </c>
      <c r="B1712" s="1">
        <f>IFERROR(__xludf.DUMMYFUNCTION("""COMPUTED_VALUE"""),1632.49)</f>
        <v>1632.49</v>
      </c>
    </row>
    <row r="1713">
      <c r="A1713" s="2">
        <f>IFERROR(__xludf.DUMMYFUNCTION("""COMPUTED_VALUE"""),38281.666666666664)</f>
        <v>38281.66667</v>
      </c>
      <c r="B1713" s="1">
        <f>IFERROR(__xludf.DUMMYFUNCTION("""COMPUTED_VALUE"""),1636.76)</f>
        <v>1636.76</v>
      </c>
    </row>
    <row r="1714">
      <c r="A1714" s="2">
        <f>IFERROR(__xludf.DUMMYFUNCTION("""COMPUTED_VALUE"""),38282.666666666664)</f>
        <v>38282.66667</v>
      </c>
      <c r="B1714" s="1">
        <f>IFERROR(__xludf.DUMMYFUNCTION("""COMPUTED_VALUE"""),1620.85)</f>
        <v>1620.85</v>
      </c>
    </row>
    <row r="1715">
      <c r="A1715" s="2">
        <f>IFERROR(__xludf.DUMMYFUNCTION("""COMPUTED_VALUE"""),38285.666666666664)</f>
        <v>38285.66667</v>
      </c>
      <c r="B1715" s="1">
        <f>IFERROR(__xludf.DUMMYFUNCTION("""COMPUTED_VALUE"""),1619.48)</f>
        <v>1619.48</v>
      </c>
    </row>
    <row r="1716">
      <c r="A1716" s="2">
        <f>IFERROR(__xludf.DUMMYFUNCTION("""COMPUTED_VALUE"""),38286.666666666664)</f>
        <v>38286.66667</v>
      </c>
      <c r="B1716" s="1">
        <f>IFERROR(__xludf.DUMMYFUNCTION("""COMPUTED_VALUE"""),1643.57)</f>
        <v>1643.57</v>
      </c>
    </row>
    <row r="1717">
      <c r="A1717" s="2">
        <f>IFERROR(__xludf.DUMMYFUNCTION("""COMPUTED_VALUE"""),38287.666666666664)</f>
        <v>38287.66667</v>
      </c>
      <c r="B1717" s="1">
        <f>IFERROR(__xludf.DUMMYFUNCTION("""COMPUTED_VALUE"""),1665.01)</f>
        <v>1665.01</v>
      </c>
    </row>
    <row r="1718">
      <c r="A1718" s="2">
        <f>IFERROR(__xludf.DUMMYFUNCTION("""COMPUTED_VALUE"""),38288.666666666664)</f>
        <v>38288.66667</v>
      </c>
      <c r="B1718" s="1">
        <f>IFERROR(__xludf.DUMMYFUNCTION("""COMPUTED_VALUE"""),1668.55)</f>
        <v>1668.55</v>
      </c>
    </row>
    <row r="1719">
      <c r="A1719" s="2">
        <f>IFERROR(__xludf.DUMMYFUNCTION("""COMPUTED_VALUE"""),38289.666666666664)</f>
        <v>38289.66667</v>
      </c>
      <c r="B1719" s="1">
        <f>IFERROR(__xludf.DUMMYFUNCTION("""COMPUTED_VALUE"""),1672.65)</f>
        <v>1672.65</v>
      </c>
    </row>
    <row r="1720">
      <c r="A1720" s="2">
        <f>IFERROR(__xludf.DUMMYFUNCTION("""COMPUTED_VALUE"""),38292.666666666664)</f>
        <v>38292.66667</v>
      </c>
      <c r="B1720" s="1">
        <f>IFERROR(__xludf.DUMMYFUNCTION("""COMPUTED_VALUE"""),1673.11)</f>
        <v>1673.11</v>
      </c>
    </row>
    <row r="1721">
      <c r="A1721" s="2">
        <f>IFERROR(__xludf.DUMMYFUNCTION("""COMPUTED_VALUE"""),38293.666666666664)</f>
        <v>38293.66667</v>
      </c>
      <c r="B1721" s="1">
        <f>IFERROR(__xludf.DUMMYFUNCTION("""COMPUTED_VALUE"""),1673.16)</f>
        <v>1673.16</v>
      </c>
    </row>
    <row r="1722">
      <c r="A1722" s="2">
        <f>IFERROR(__xludf.DUMMYFUNCTION("""COMPUTED_VALUE"""),38294.666666666664)</f>
        <v>38294.66667</v>
      </c>
      <c r="B1722" s="1">
        <f>IFERROR(__xludf.DUMMYFUNCTION("""COMPUTED_VALUE"""),1692.22)</f>
        <v>1692.22</v>
      </c>
    </row>
    <row r="1723">
      <c r="A1723" s="2">
        <f>IFERROR(__xludf.DUMMYFUNCTION("""COMPUTED_VALUE"""),38295.666666666664)</f>
        <v>38295.66667</v>
      </c>
      <c r="B1723" s="1">
        <f>IFERROR(__xludf.DUMMYFUNCTION("""COMPUTED_VALUE"""),1719.64)</f>
        <v>1719.64</v>
      </c>
    </row>
    <row r="1724">
      <c r="A1724" s="2">
        <f>IFERROR(__xludf.DUMMYFUNCTION("""COMPUTED_VALUE"""),38296.666666666664)</f>
        <v>38296.66667</v>
      </c>
      <c r="B1724" s="1">
        <f>IFERROR(__xludf.DUMMYFUNCTION("""COMPUTED_VALUE"""),1726.34)</f>
        <v>1726.34</v>
      </c>
    </row>
    <row r="1725">
      <c r="A1725" s="2">
        <f>IFERROR(__xludf.DUMMYFUNCTION("""COMPUTED_VALUE"""),38299.666666666664)</f>
        <v>38299.66667</v>
      </c>
      <c r="B1725" s="1">
        <f>IFERROR(__xludf.DUMMYFUNCTION("""COMPUTED_VALUE"""),1724.59)</f>
        <v>1724.59</v>
      </c>
    </row>
    <row r="1726">
      <c r="A1726" s="2">
        <f>IFERROR(__xludf.DUMMYFUNCTION("""COMPUTED_VALUE"""),38300.666666666664)</f>
        <v>38300.66667</v>
      </c>
      <c r="B1726" s="1">
        <f>IFERROR(__xludf.DUMMYFUNCTION("""COMPUTED_VALUE"""),1724.08)</f>
        <v>1724.08</v>
      </c>
    </row>
    <row r="1727">
      <c r="A1727" s="2">
        <f>IFERROR(__xludf.DUMMYFUNCTION("""COMPUTED_VALUE"""),38301.666666666664)</f>
        <v>38301.66667</v>
      </c>
      <c r="B1727" s="1">
        <f>IFERROR(__xludf.DUMMYFUNCTION("""COMPUTED_VALUE"""),1722.67)</f>
        <v>1722.67</v>
      </c>
    </row>
    <row r="1728">
      <c r="A1728" s="2">
        <f>IFERROR(__xludf.DUMMYFUNCTION("""COMPUTED_VALUE"""),38302.666666666664)</f>
        <v>38302.66667</v>
      </c>
      <c r="B1728" s="1">
        <f>IFERROR(__xludf.DUMMYFUNCTION("""COMPUTED_VALUE"""),1738.32)</f>
        <v>1738.32</v>
      </c>
    </row>
    <row r="1729">
      <c r="A1729" s="2">
        <f>IFERROR(__xludf.DUMMYFUNCTION("""COMPUTED_VALUE"""),38303.666666666664)</f>
        <v>38303.66667</v>
      </c>
      <c r="B1729" s="1">
        <f>IFERROR(__xludf.DUMMYFUNCTION("""COMPUTED_VALUE"""),1754.33)</f>
        <v>1754.33</v>
      </c>
    </row>
    <row r="1730">
      <c r="A1730" s="2">
        <f>IFERROR(__xludf.DUMMYFUNCTION("""COMPUTED_VALUE"""),38306.666666666664)</f>
        <v>38306.66667</v>
      </c>
      <c r="B1730" s="1">
        <f>IFERROR(__xludf.DUMMYFUNCTION("""COMPUTED_VALUE"""),1753.99)</f>
        <v>1753.99</v>
      </c>
    </row>
    <row r="1731">
      <c r="A1731" s="2">
        <f>IFERROR(__xludf.DUMMYFUNCTION("""COMPUTED_VALUE"""),38307.666666666664)</f>
        <v>38307.66667</v>
      </c>
      <c r="B1731" s="1">
        <f>IFERROR(__xludf.DUMMYFUNCTION("""COMPUTED_VALUE"""),1741.72)</f>
        <v>1741.72</v>
      </c>
    </row>
    <row r="1732">
      <c r="A1732" s="2">
        <f>IFERROR(__xludf.DUMMYFUNCTION("""COMPUTED_VALUE"""),38308.666666666664)</f>
        <v>38308.66667</v>
      </c>
      <c r="B1732" s="1">
        <f>IFERROR(__xludf.DUMMYFUNCTION("""COMPUTED_VALUE"""),1751.57)</f>
        <v>1751.57</v>
      </c>
    </row>
    <row r="1733">
      <c r="A1733" s="2">
        <f>IFERROR(__xludf.DUMMYFUNCTION("""COMPUTED_VALUE"""),38309.666666666664)</f>
        <v>38309.66667</v>
      </c>
      <c r="B1733" s="1">
        <f>IFERROR(__xludf.DUMMYFUNCTION("""COMPUTED_VALUE"""),1753.97)</f>
        <v>1753.97</v>
      </c>
    </row>
    <row r="1734">
      <c r="A1734" s="2">
        <f>IFERROR(__xludf.DUMMYFUNCTION("""COMPUTED_VALUE"""),38310.666666666664)</f>
        <v>38310.66667</v>
      </c>
      <c r="B1734" s="1">
        <f>IFERROR(__xludf.DUMMYFUNCTION("""COMPUTED_VALUE"""),1734.45)</f>
        <v>1734.45</v>
      </c>
    </row>
    <row r="1735">
      <c r="A1735" s="2">
        <f>IFERROR(__xludf.DUMMYFUNCTION("""COMPUTED_VALUE"""),38313.666666666664)</f>
        <v>38313.66667</v>
      </c>
      <c r="B1735" s="1">
        <f>IFERROR(__xludf.DUMMYFUNCTION("""COMPUTED_VALUE"""),1744.71)</f>
        <v>1744.71</v>
      </c>
    </row>
    <row r="1736">
      <c r="A1736" s="2">
        <f>IFERROR(__xludf.DUMMYFUNCTION("""COMPUTED_VALUE"""),38314.666666666664)</f>
        <v>38314.66667</v>
      </c>
      <c r="B1736" s="1">
        <f>IFERROR(__xludf.DUMMYFUNCTION("""COMPUTED_VALUE"""),1744.31)</f>
        <v>1744.31</v>
      </c>
    </row>
    <row r="1737">
      <c r="A1737" s="2">
        <f>IFERROR(__xludf.DUMMYFUNCTION("""COMPUTED_VALUE"""),38315.666666666664)</f>
        <v>38315.66667</v>
      </c>
      <c r="B1737" s="1">
        <f>IFERROR(__xludf.DUMMYFUNCTION("""COMPUTED_VALUE"""),1751.55)</f>
        <v>1751.55</v>
      </c>
    </row>
    <row r="1738">
      <c r="A1738" s="2">
        <f>IFERROR(__xludf.DUMMYFUNCTION("""COMPUTED_VALUE"""),38317.666666666664)</f>
        <v>38317.66667</v>
      </c>
      <c r="B1738" s="1">
        <f>IFERROR(__xludf.DUMMYFUNCTION("""COMPUTED_VALUE"""),1753.09)</f>
        <v>1753.09</v>
      </c>
    </row>
    <row r="1739">
      <c r="A1739" s="2">
        <f>IFERROR(__xludf.DUMMYFUNCTION("""COMPUTED_VALUE"""),38320.666666666664)</f>
        <v>38320.66667</v>
      </c>
      <c r="B1739" s="1">
        <f>IFERROR(__xludf.DUMMYFUNCTION("""COMPUTED_VALUE"""),1747.34)</f>
        <v>1747.34</v>
      </c>
    </row>
    <row r="1740">
      <c r="A1740" s="2">
        <f>IFERROR(__xludf.DUMMYFUNCTION("""COMPUTED_VALUE"""),38321.666666666664)</f>
        <v>38321.66667</v>
      </c>
      <c r="B1740" s="1">
        <f>IFERROR(__xludf.DUMMYFUNCTION("""COMPUTED_VALUE"""),1740.33)</f>
        <v>1740.33</v>
      </c>
    </row>
    <row r="1741">
      <c r="A1741" s="2">
        <f>IFERROR(__xludf.DUMMYFUNCTION("""COMPUTED_VALUE"""),38322.666666666664)</f>
        <v>38322.66667</v>
      </c>
      <c r="B1741" s="1">
        <f>IFERROR(__xludf.DUMMYFUNCTION("""COMPUTED_VALUE"""),1766.9)</f>
        <v>1766.9</v>
      </c>
    </row>
    <row r="1742">
      <c r="A1742" s="2">
        <f>IFERROR(__xludf.DUMMYFUNCTION("""COMPUTED_VALUE"""),38323.666666666664)</f>
        <v>38323.66667</v>
      </c>
      <c r="B1742" s="1">
        <f>IFERROR(__xludf.DUMMYFUNCTION("""COMPUTED_VALUE"""),1765.37)</f>
        <v>1765.37</v>
      </c>
    </row>
    <row r="1743">
      <c r="A1743" s="2">
        <f>IFERROR(__xludf.DUMMYFUNCTION("""COMPUTED_VALUE"""),38324.666666666664)</f>
        <v>38324.66667</v>
      </c>
      <c r="B1743" s="1">
        <f>IFERROR(__xludf.DUMMYFUNCTION("""COMPUTED_VALUE"""),1766.63)</f>
        <v>1766.63</v>
      </c>
    </row>
    <row r="1744">
      <c r="A1744" s="2">
        <f>IFERROR(__xludf.DUMMYFUNCTION("""COMPUTED_VALUE"""),38327.666666666664)</f>
        <v>38327.66667</v>
      </c>
      <c r="B1744" s="1">
        <f>IFERROR(__xludf.DUMMYFUNCTION("""COMPUTED_VALUE"""),1765.33)</f>
        <v>1765.33</v>
      </c>
    </row>
    <row r="1745">
      <c r="A1745" s="2">
        <f>IFERROR(__xludf.DUMMYFUNCTION("""COMPUTED_VALUE"""),38328.666666666664)</f>
        <v>38328.66667</v>
      </c>
      <c r="B1745" s="1">
        <f>IFERROR(__xludf.DUMMYFUNCTION("""COMPUTED_VALUE"""),1745.84)</f>
        <v>1745.84</v>
      </c>
    </row>
    <row r="1746">
      <c r="A1746" s="2">
        <f>IFERROR(__xludf.DUMMYFUNCTION("""COMPUTED_VALUE"""),38329.666666666664)</f>
        <v>38329.66667</v>
      </c>
      <c r="B1746" s="1">
        <f>IFERROR(__xludf.DUMMYFUNCTION("""COMPUTED_VALUE"""),1754.75)</f>
        <v>1754.75</v>
      </c>
    </row>
    <row r="1747">
      <c r="A1747" s="2">
        <f>IFERROR(__xludf.DUMMYFUNCTION("""COMPUTED_VALUE"""),38330.666666666664)</f>
        <v>38330.66667</v>
      </c>
      <c r="B1747" s="1">
        <f>IFERROR(__xludf.DUMMYFUNCTION("""COMPUTED_VALUE"""),1764.35)</f>
        <v>1764.35</v>
      </c>
    </row>
    <row r="1748">
      <c r="A1748" s="2">
        <f>IFERROR(__xludf.DUMMYFUNCTION("""COMPUTED_VALUE"""),38331.666666666664)</f>
        <v>38331.66667</v>
      </c>
      <c r="B1748" s="1">
        <f>IFERROR(__xludf.DUMMYFUNCTION("""COMPUTED_VALUE"""),1762.51)</f>
        <v>1762.51</v>
      </c>
    </row>
    <row r="1749">
      <c r="A1749" s="2">
        <f>IFERROR(__xludf.DUMMYFUNCTION("""COMPUTED_VALUE"""),38334.666666666664)</f>
        <v>38334.66667</v>
      </c>
      <c r="B1749" s="1">
        <f>IFERROR(__xludf.DUMMYFUNCTION("""COMPUTED_VALUE"""),1778.54)</f>
        <v>1778.54</v>
      </c>
    </row>
    <row r="1750">
      <c r="A1750" s="2">
        <f>IFERROR(__xludf.DUMMYFUNCTION("""COMPUTED_VALUE"""),38335.666666666664)</f>
        <v>38335.66667</v>
      </c>
      <c r="B1750" s="1">
        <f>IFERROR(__xludf.DUMMYFUNCTION("""COMPUTED_VALUE"""),1785.51)</f>
        <v>1785.51</v>
      </c>
    </row>
    <row r="1751">
      <c r="A1751" s="2">
        <f>IFERROR(__xludf.DUMMYFUNCTION("""COMPUTED_VALUE"""),38336.666666666664)</f>
        <v>38336.66667</v>
      </c>
      <c r="B1751" s="1">
        <f>IFERROR(__xludf.DUMMYFUNCTION("""COMPUTED_VALUE"""),1789.14)</f>
        <v>1789.14</v>
      </c>
    </row>
    <row r="1752">
      <c r="A1752" s="2">
        <f>IFERROR(__xludf.DUMMYFUNCTION("""COMPUTED_VALUE"""),38337.666666666664)</f>
        <v>38337.66667</v>
      </c>
      <c r="B1752" s="1">
        <f>IFERROR(__xludf.DUMMYFUNCTION("""COMPUTED_VALUE"""),1785.51)</f>
        <v>1785.51</v>
      </c>
    </row>
    <row r="1753">
      <c r="A1753" s="2">
        <f>IFERROR(__xludf.DUMMYFUNCTION("""COMPUTED_VALUE"""),38338.666666666664)</f>
        <v>38338.66667</v>
      </c>
      <c r="B1753" s="1">
        <f>IFERROR(__xludf.DUMMYFUNCTION("""COMPUTED_VALUE"""),1772.19)</f>
        <v>1772.19</v>
      </c>
    </row>
    <row r="1754">
      <c r="A1754" s="2">
        <f>IFERROR(__xludf.DUMMYFUNCTION("""COMPUTED_VALUE"""),38341.666666666664)</f>
        <v>38341.66667</v>
      </c>
      <c r="B1754" s="1">
        <f>IFERROR(__xludf.DUMMYFUNCTION("""COMPUTED_VALUE"""),1772.87)</f>
        <v>1772.87</v>
      </c>
    </row>
    <row r="1755">
      <c r="A1755" s="2">
        <f>IFERROR(__xludf.DUMMYFUNCTION("""COMPUTED_VALUE"""),38342.666666666664)</f>
        <v>38342.66667</v>
      </c>
      <c r="B1755" s="1">
        <f>IFERROR(__xludf.DUMMYFUNCTION("""COMPUTED_VALUE"""),1788.93)</f>
        <v>1788.93</v>
      </c>
    </row>
    <row r="1756">
      <c r="A1756" s="2">
        <f>IFERROR(__xludf.DUMMYFUNCTION("""COMPUTED_VALUE"""),38343.666666666664)</f>
        <v>38343.66667</v>
      </c>
      <c r="B1756" s="1">
        <f>IFERROR(__xludf.DUMMYFUNCTION("""COMPUTED_VALUE"""),1795.66)</f>
        <v>1795.66</v>
      </c>
    </row>
    <row r="1757">
      <c r="A1757" s="2">
        <f>IFERROR(__xludf.DUMMYFUNCTION("""COMPUTED_VALUE"""),38344.666666666664)</f>
        <v>38344.66667</v>
      </c>
      <c r="B1757" s="1">
        <f>IFERROR(__xludf.DUMMYFUNCTION("""COMPUTED_VALUE"""),1796.49)</f>
        <v>1796.49</v>
      </c>
    </row>
    <row r="1758">
      <c r="A1758" s="2">
        <f>IFERROR(__xludf.DUMMYFUNCTION("""COMPUTED_VALUE"""),38348.666666666664)</f>
        <v>38348.66667</v>
      </c>
      <c r="B1758" s="1">
        <f>IFERROR(__xludf.DUMMYFUNCTION("""COMPUTED_VALUE"""),1788.76)</f>
        <v>1788.76</v>
      </c>
    </row>
    <row r="1759">
      <c r="A1759" s="2">
        <f>IFERROR(__xludf.DUMMYFUNCTION("""COMPUTED_VALUE"""),38349.666666666664)</f>
        <v>38349.66667</v>
      </c>
      <c r="B1759" s="1">
        <f>IFERROR(__xludf.DUMMYFUNCTION("""COMPUTED_VALUE"""),1801.58)</f>
        <v>1801.58</v>
      </c>
    </row>
    <row r="1760">
      <c r="A1760" s="2">
        <f>IFERROR(__xludf.DUMMYFUNCTION("""COMPUTED_VALUE"""),38350.666666666664)</f>
        <v>38350.66667</v>
      </c>
      <c r="B1760" s="1">
        <f>IFERROR(__xludf.DUMMYFUNCTION("""COMPUTED_VALUE"""),1801.71)</f>
        <v>1801.71</v>
      </c>
    </row>
    <row r="1761">
      <c r="A1761" s="2">
        <f>IFERROR(__xludf.DUMMYFUNCTION("""COMPUTED_VALUE"""),38351.666666666664)</f>
        <v>38351.66667</v>
      </c>
      <c r="B1761" s="1">
        <f>IFERROR(__xludf.DUMMYFUNCTION("""COMPUTED_VALUE"""),1801.98)</f>
        <v>1801.98</v>
      </c>
    </row>
    <row r="1762">
      <c r="A1762" s="2">
        <f>IFERROR(__xludf.DUMMYFUNCTION("""COMPUTED_VALUE"""),38352.666666666664)</f>
        <v>38352.66667</v>
      </c>
      <c r="B1762" s="1">
        <f>IFERROR(__xludf.DUMMYFUNCTION("""COMPUTED_VALUE"""),1799.55)</f>
        <v>1799.55</v>
      </c>
    </row>
    <row r="1763">
      <c r="A1763" s="2">
        <f>IFERROR(__xludf.DUMMYFUNCTION("""COMPUTED_VALUE"""),38355.666666666664)</f>
        <v>38355.66667</v>
      </c>
      <c r="B1763" s="1">
        <f>IFERROR(__xludf.DUMMYFUNCTION("""COMPUTED_VALUE"""),1784.96)</f>
        <v>1784.96</v>
      </c>
    </row>
    <row r="1764">
      <c r="A1764" s="2">
        <f>IFERROR(__xludf.DUMMYFUNCTION("""COMPUTED_VALUE"""),38356.666666666664)</f>
        <v>38356.66667</v>
      </c>
      <c r="B1764" s="1">
        <f>IFERROR(__xludf.DUMMYFUNCTION("""COMPUTED_VALUE"""),1764.3)</f>
        <v>1764.3</v>
      </c>
    </row>
    <row r="1765">
      <c r="A1765" s="2">
        <f>IFERROR(__xludf.DUMMYFUNCTION("""COMPUTED_VALUE"""),38357.666666666664)</f>
        <v>38357.66667</v>
      </c>
      <c r="B1765" s="1">
        <f>IFERROR(__xludf.DUMMYFUNCTION("""COMPUTED_VALUE"""),1758.07)</f>
        <v>1758.07</v>
      </c>
    </row>
    <row r="1766">
      <c r="A1766" s="2">
        <f>IFERROR(__xludf.DUMMYFUNCTION("""COMPUTED_VALUE"""),38358.666666666664)</f>
        <v>38358.66667</v>
      </c>
      <c r="B1766" s="1">
        <f>IFERROR(__xludf.DUMMYFUNCTION("""COMPUTED_VALUE"""),1764.63)</f>
        <v>1764.63</v>
      </c>
    </row>
    <row r="1767">
      <c r="A1767" s="2">
        <f>IFERROR(__xludf.DUMMYFUNCTION("""COMPUTED_VALUE"""),38359.666666666664)</f>
        <v>38359.66667</v>
      </c>
      <c r="B1767" s="1">
        <f>IFERROR(__xludf.DUMMYFUNCTION("""COMPUTED_VALUE"""),1762.12)</f>
        <v>1762.12</v>
      </c>
    </row>
    <row r="1768">
      <c r="A1768" s="2">
        <f>IFERROR(__xludf.DUMMYFUNCTION("""COMPUTED_VALUE"""),38362.666666666664)</f>
        <v>38362.66667</v>
      </c>
      <c r="B1768" s="1">
        <f>IFERROR(__xludf.DUMMYFUNCTION("""COMPUTED_VALUE"""),1768.17)</f>
        <v>1768.17</v>
      </c>
    </row>
    <row r="1769">
      <c r="A1769" s="2">
        <f>IFERROR(__xludf.DUMMYFUNCTION("""COMPUTED_VALUE"""),38363.666666666664)</f>
        <v>38363.66667</v>
      </c>
      <c r="B1769" s="1">
        <f>IFERROR(__xludf.DUMMYFUNCTION("""COMPUTED_VALUE"""),1757.51)</f>
        <v>1757.51</v>
      </c>
    </row>
    <row r="1770">
      <c r="A1770" s="2">
        <f>IFERROR(__xludf.DUMMYFUNCTION("""COMPUTED_VALUE"""),38364.666666666664)</f>
        <v>38364.66667</v>
      </c>
      <c r="B1770" s="1">
        <f>IFERROR(__xludf.DUMMYFUNCTION("""COMPUTED_VALUE"""),1764.72)</f>
        <v>1764.72</v>
      </c>
    </row>
    <row r="1771">
      <c r="A1771" s="2">
        <f>IFERROR(__xludf.DUMMYFUNCTION("""COMPUTED_VALUE"""),38365.666666666664)</f>
        <v>38365.66667</v>
      </c>
      <c r="B1771" s="1">
        <f>IFERROR(__xludf.DUMMYFUNCTION("""COMPUTED_VALUE"""),1749.48)</f>
        <v>1749.48</v>
      </c>
    </row>
    <row r="1772">
      <c r="A1772" s="2">
        <f>IFERROR(__xludf.DUMMYFUNCTION("""COMPUTED_VALUE"""),38366.666666666664)</f>
        <v>38366.66667</v>
      </c>
      <c r="B1772" s="1">
        <f>IFERROR(__xludf.DUMMYFUNCTION("""COMPUTED_VALUE"""),1759.98)</f>
        <v>1759.98</v>
      </c>
    </row>
    <row r="1773">
      <c r="A1773" s="2">
        <f>IFERROR(__xludf.DUMMYFUNCTION("""COMPUTED_VALUE"""),38370.666666666664)</f>
        <v>38370.66667</v>
      </c>
      <c r="B1773" s="1">
        <f>IFERROR(__xludf.DUMMYFUNCTION("""COMPUTED_VALUE"""),1777.04)</f>
        <v>1777.04</v>
      </c>
    </row>
    <row r="1774">
      <c r="A1774" s="2">
        <f>IFERROR(__xludf.DUMMYFUNCTION("""COMPUTED_VALUE"""),38371.666666666664)</f>
        <v>38371.66667</v>
      </c>
      <c r="B1774" s="1">
        <f>IFERROR(__xludf.DUMMYFUNCTION("""COMPUTED_VALUE"""),1760.28)</f>
        <v>1760.28</v>
      </c>
    </row>
    <row r="1775">
      <c r="A1775" s="2">
        <f>IFERROR(__xludf.DUMMYFUNCTION("""COMPUTED_VALUE"""),38372.666666666664)</f>
        <v>38372.66667</v>
      </c>
      <c r="B1775" s="1">
        <f>IFERROR(__xludf.DUMMYFUNCTION("""COMPUTED_VALUE"""),1746.61)</f>
        <v>1746.61</v>
      </c>
    </row>
    <row r="1776">
      <c r="A1776" s="2">
        <f>IFERROR(__xludf.DUMMYFUNCTION("""COMPUTED_VALUE"""),38373.666666666664)</f>
        <v>38373.66667</v>
      </c>
      <c r="B1776" s="1">
        <f>IFERROR(__xludf.DUMMYFUNCTION("""COMPUTED_VALUE"""),1735.43)</f>
        <v>1735.43</v>
      </c>
    </row>
    <row r="1777">
      <c r="A1777" s="2">
        <f>IFERROR(__xludf.DUMMYFUNCTION("""COMPUTED_VALUE"""),38376.666666666664)</f>
        <v>38376.66667</v>
      </c>
      <c r="B1777" s="1">
        <f>IFERROR(__xludf.DUMMYFUNCTION("""COMPUTED_VALUE"""),1729.33)</f>
        <v>1729.33</v>
      </c>
    </row>
    <row r="1778">
      <c r="A1778" s="2">
        <f>IFERROR(__xludf.DUMMYFUNCTION("""COMPUTED_VALUE"""),38377.666666666664)</f>
        <v>38377.66667</v>
      </c>
      <c r="B1778" s="1">
        <f>IFERROR(__xludf.DUMMYFUNCTION("""COMPUTED_VALUE"""),1736.25)</f>
        <v>1736.25</v>
      </c>
    </row>
    <row r="1779">
      <c r="A1779" s="2">
        <f>IFERROR(__xludf.DUMMYFUNCTION("""COMPUTED_VALUE"""),38378.666666666664)</f>
        <v>38378.66667</v>
      </c>
      <c r="B1779" s="1">
        <f>IFERROR(__xludf.DUMMYFUNCTION("""COMPUTED_VALUE"""),1744.72)</f>
        <v>1744.72</v>
      </c>
    </row>
    <row r="1780">
      <c r="A1780" s="2">
        <f>IFERROR(__xludf.DUMMYFUNCTION("""COMPUTED_VALUE"""),38379.666666666664)</f>
        <v>38379.66667</v>
      </c>
      <c r="B1780" s="1">
        <f>IFERROR(__xludf.DUMMYFUNCTION("""COMPUTED_VALUE"""),1745.58)</f>
        <v>1745.58</v>
      </c>
    </row>
    <row r="1781">
      <c r="A1781" s="2">
        <f>IFERROR(__xludf.DUMMYFUNCTION("""COMPUTED_VALUE"""),38380.666666666664)</f>
        <v>38380.66667</v>
      </c>
      <c r="B1781" s="1">
        <f>IFERROR(__xludf.DUMMYFUNCTION("""COMPUTED_VALUE"""),1740.96)</f>
        <v>1740.96</v>
      </c>
    </row>
    <row r="1782">
      <c r="A1782" s="2">
        <f>IFERROR(__xludf.DUMMYFUNCTION("""COMPUTED_VALUE"""),38383.666666666664)</f>
        <v>38383.66667</v>
      </c>
      <c r="B1782" s="1">
        <f>IFERROR(__xludf.DUMMYFUNCTION("""COMPUTED_VALUE"""),1755.68)</f>
        <v>1755.68</v>
      </c>
    </row>
    <row r="1783">
      <c r="A1783" s="2">
        <f>IFERROR(__xludf.DUMMYFUNCTION("""COMPUTED_VALUE"""),38384.666666666664)</f>
        <v>38384.66667</v>
      </c>
      <c r="B1783" s="1">
        <f>IFERROR(__xludf.DUMMYFUNCTION("""COMPUTED_VALUE"""),1767.79)</f>
        <v>1767.79</v>
      </c>
    </row>
    <row r="1784">
      <c r="A1784" s="2">
        <f>IFERROR(__xludf.DUMMYFUNCTION("""COMPUTED_VALUE"""),38385.666666666664)</f>
        <v>38385.66667</v>
      </c>
      <c r="B1784" s="1">
        <f>IFERROR(__xludf.DUMMYFUNCTION("""COMPUTED_VALUE"""),1773.63)</f>
        <v>1773.63</v>
      </c>
    </row>
    <row r="1785">
      <c r="A1785" s="2">
        <f>IFERROR(__xludf.DUMMYFUNCTION("""COMPUTED_VALUE"""),38386.666666666664)</f>
        <v>38386.66667</v>
      </c>
      <c r="B1785" s="1">
        <f>IFERROR(__xludf.DUMMYFUNCTION("""COMPUTED_VALUE"""),1769.26)</f>
        <v>1769.26</v>
      </c>
    </row>
    <row r="1786">
      <c r="A1786" s="2">
        <f>IFERROR(__xludf.DUMMYFUNCTION("""COMPUTED_VALUE"""),38387.666666666664)</f>
        <v>38387.66667</v>
      </c>
      <c r="B1786" s="1">
        <f>IFERROR(__xludf.DUMMYFUNCTION("""COMPUTED_VALUE"""),1788.82)</f>
        <v>1788.82</v>
      </c>
    </row>
    <row r="1787">
      <c r="A1787" s="2">
        <f>IFERROR(__xludf.DUMMYFUNCTION("""COMPUTED_VALUE"""),38390.666666666664)</f>
        <v>38390.66667</v>
      </c>
      <c r="B1787" s="1">
        <f>IFERROR(__xludf.DUMMYFUNCTION("""COMPUTED_VALUE"""),1786.92)</f>
        <v>1786.92</v>
      </c>
    </row>
    <row r="1788">
      <c r="A1788" s="2">
        <f>IFERROR(__xludf.DUMMYFUNCTION("""COMPUTED_VALUE"""),38391.666666666664)</f>
        <v>38391.66667</v>
      </c>
      <c r="B1788" s="1">
        <f>IFERROR(__xludf.DUMMYFUNCTION("""COMPUTED_VALUE"""),1788.16)</f>
        <v>1788.16</v>
      </c>
    </row>
    <row r="1789">
      <c r="A1789" s="2">
        <f>IFERROR(__xludf.DUMMYFUNCTION("""COMPUTED_VALUE"""),38392.666666666664)</f>
        <v>38392.66667</v>
      </c>
      <c r="B1789" s="1">
        <f>IFERROR(__xludf.DUMMYFUNCTION("""COMPUTED_VALUE"""),1773.28)</f>
        <v>1773.28</v>
      </c>
    </row>
    <row r="1790">
      <c r="A1790" s="2">
        <f>IFERROR(__xludf.DUMMYFUNCTION("""COMPUTED_VALUE"""),38393.666666666664)</f>
        <v>38393.66667</v>
      </c>
      <c r="B1790" s="1">
        <f>IFERROR(__xludf.DUMMYFUNCTION("""COMPUTED_VALUE"""),1780.8)</f>
        <v>1780.8</v>
      </c>
    </row>
    <row r="1791">
      <c r="A1791" s="2">
        <f>IFERROR(__xludf.DUMMYFUNCTION("""COMPUTED_VALUE"""),38394.666666666664)</f>
        <v>38394.66667</v>
      </c>
      <c r="B1791" s="1">
        <f>IFERROR(__xludf.DUMMYFUNCTION("""COMPUTED_VALUE"""),1793.54)</f>
        <v>1793.54</v>
      </c>
    </row>
    <row r="1792">
      <c r="A1792" s="2">
        <f>IFERROR(__xludf.DUMMYFUNCTION("""COMPUTED_VALUE"""),38397.666666666664)</f>
        <v>38397.66667</v>
      </c>
      <c r="B1792" s="1">
        <f>IFERROR(__xludf.DUMMYFUNCTION("""COMPUTED_VALUE"""),1794.98)</f>
        <v>1794.98</v>
      </c>
    </row>
    <row r="1793">
      <c r="A1793" s="2">
        <f>IFERROR(__xludf.DUMMYFUNCTION("""COMPUTED_VALUE"""),38398.666666666664)</f>
        <v>38398.66667</v>
      </c>
      <c r="B1793" s="1">
        <f>IFERROR(__xludf.DUMMYFUNCTION("""COMPUTED_VALUE"""),1801.06)</f>
        <v>1801.06</v>
      </c>
    </row>
    <row r="1794">
      <c r="A1794" s="2">
        <f>IFERROR(__xludf.DUMMYFUNCTION("""COMPUTED_VALUE"""),38399.666666666664)</f>
        <v>38399.66667</v>
      </c>
      <c r="B1794" s="1">
        <f>IFERROR(__xludf.DUMMYFUNCTION("""COMPUTED_VALUE"""),1801.59)</f>
        <v>1801.59</v>
      </c>
    </row>
    <row r="1795">
      <c r="A1795" s="2">
        <f>IFERROR(__xludf.DUMMYFUNCTION("""COMPUTED_VALUE"""),38400.666666666664)</f>
        <v>38400.66667</v>
      </c>
      <c r="B1795" s="1">
        <f>IFERROR(__xludf.DUMMYFUNCTION("""COMPUTED_VALUE"""),1787.41)</f>
        <v>1787.41</v>
      </c>
    </row>
    <row r="1796">
      <c r="A1796" s="2">
        <f>IFERROR(__xludf.DUMMYFUNCTION("""COMPUTED_VALUE"""),38401.666666666664)</f>
        <v>38401.66667</v>
      </c>
      <c r="B1796" s="1">
        <f>IFERROR(__xludf.DUMMYFUNCTION("""COMPUTED_VALUE"""),1788.65)</f>
        <v>1788.65</v>
      </c>
    </row>
    <row r="1797">
      <c r="A1797" s="2">
        <f>IFERROR(__xludf.DUMMYFUNCTION("""COMPUTED_VALUE"""),38405.666666666664)</f>
        <v>38405.66667</v>
      </c>
      <c r="B1797" s="1">
        <f>IFERROR(__xludf.DUMMYFUNCTION("""COMPUTED_VALUE"""),1762.76)</f>
        <v>1762.76</v>
      </c>
    </row>
    <row r="1798">
      <c r="A1798" s="2">
        <f>IFERROR(__xludf.DUMMYFUNCTION("""COMPUTED_VALUE"""),38406.666666666664)</f>
        <v>38406.66667</v>
      </c>
      <c r="B1798" s="1">
        <f>IFERROR(__xludf.DUMMYFUNCTION("""COMPUTED_VALUE"""),1772.76)</f>
        <v>1772.76</v>
      </c>
    </row>
    <row r="1799">
      <c r="A1799" s="2">
        <f>IFERROR(__xludf.DUMMYFUNCTION("""COMPUTED_VALUE"""),38407.666666666664)</f>
        <v>38407.66667</v>
      </c>
      <c r="B1799" s="1">
        <f>IFERROR(__xludf.DUMMYFUNCTION("""COMPUTED_VALUE"""),1787.34)</f>
        <v>1787.34</v>
      </c>
    </row>
    <row r="1800">
      <c r="A1800" s="2">
        <f>IFERROR(__xludf.DUMMYFUNCTION("""COMPUTED_VALUE"""),38408.666666666664)</f>
        <v>38408.66667</v>
      </c>
      <c r="B1800" s="1">
        <f>IFERROR(__xludf.DUMMYFUNCTION("""COMPUTED_VALUE"""),1804.17)</f>
        <v>1804.17</v>
      </c>
    </row>
    <row r="1801">
      <c r="A1801" s="2">
        <f>IFERROR(__xludf.DUMMYFUNCTION("""COMPUTED_VALUE"""),38411.666666666664)</f>
        <v>38411.66667</v>
      </c>
      <c r="B1801" s="1">
        <f>IFERROR(__xludf.DUMMYFUNCTION("""COMPUTED_VALUE"""),1792.63)</f>
        <v>1792.63</v>
      </c>
    </row>
    <row r="1802">
      <c r="A1802" s="2">
        <f>IFERROR(__xludf.DUMMYFUNCTION("""COMPUTED_VALUE"""),38412.666666666664)</f>
        <v>38412.66667</v>
      </c>
      <c r="B1802" s="1">
        <f>IFERROR(__xludf.DUMMYFUNCTION("""COMPUTED_VALUE"""),1802.79)</f>
        <v>1802.79</v>
      </c>
    </row>
    <row r="1803">
      <c r="A1803" s="2">
        <f>IFERROR(__xludf.DUMMYFUNCTION("""COMPUTED_VALUE"""),38413.666666666664)</f>
        <v>38413.66667</v>
      </c>
      <c r="B1803" s="1">
        <f>IFERROR(__xludf.DUMMYFUNCTION("""COMPUTED_VALUE"""),1802.92)</f>
        <v>1802.92</v>
      </c>
    </row>
    <row r="1804">
      <c r="A1804" s="2">
        <f>IFERROR(__xludf.DUMMYFUNCTION("""COMPUTED_VALUE"""),38414.666666666664)</f>
        <v>38414.66667</v>
      </c>
      <c r="B1804" s="1">
        <f>IFERROR(__xludf.DUMMYFUNCTION("""COMPUTED_VALUE"""),1803.51)</f>
        <v>1803.51</v>
      </c>
    </row>
    <row r="1805">
      <c r="A1805" s="2">
        <f>IFERROR(__xludf.DUMMYFUNCTION("""COMPUTED_VALUE"""),38415.666666666664)</f>
        <v>38415.66667</v>
      </c>
      <c r="B1805" s="1">
        <f>IFERROR(__xludf.DUMMYFUNCTION("""COMPUTED_VALUE"""),1820.88)</f>
        <v>1820.88</v>
      </c>
    </row>
    <row r="1806">
      <c r="A1806" s="2">
        <f>IFERROR(__xludf.DUMMYFUNCTION("""COMPUTED_VALUE"""),38418.666666666664)</f>
        <v>38418.66667</v>
      </c>
      <c r="B1806" s="1">
        <f>IFERROR(__xludf.DUMMYFUNCTION("""COMPUTED_VALUE"""),1825.7)</f>
        <v>1825.7</v>
      </c>
    </row>
    <row r="1807">
      <c r="A1807" s="2">
        <f>IFERROR(__xludf.DUMMYFUNCTION("""COMPUTED_VALUE"""),38419.666666666664)</f>
        <v>38419.66667</v>
      </c>
      <c r="B1807" s="1">
        <f>IFERROR(__xludf.DUMMYFUNCTION("""COMPUTED_VALUE"""),1817.12)</f>
        <v>1817.12</v>
      </c>
    </row>
    <row r="1808">
      <c r="A1808" s="2">
        <f>IFERROR(__xludf.DUMMYFUNCTION("""COMPUTED_VALUE"""),38420.666666666664)</f>
        <v>38420.66667</v>
      </c>
      <c r="B1808" s="1">
        <f>IFERROR(__xludf.DUMMYFUNCTION("""COMPUTED_VALUE"""),1798.79)</f>
        <v>1798.79</v>
      </c>
    </row>
    <row r="1809">
      <c r="A1809" s="2">
        <f>IFERROR(__xludf.DUMMYFUNCTION("""COMPUTED_VALUE"""),38421.666666666664)</f>
        <v>38421.66667</v>
      </c>
      <c r="B1809" s="1">
        <f>IFERROR(__xludf.DUMMYFUNCTION("""COMPUTED_VALUE"""),1802.2)</f>
        <v>1802.2</v>
      </c>
    </row>
    <row r="1810">
      <c r="A1810" s="2">
        <f>IFERROR(__xludf.DUMMYFUNCTION("""COMPUTED_VALUE"""),38422.666666666664)</f>
        <v>38422.66667</v>
      </c>
      <c r="B1810" s="1">
        <f>IFERROR(__xludf.DUMMYFUNCTION("""COMPUTED_VALUE"""),1789.01)</f>
        <v>1789.01</v>
      </c>
    </row>
    <row r="1811">
      <c r="A1811" s="2">
        <f>IFERROR(__xludf.DUMMYFUNCTION("""COMPUTED_VALUE"""),38425.666666666664)</f>
        <v>38425.66667</v>
      </c>
      <c r="B1811" s="1">
        <f>IFERROR(__xludf.DUMMYFUNCTION("""COMPUTED_VALUE"""),1799.14)</f>
        <v>1799.14</v>
      </c>
    </row>
    <row r="1812">
      <c r="A1812" s="2">
        <f>IFERROR(__xludf.DUMMYFUNCTION("""COMPUTED_VALUE"""),38426.666666666664)</f>
        <v>38426.66667</v>
      </c>
      <c r="B1812" s="1">
        <f>IFERROR(__xludf.DUMMYFUNCTION("""COMPUTED_VALUE"""),1785.61)</f>
        <v>1785.61</v>
      </c>
    </row>
    <row r="1813">
      <c r="A1813" s="2">
        <f>IFERROR(__xludf.DUMMYFUNCTION("""COMPUTED_VALUE"""),38427.666666666664)</f>
        <v>38427.66667</v>
      </c>
      <c r="B1813" s="1">
        <f>IFERROR(__xludf.DUMMYFUNCTION("""COMPUTED_VALUE"""),1771.35)</f>
        <v>1771.35</v>
      </c>
    </row>
    <row r="1814">
      <c r="A1814" s="2">
        <f>IFERROR(__xludf.DUMMYFUNCTION("""COMPUTED_VALUE"""),38428.666666666664)</f>
        <v>38428.66667</v>
      </c>
      <c r="B1814" s="1">
        <f>IFERROR(__xludf.DUMMYFUNCTION("""COMPUTED_VALUE"""),1774.55)</f>
        <v>1774.55</v>
      </c>
    </row>
    <row r="1815">
      <c r="A1815" s="2">
        <f>IFERROR(__xludf.DUMMYFUNCTION("""COMPUTED_VALUE"""),38429.666666666664)</f>
        <v>38429.66667</v>
      </c>
      <c r="B1815" s="1">
        <f>IFERROR(__xludf.DUMMYFUNCTION("""COMPUTED_VALUE"""),1773.72)</f>
        <v>1773.72</v>
      </c>
    </row>
    <row r="1816">
      <c r="A1816" s="2">
        <f>IFERROR(__xludf.DUMMYFUNCTION("""COMPUTED_VALUE"""),38432.666666666664)</f>
        <v>38432.66667</v>
      </c>
      <c r="B1816" s="1">
        <f>IFERROR(__xludf.DUMMYFUNCTION("""COMPUTED_VALUE"""),1764.98)</f>
        <v>1764.98</v>
      </c>
    </row>
    <row r="1817">
      <c r="A1817" s="2">
        <f>IFERROR(__xludf.DUMMYFUNCTION("""COMPUTED_VALUE"""),38433.666666666664)</f>
        <v>38433.66667</v>
      </c>
      <c r="B1817" s="1">
        <f>IFERROR(__xludf.DUMMYFUNCTION("""COMPUTED_VALUE"""),1747.03)</f>
        <v>1747.03</v>
      </c>
    </row>
    <row r="1818">
      <c r="A1818" s="2">
        <f>IFERROR(__xludf.DUMMYFUNCTION("""COMPUTED_VALUE"""),38434.666666666664)</f>
        <v>38434.66667</v>
      </c>
      <c r="B1818" s="1">
        <f>IFERROR(__xludf.DUMMYFUNCTION("""COMPUTED_VALUE"""),1748.28)</f>
        <v>1748.28</v>
      </c>
    </row>
    <row r="1819">
      <c r="A1819" s="2">
        <f>IFERROR(__xludf.DUMMYFUNCTION("""COMPUTED_VALUE"""),38435.666666666664)</f>
        <v>38435.66667</v>
      </c>
      <c r="B1819" s="1">
        <f>IFERROR(__xludf.DUMMYFUNCTION("""COMPUTED_VALUE"""),1746.62)</f>
        <v>1746.62</v>
      </c>
    </row>
    <row r="1820">
      <c r="A1820" s="2">
        <f>IFERROR(__xludf.DUMMYFUNCTION("""COMPUTED_VALUE"""),38439.666666666664)</f>
        <v>38439.66667</v>
      </c>
      <c r="B1820" s="1">
        <f>IFERROR(__xludf.DUMMYFUNCTION("""COMPUTED_VALUE"""),1750.89)</f>
        <v>1750.89</v>
      </c>
    </row>
    <row r="1821">
      <c r="A1821" s="2">
        <f>IFERROR(__xludf.DUMMYFUNCTION("""COMPUTED_VALUE"""),38440.666666666664)</f>
        <v>38440.66667</v>
      </c>
      <c r="B1821" s="1">
        <f>IFERROR(__xludf.DUMMYFUNCTION("""COMPUTED_VALUE"""),1737.94)</f>
        <v>1737.94</v>
      </c>
    </row>
    <row r="1822">
      <c r="A1822" s="2">
        <f>IFERROR(__xludf.DUMMYFUNCTION("""COMPUTED_VALUE"""),38441.666666666664)</f>
        <v>38441.66667</v>
      </c>
      <c r="B1822" s="1">
        <f>IFERROR(__xludf.DUMMYFUNCTION("""COMPUTED_VALUE"""),1762.09)</f>
        <v>1762.09</v>
      </c>
    </row>
    <row r="1823">
      <c r="A1823" s="2">
        <f>IFERROR(__xludf.DUMMYFUNCTION("""COMPUTED_VALUE"""),38442.666666666664)</f>
        <v>38442.66667</v>
      </c>
      <c r="B1823" s="1">
        <f>IFERROR(__xludf.DUMMYFUNCTION("""COMPUTED_VALUE"""),1760.89)</f>
        <v>1760.89</v>
      </c>
    </row>
    <row r="1824">
      <c r="A1824" s="2">
        <f>IFERROR(__xludf.DUMMYFUNCTION("""COMPUTED_VALUE"""),38443.666666666664)</f>
        <v>38443.66667</v>
      </c>
      <c r="B1824" s="1">
        <f>IFERROR(__xludf.DUMMYFUNCTION("""COMPUTED_VALUE"""),1749.45)</f>
        <v>1749.45</v>
      </c>
    </row>
    <row r="1825">
      <c r="A1825" s="2">
        <f>IFERROR(__xludf.DUMMYFUNCTION("""COMPUTED_VALUE"""),38446.666666666664)</f>
        <v>38446.66667</v>
      </c>
      <c r="B1825" s="1">
        <f>IFERROR(__xludf.DUMMYFUNCTION("""COMPUTED_VALUE"""),1754.43)</f>
        <v>1754.43</v>
      </c>
    </row>
    <row r="1826">
      <c r="A1826" s="2">
        <f>IFERROR(__xludf.DUMMYFUNCTION("""COMPUTED_VALUE"""),38447.666666666664)</f>
        <v>38447.66667</v>
      </c>
      <c r="B1826" s="1">
        <f>IFERROR(__xludf.DUMMYFUNCTION("""COMPUTED_VALUE"""),1762.32)</f>
        <v>1762.32</v>
      </c>
    </row>
    <row r="1827">
      <c r="A1827" s="2">
        <f>IFERROR(__xludf.DUMMYFUNCTION("""COMPUTED_VALUE"""),38448.666666666664)</f>
        <v>38448.66667</v>
      </c>
      <c r="B1827" s="1">
        <f>IFERROR(__xludf.DUMMYFUNCTION("""COMPUTED_VALUE"""),1766.69)</f>
        <v>1766.69</v>
      </c>
    </row>
    <row r="1828">
      <c r="A1828" s="2">
        <f>IFERROR(__xludf.DUMMYFUNCTION("""COMPUTED_VALUE"""),38449.666666666664)</f>
        <v>38449.66667</v>
      </c>
      <c r="B1828" s="1">
        <f>IFERROR(__xludf.DUMMYFUNCTION("""COMPUTED_VALUE"""),1777.35)</f>
        <v>1777.35</v>
      </c>
    </row>
    <row r="1829">
      <c r="A1829" s="2">
        <f>IFERROR(__xludf.DUMMYFUNCTION("""COMPUTED_VALUE"""),38450.666666666664)</f>
        <v>38450.66667</v>
      </c>
      <c r="B1829" s="1">
        <f>IFERROR(__xludf.DUMMYFUNCTION("""COMPUTED_VALUE"""),1762.52)</f>
        <v>1762.52</v>
      </c>
    </row>
    <row r="1830">
      <c r="A1830" s="2">
        <f>IFERROR(__xludf.DUMMYFUNCTION("""COMPUTED_VALUE"""),38453.666666666664)</f>
        <v>38453.66667</v>
      </c>
      <c r="B1830" s="1">
        <f>IFERROR(__xludf.DUMMYFUNCTION("""COMPUTED_VALUE"""),1762.56)</f>
        <v>1762.56</v>
      </c>
    </row>
    <row r="1831">
      <c r="A1831" s="2">
        <f>IFERROR(__xludf.DUMMYFUNCTION("""COMPUTED_VALUE"""),38454.666666666664)</f>
        <v>38454.66667</v>
      </c>
      <c r="B1831" s="1">
        <f>IFERROR(__xludf.DUMMYFUNCTION("""COMPUTED_VALUE"""),1772.44)</f>
        <v>1772.44</v>
      </c>
    </row>
    <row r="1832">
      <c r="A1832" s="2">
        <f>IFERROR(__xludf.DUMMYFUNCTION("""COMPUTED_VALUE"""),38455.666666666664)</f>
        <v>38455.66667</v>
      </c>
      <c r="B1832" s="1">
        <f>IFERROR(__xludf.DUMMYFUNCTION("""COMPUTED_VALUE"""),1751.77)</f>
        <v>1751.77</v>
      </c>
    </row>
    <row r="1833">
      <c r="A1833" s="2">
        <f>IFERROR(__xludf.DUMMYFUNCTION("""COMPUTED_VALUE"""),38456.666666666664)</f>
        <v>38456.66667</v>
      </c>
      <c r="B1833" s="1">
        <f>IFERROR(__xludf.DUMMYFUNCTION("""COMPUTED_VALUE"""),1734.25)</f>
        <v>1734.25</v>
      </c>
    </row>
    <row r="1834">
      <c r="A1834" s="2">
        <f>IFERROR(__xludf.DUMMYFUNCTION("""COMPUTED_VALUE"""),38457.666666666664)</f>
        <v>38457.66667</v>
      </c>
      <c r="B1834" s="1">
        <f>IFERROR(__xludf.DUMMYFUNCTION("""COMPUTED_VALUE"""),1705.26)</f>
        <v>1705.26</v>
      </c>
    </row>
    <row r="1835">
      <c r="A1835" s="2">
        <f>IFERROR(__xludf.DUMMYFUNCTION("""COMPUTED_VALUE"""),38460.666666666664)</f>
        <v>38460.66667</v>
      </c>
      <c r="B1835" s="1">
        <f>IFERROR(__xludf.DUMMYFUNCTION("""COMPUTED_VALUE"""),1710.27)</f>
        <v>1710.27</v>
      </c>
    </row>
    <row r="1836">
      <c r="A1836" s="2">
        <f>IFERROR(__xludf.DUMMYFUNCTION("""COMPUTED_VALUE"""),38461.666666666664)</f>
        <v>38461.66667</v>
      </c>
      <c r="B1836" s="1">
        <f>IFERROR(__xludf.DUMMYFUNCTION("""COMPUTED_VALUE"""),1720.43)</f>
        <v>1720.43</v>
      </c>
    </row>
    <row r="1837">
      <c r="A1837" s="2">
        <f>IFERROR(__xludf.DUMMYFUNCTION("""COMPUTED_VALUE"""),38462.666666666664)</f>
        <v>38462.66667</v>
      </c>
      <c r="B1837" s="1">
        <f>IFERROR(__xludf.DUMMYFUNCTION("""COMPUTED_VALUE"""),1697.74)</f>
        <v>1697.74</v>
      </c>
    </row>
    <row r="1838">
      <c r="A1838" s="2">
        <f>IFERROR(__xludf.DUMMYFUNCTION("""COMPUTED_VALUE"""),38463.666666666664)</f>
        <v>38463.66667</v>
      </c>
      <c r="B1838" s="1">
        <f>IFERROR(__xludf.DUMMYFUNCTION("""COMPUTED_VALUE"""),1731.27)</f>
        <v>1731.27</v>
      </c>
    </row>
    <row r="1839">
      <c r="A1839" s="2">
        <f>IFERROR(__xludf.DUMMYFUNCTION("""COMPUTED_VALUE"""),38464.666666666664)</f>
        <v>38464.66667</v>
      </c>
      <c r="B1839" s="1">
        <f>IFERROR(__xludf.DUMMYFUNCTION("""COMPUTED_VALUE"""),1719.66)</f>
        <v>1719.66</v>
      </c>
    </row>
    <row r="1840">
      <c r="A1840" s="2">
        <f>IFERROR(__xludf.DUMMYFUNCTION("""COMPUTED_VALUE"""),38467.666666666664)</f>
        <v>38467.66667</v>
      </c>
      <c r="B1840" s="1">
        <f>IFERROR(__xludf.DUMMYFUNCTION("""COMPUTED_VALUE"""),1734.56)</f>
        <v>1734.56</v>
      </c>
    </row>
    <row r="1841">
      <c r="A1841" s="2">
        <f>IFERROR(__xludf.DUMMYFUNCTION("""COMPUTED_VALUE"""),38468.666666666664)</f>
        <v>38468.66667</v>
      </c>
      <c r="B1841" s="1">
        <f>IFERROR(__xludf.DUMMYFUNCTION("""COMPUTED_VALUE"""),1719.09)</f>
        <v>1719.09</v>
      </c>
    </row>
    <row r="1842">
      <c r="A1842" s="2">
        <f>IFERROR(__xludf.DUMMYFUNCTION("""COMPUTED_VALUE"""),38469.666666666664)</f>
        <v>38469.66667</v>
      </c>
      <c r="B1842" s="1">
        <f>IFERROR(__xludf.DUMMYFUNCTION("""COMPUTED_VALUE"""),1726.21)</f>
        <v>1726.21</v>
      </c>
    </row>
    <row r="1843">
      <c r="A1843" s="2">
        <f>IFERROR(__xludf.DUMMYFUNCTION("""COMPUTED_VALUE"""),38470.666666666664)</f>
        <v>38470.66667</v>
      </c>
      <c r="B1843" s="1">
        <f>IFERROR(__xludf.DUMMYFUNCTION("""COMPUTED_VALUE"""),1707.13)</f>
        <v>1707.13</v>
      </c>
    </row>
    <row r="1844">
      <c r="A1844" s="2">
        <f>IFERROR(__xludf.DUMMYFUNCTION("""COMPUTED_VALUE"""),38471.666666666664)</f>
        <v>38471.66667</v>
      </c>
      <c r="B1844" s="1">
        <f>IFERROR(__xludf.DUMMYFUNCTION("""COMPUTED_VALUE"""),1727.49)</f>
        <v>1727.49</v>
      </c>
    </row>
    <row r="1845">
      <c r="A1845" s="2">
        <f>IFERROR(__xludf.DUMMYFUNCTION("""COMPUTED_VALUE"""),38474.666666666664)</f>
        <v>38474.66667</v>
      </c>
      <c r="B1845" s="1">
        <f>IFERROR(__xludf.DUMMYFUNCTION("""COMPUTED_VALUE"""),1735.43)</f>
        <v>1735.43</v>
      </c>
    </row>
    <row r="1846">
      <c r="A1846" s="2">
        <f>IFERROR(__xludf.DUMMYFUNCTION("""COMPUTED_VALUE"""),38475.666666666664)</f>
        <v>38475.66667</v>
      </c>
      <c r="B1846" s="1">
        <f>IFERROR(__xludf.DUMMYFUNCTION("""COMPUTED_VALUE"""),1733.95)</f>
        <v>1733.95</v>
      </c>
    </row>
    <row r="1847">
      <c r="A1847" s="2">
        <f>IFERROR(__xludf.DUMMYFUNCTION("""COMPUTED_VALUE"""),38476.666666666664)</f>
        <v>38476.66667</v>
      </c>
      <c r="B1847" s="1">
        <f>IFERROR(__xludf.DUMMYFUNCTION("""COMPUTED_VALUE"""),1755.92)</f>
        <v>1755.92</v>
      </c>
    </row>
    <row r="1848">
      <c r="A1848" s="2">
        <f>IFERROR(__xludf.DUMMYFUNCTION("""COMPUTED_VALUE"""),38477.666666666664)</f>
        <v>38477.66667</v>
      </c>
      <c r="B1848" s="1">
        <f>IFERROR(__xludf.DUMMYFUNCTION("""COMPUTED_VALUE"""),1751.47)</f>
        <v>1751.47</v>
      </c>
    </row>
    <row r="1849">
      <c r="A1849" s="2">
        <f>IFERROR(__xludf.DUMMYFUNCTION("""COMPUTED_VALUE"""),38478.666666666664)</f>
        <v>38478.66667</v>
      </c>
      <c r="B1849" s="1">
        <f>IFERROR(__xludf.DUMMYFUNCTION("""COMPUTED_VALUE"""),1749.65)</f>
        <v>1749.65</v>
      </c>
    </row>
    <row r="1850">
      <c r="A1850" s="2">
        <f>IFERROR(__xludf.DUMMYFUNCTION("""COMPUTED_VALUE"""),38481.666666666664)</f>
        <v>38481.66667</v>
      </c>
      <c r="B1850" s="1">
        <f>IFERROR(__xludf.DUMMYFUNCTION("""COMPUTED_VALUE"""),1760.87)</f>
        <v>1760.87</v>
      </c>
    </row>
    <row r="1851">
      <c r="A1851" s="2">
        <f>IFERROR(__xludf.DUMMYFUNCTION("""COMPUTED_VALUE"""),38482.666666666664)</f>
        <v>38482.66667</v>
      </c>
      <c r="B1851" s="1">
        <f>IFERROR(__xludf.DUMMYFUNCTION("""COMPUTED_VALUE"""),1742.06)</f>
        <v>1742.06</v>
      </c>
    </row>
    <row r="1852">
      <c r="A1852" s="2">
        <f>IFERROR(__xludf.DUMMYFUNCTION("""COMPUTED_VALUE"""),38483.666666666664)</f>
        <v>38483.66667</v>
      </c>
      <c r="B1852" s="1">
        <f>IFERROR(__xludf.DUMMYFUNCTION("""COMPUTED_VALUE"""),1750.26)</f>
        <v>1750.26</v>
      </c>
    </row>
    <row r="1853">
      <c r="A1853" s="2">
        <f>IFERROR(__xludf.DUMMYFUNCTION("""COMPUTED_VALUE"""),38484.666666666664)</f>
        <v>38484.66667</v>
      </c>
      <c r="B1853" s="1">
        <f>IFERROR(__xludf.DUMMYFUNCTION("""COMPUTED_VALUE"""),1732.89)</f>
        <v>1732.89</v>
      </c>
    </row>
    <row r="1854">
      <c r="A1854" s="2">
        <f>IFERROR(__xludf.DUMMYFUNCTION("""COMPUTED_VALUE"""),38485.666666666664)</f>
        <v>38485.66667</v>
      </c>
      <c r="B1854" s="1">
        <f>IFERROR(__xludf.DUMMYFUNCTION("""COMPUTED_VALUE"""),1725.15)</f>
        <v>1725.15</v>
      </c>
    </row>
    <row r="1855">
      <c r="A1855" s="2">
        <f>IFERROR(__xludf.DUMMYFUNCTION("""COMPUTED_VALUE"""),38488.666666666664)</f>
        <v>38488.66667</v>
      </c>
      <c r="B1855" s="1">
        <f>IFERROR(__xludf.DUMMYFUNCTION("""COMPUTED_VALUE"""),1742.74)</f>
        <v>1742.74</v>
      </c>
    </row>
    <row r="1856">
      <c r="A1856" s="2">
        <f>IFERROR(__xludf.DUMMYFUNCTION("""COMPUTED_VALUE"""),38489.666666666664)</f>
        <v>38489.66667</v>
      </c>
      <c r="B1856" s="1">
        <f>IFERROR(__xludf.DUMMYFUNCTION("""COMPUTED_VALUE"""),1755.1)</f>
        <v>1755.1</v>
      </c>
    </row>
    <row r="1857">
      <c r="A1857" s="2">
        <f>IFERROR(__xludf.DUMMYFUNCTION("""COMPUTED_VALUE"""),38490.666666666664)</f>
        <v>38490.66667</v>
      </c>
      <c r="B1857" s="1">
        <f>IFERROR(__xludf.DUMMYFUNCTION("""COMPUTED_VALUE"""),1773.01)</f>
        <v>1773.01</v>
      </c>
    </row>
    <row r="1858">
      <c r="A1858" s="2">
        <f>IFERROR(__xludf.DUMMYFUNCTION("""COMPUTED_VALUE"""),38491.666666666664)</f>
        <v>38491.66667</v>
      </c>
      <c r="B1858" s="1">
        <f>IFERROR(__xludf.DUMMYFUNCTION("""COMPUTED_VALUE"""),1781.28)</f>
        <v>1781.28</v>
      </c>
    </row>
    <row r="1859">
      <c r="A1859" s="2">
        <f>IFERROR(__xludf.DUMMYFUNCTION("""COMPUTED_VALUE"""),38492.666666666664)</f>
        <v>38492.66667</v>
      </c>
      <c r="B1859" s="1">
        <f>IFERROR(__xludf.DUMMYFUNCTION("""COMPUTED_VALUE"""),1778.59)</f>
        <v>1778.59</v>
      </c>
    </row>
    <row r="1860">
      <c r="A1860" s="2">
        <f>IFERROR(__xludf.DUMMYFUNCTION("""COMPUTED_VALUE"""),38495.666666666664)</f>
        <v>38495.66667</v>
      </c>
      <c r="B1860" s="1">
        <f>IFERROR(__xludf.DUMMYFUNCTION("""COMPUTED_VALUE"""),1785.46)</f>
        <v>1785.46</v>
      </c>
    </row>
    <row r="1861">
      <c r="A1861" s="2">
        <f>IFERROR(__xludf.DUMMYFUNCTION("""COMPUTED_VALUE"""),38496.666666666664)</f>
        <v>38496.66667</v>
      </c>
      <c r="B1861" s="1">
        <f>IFERROR(__xludf.DUMMYFUNCTION("""COMPUTED_VALUE"""),1785.8)</f>
        <v>1785.8</v>
      </c>
    </row>
    <row r="1862">
      <c r="A1862" s="2">
        <f>IFERROR(__xludf.DUMMYFUNCTION("""COMPUTED_VALUE"""),38497.666666666664)</f>
        <v>38497.66667</v>
      </c>
      <c r="B1862" s="1">
        <f>IFERROR(__xludf.DUMMYFUNCTION("""COMPUTED_VALUE"""),1779.81)</f>
        <v>1779.81</v>
      </c>
    </row>
    <row r="1863">
      <c r="A1863" s="2">
        <f>IFERROR(__xludf.DUMMYFUNCTION("""COMPUTED_VALUE"""),38498.666666666664)</f>
        <v>38498.66667</v>
      </c>
      <c r="B1863" s="1">
        <f>IFERROR(__xludf.DUMMYFUNCTION("""COMPUTED_VALUE"""),1791.41)</f>
        <v>1791.41</v>
      </c>
    </row>
    <row r="1864">
      <c r="A1864" s="2">
        <f>IFERROR(__xludf.DUMMYFUNCTION("""COMPUTED_VALUE"""),38499.666666666664)</f>
        <v>38499.66667</v>
      </c>
      <c r="B1864" s="1">
        <f>IFERROR(__xludf.DUMMYFUNCTION("""COMPUTED_VALUE"""),1793.34)</f>
        <v>1793.34</v>
      </c>
    </row>
    <row r="1865">
      <c r="A1865" s="2">
        <f>IFERROR(__xludf.DUMMYFUNCTION("""COMPUTED_VALUE"""),38503.666666666664)</f>
        <v>38503.66667</v>
      </c>
      <c r="B1865" s="1">
        <f>IFERROR(__xludf.DUMMYFUNCTION("""COMPUTED_VALUE"""),1782.46)</f>
        <v>1782.46</v>
      </c>
    </row>
    <row r="1866">
      <c r="A1866" s="2">
        <f>IFERROR(__xludf.DUMMYFUNCTION("""COMPUTED_VALUE"""),38504.666666666664)</f>
        <v>38504.66667</v>
      </c>
      <c r="B1866" s="1">
        <f>IFERROR(__xludf.DUMMYFUNCTION("""COMPUTED_VALUE"""),1799.15)</f>
        <v>1799.15</v>
      </c>
    </row>
    <row r="1867">
      <c r="A1867" s="2">
        <f>IFERROR(__xludf.DUMMYFUNCTION("""COMPUTED_VALUE"""),38505.666666666664)</f>
        <v>38505.66667</v>
      </c>
      <c r="B1867" s="1">
        <f>IFERROR(__xludf.DUMMYFUNCTION("""COMPUTED_VALUE"""),1802.19)</f>
        <v>1802.19</v>
      </c>
    </row>
    <row r="1868">
      <c r="A1868" s="2">
        <f>IFERROR(__xludf.DUMMYFUNCTION("""COMPUTED_VALUE"""),38506.666666666664)</f>
        <v>38506.66667</v>
      </c>
      <c r="B1868" s="1">
        <f>IFERROR(__xludf.DUMMYFUNCTION("""COMPUTED_VALUE"""),1789.83)</f>
        <v>1789.83</v>
      </c>
    </row>
    <row r="1869">
      <c r="A1869" s="2">
        <f>IFERROR(__xludf.DUMMYFUNCTION("""COMPUTED_VALUE"""),38509.666666666664)</f>
        <v>38509.66667</v>
      </c>
      <c r="B1869" s="1">
        <f>IFERROR(__xludf.DUMMYFUNCTION("""COMPUTED_VALUE"""),1792.14)</f>
        <v>1792.14</v>
      </c>
    </row>
    <row r="1870">
      <c r="A1870" s="2">
        <f>IFERROR(__xludf.DUMMYFUNCTION("""COMPUTED_VALUE"""),38510.666666666664)</f>
        <v>38510.66667</v>
      </c>
      <c r="B1870" s="1">
        <f>IFERROR(__xludf.DUMMYFUNCTION("""COMPUTED_VALUE"""),1791.89)</f>
        <v>1791.89</v>
      </c>
    </row>
    <row r="1871">
      <c r="A1871" s="2">
        <f>IFERROR(__xludf.DUMMYFUNCTION("""COMPUTED_VALUE"""),38511.666666666664)</f>
        <v>38511.66667</v>
      </c>
      <c r="B1871" s="1">
        <f>IFERROR(__xludf.DUMMYFUNCTION("""COMPUTED_VALUE"""),1788.3)</f>
        <v>1788.3</v>
      </c>
    </row>
    <row r="1872">
      <c r="A1872" s="2">
        <f>IFERROR(__xludf.DUMMYFUNCTION("""COMPUTED_VALUE"""),38512.666666666664)</f>
        <v>38512.66667</v>
      </c>
      <c r="B1872" s="1">
        <f>IFERROR(__xludf.DUMMYFUNCTION("""COMPUTED_VALUE"""),1797.72)</f>
        <v>1797.72</v>
      </c>
    </row>
    <row r="1873">
      <c r="A1873" s="2">
        <f>IFERROR(__xludf.DUMMYFUNCTION("""COMPUTED_VALUE"""),38513.666666666664)</f>
        <v>38513.66667</v>
      </c>
      <c r="B1873" s="1">
        <f>IFERROR(__xludf.DUMMYFUNCTION("""COMPUTED_VALUE"""),1793.51)</f>
        <v>1793.51</v>
      </c>
    </row>
    <row r="1874">
      <c r="A1874" s="2">
        <f>IFERROR(__xludf.DUMMYFUNCTION("""COMPUTED_VALUE"""),38516.666666666664)</f>
        <v>38516.66667</v>
      </c>
      <c r="B1874" s="1">
        <f>IFERROR(__xludf.DUMMYFUNCTION("""COMPUTED_VALUE"""),1798.07)</f>
        <v>1798.07</v>
      </c>
    </row>
    <row r="1875">
      <c r="A1875" s="2">
        <f>IFERROR(__xludf.DUMMYFUNCTION("""COMPUTED_VALUE"""),38517.666666666664)</f>
        <v>38517.66667</v>
      </c>
      <c r="B1875" s="1">
        <f>IFERROR(__xludf.DUMMYFUNCTION("""COMPUTED_VALUE"""),1802.73)</f>
        <v>1802.73</v>
      </c>
    </row>
    <row r="1876">
      <c r="A1876" s="2">
        <f>IFERROR(__xludf.DUMMYFUNCTION("""COMPUTED_VALUE"""),38518.666666666664)</f>
        <v>38518.66667</v>
      </c>
      <c r="B1876" s="1">
        <f>IFERROR(__xludf.DUMMYFUNCTION("""COMPUTED_VALUE"""),1806.78)</f>
        <v>1806.78</v>
      </c>
    </row>
    <row r="1877">
      <c r="A1877" s="2">
        <f>IFERROR(__xludf.DUMMYFUNCTION("""COMPUTED_VALUE"""),38519.666666666664)</f>
        <v>38519.66667</v>
      </c>
      <c r="B1877" s="1">
        <f>IFERROR(__xludf.DUMMYFUNCTION("""COMPUTED_VALUE"""),1813.35)</f>
        <v>1813.35</v>
      </c>
    </row>
    <row r="1878">
      <c r="A1878" s="2">
        <f>IFERROR(__xludf.DUMMYFUNCTION("""COMPUTED_VALUE"""),38520.666666666664)</f>
        <v>38520.66667</v>
      </c>
      <c r="B1878" s="1">
        <f>IFERROR(__xludf.DUMMYFUNCTION("""COMPUTED_VALUE"""),1822.35)</f>
        <v>1822.35</v>
      </c>
    </row>
    <row r="1879">
      <c r="A1879" s="2">
        <f>IFERROR(__xludf.DUMMYFUNCTION("""COMPUTED_VALUE"""),38523.666666666664)</f>
        <v>38523.66667</v>
      </c>
      <c r="B1879" s="1">
        <f>IFERROR(__xludf.DUMMYFUNCTION("""COMPUTED_VALUE"""),1821.06)</f>
        <v>1821.06</v>
      </c>
    </row>
    <row r="1880">
      <c r="A1880" s="2">
        <f>IFERROR(__xludf.DUMMYFUNCTION("""COMPUTED_VALUE"""),38524.666666666664)</f>
        <v>38524.66667</v>
      </c>
      <c r="B1880" s="1">
        <f>IFERROR(__xludf.DUMMYFUNCTION("""COMPUTED_VALUE"""),1817.36)</f>
        <v>1817.36</v>
      </c>
    </row>
    <row r="1881">
      <c r="A1881" s="2">
        <f>IFERROR(__xludf.DUMMYFUNCTION("""COMPUTED_VALUE"""),38525.666666666664)</f>
        <v>38525.66667</v>
      </c>
      <c r="B1881" s="1">
        <f>IFERROR(__xludf.DUMMYFUNCTION("""COMPUTED_VALUE"""),1817.8)</f>
        <v>1817.8</v>
      </c>
    </row>
    <row r="1882">
      <c r="A1882" s="2">
        <f>IFERROR(__xludf.DUMMYFUNCTION("""COMPUTED_VALUE"""),38526.666666666664)</f>
        <v>38526.66667</v>
      </c>
      <c r="B1882" s="1">
        <f>IFERROR(__xludf.DUMMYFUNCTION("""COMPUTED_VALUE"""),1798.49)</f>
        <v>1798.49</v>
      </c>
    </row>
    <row r="1883">
      <c r="A1883" s="2">
        <f>IFERROR(__xludf.DUMMYFUNCTION("""COMPUTED_VALUE"""),38527.666666666664)</f>
        <v>38527.66667</v>
      </c>
      <c r="B1883" s="1">
        <f>IFERROR(__xludf.DUMMYFUNCTION("""COMPUTED_VALUE"""),1784.77)</f>
        <v>1784.77</v>
      </c>
    </row>
    <row r="1884">
      <c r="A1884" s="2">
        <f>IFERROR(__xludf.DUMMYFUNCTION("""COMPUTED_VALUE"""),38530.666666666664)</f>
        <v>38530.66667</v>
      </c>
      <c r="B1884" s="1">
        <f>IFERROR(__xludf.DUMMYFUNCTION("""COMPUTED_VALUE"""),1783.45)</f>
        <v>1783.45</v>
      </c>
    </row>
    <row r="1885">
      <c r="A1885" s="2">
        <f>IFERROR(__xludf.DUMMYFUNCTION("""COMPUTED_VALUE"""),38531.666666666664)</f>
        <v>38531.66667</v>
      </c>
      <c r="B1885" s="1">
        <f>IFERROR(__xludf.DUMMYFUNCTION("""COMPUTED_VALUE"""),1800.07)</f>
        <v>1800.07</v>
      </c>
    </row>
    <row r="1886">
      <c r="A1886" s="2">
        <f>IFERROR(__xludf.DUMMYFUNCTION("""COMPUTED_VALUE"""),38532.666666666664)</f>
        <v>38532.66667</v>
      </c>
      <c r="B1886" s="1">
        <f>IFERROR(__xludf.DUMMYFUNCTION("""COMPUTED_VALUE"""),1797.73)</f>
        <v>1797.73</v>
      </c>
    </row>
    <row r="1887">
      <c r="A1887" s="2">
        <f>IFERROR(__xludf.DUMMYFUNCTION("""COMPUTED_VALUE"""),38533.666666666664)</f>
        <v>38533.66667</v>
      </c>
      <c r="B1887" s="1">
        <f>IFERROR(__xludf.DUMMYFUNCTION("""COMPUTED_VALUE"""),1784.99)</f>
        <v>1784.99</v>
      </c>
    </row>
    <row r="1888">
      <c r="A1888" s="2">
        <f>IFERROR(__xludf.DUMMYFUNCTION("""COMPUTED_VALUE"""),38534.666666666664)</f>
        <v>38534.66667</v>
      </c>
      <c r="B1888" s="1">
        <f>IFERROR(__xludf.DUMMYFUNCTION("""COMPUTED_VALUE"""),1789.85)</f>
        <v>1789.85</v>
      </c>
    </row>
    <row r="1889">
      <c r="A1889" s="2">
        <f>IFERROR(__xludf.DUMMYFUNCTION("""COMPUTED_VALUE"""),38538.666666666664)</f>
        <v>38538.66667</v>
      </c>
      <c r="B1889" s="1">
        <f>IFERROR(__xludf.DUMMYFUNCTION("""COMPUTED_VALUE"""),1805.68)</f>
        <v>1805.68</v>
      </c>
    </row>
    <row r="1890">
      <c r="A1890" s="2">
        <f>IFERROR(__xludf.DUMMYFUNCTION("""COMPUTED_VALUE"""),38539.666666666664)</f>
        <v>38539.66667</v>
      </c>
      <c r="B1890" s="1">
        <f>IFERROR(__xludf.DUMMYFUNCTION("""COMPUTED_VALUE"""),1791.05)</f>
        <v>1791.05</v>
      </c>
    </row>
    <row r="1891">
      <c r="A1891" s="2">
        <f>IFERROR(__xludf.DUMMYFUNCTION("""COMPUTED_VALUE"""),38540.666666666664)</f>
        <v>38540.66667</v>
      </c>
      <c r="B1891" s="1">
        <f>IFERROR(__xludf.DUMMYFUNCTION("""COMPUTED_VALUE"""),1795.55)</f>
        <v>1795.55</v>
      </c>
    </row>
    <row r="1892">
      <c r="A1892" s="2">
        <f>IFERROR(__xludf.DUMMYFUNCTION("""COMPUTED_VALUE"""),38541.666666666664)</f>
        <v>38541.66667</v>
      </c>
      <c r="B1892" s="1">
        <f>IFERROR(__xludf.DUMMYFUNCTION("""COMPUTED_VALUE"""),1816.52)</f>
        <v>1816.52</v>
      </c>
    </row>
    <row r="1893">
      <c r="A1893" s="2">
        <f>IFERROR(__xludf.DUMMYFUNCTION("""COMPUTED_VALUE"""),38544.666666666664)</f>
        <v>38544.66667</v>
      </c>
      <c r="B1893" s="1">
        <f>IFERROR(__xludf.DUMMYFUNCTION("""COMPUTED_VALUE"""),1827.91)</f>
        <v>1827.91</v>
      </c>
    </row>
    <row r="1894">
      <c r="A1894" s="2">
        <f>IFERROR(__xludf.DUMMYFUNCTION("""COMPUTED_VALUE"""),38545.666666666664)</f>
        <v>38545.66667</v>
      </c>
      <c r="B1894" s="1">
        <f>IFERROR(__xludf.DUMMYFUNCTION("""COMPUTED_VALUE"""),1832.15)</f>
        <v>1832.15</v>
      </c>
    </row>
    <row r="1895">
      <c r="A1895" s="2">
        <f>IFERROR(__xludf.DUMMYFUNCTION("""COMPUTED_VALUE"""),38546.666666666664)</f>
        <v>38546.66667</v>
      </c>
      <c r="B1895" s="1">
        <f>IFERROR(__xludf.DUMMYFUNCTION("""COMPUTED_VALUE"""),1833.98)</f>
        <v>1833.98</v>
      </c>
    </row>
    <row r="1896">
      <c r="A1896" s="2">
        <f>IFERROR(__xludf.DUMMYFUNCTION("""COMPUTED_VALUE"""),38547.666666666664)</f>
        <v>38547.66667</v>
      </c>
      <c r="B1896" s="1">
        <f>IFERROR(__xludf.DUMMYFUNCTION("""COMPUTED_VALUE"""),1838.8)</f>
        <v>1838.8</v>
      </c>
    </row>
    <row r="1897">
      <c r="A1897" s="2">
        <f>IFERROR(__xludf.DUMMYFUNCTION("""COMPUTED_VALUE"""),38548.666666666664)</f>
        <v>38548.66667</v>
      </c>
      <c r="B1897" s="1">
        <f>IFERROR(__xludf.DUMMYFUNCTION("""COMPUTED_VALUE"""),1840.93)</f>
        <v>1840.93</v>
      </c>
    </row>
    <row r="1898">
      <c r="A1898" s="2">
        <f>IFERROR(__xludf.DUMMYFUNCTION("""COMPUTED_VALUE"""),38551.666666666664)</f>
        <v>38551.66667</v>
      </c>
      <c r="B1898" s="1">
        <f>IFERROR(__xludf.DUMMYFUNCTION("""COMPUTED_VALUE"""),1830.75)</f>
        <v>1830.75</v>
      </c>
    </row>
    <row r="1899">
      <c r="A1899" s="2">
        <f>IFERROR(__xludf.DUMMYFUNCTION("""COMPUTED_VALUE"""),38552.666666666664)</f>
        <v>38552.66667</v>
      </c>
      <c r="B1899" s="1">
        <f>IFERROR(__xludf.DUMMYFUNCTION("""COMPUTED_VALUE"""),1843.07)</f>
        <v>1843.07</v>
      </c>
    </row>
    <row r="1900">
      <c r="A1900" s="2">
        <f>IFERROR(__xludf.DUMMYFUNCTION("""COMPUTED_VALUE"""),38553.666666666664)</f>
        <v>38553.66667</v>
      </c>
      <c r="B1900" s="1">
        <f>IFERROR(__xludf.DUMMYFUNCTION("""COMPUTED_VALUE"""),1852.02)</f>
        <v>1852.02</v>
      </c>
    </row>
    <row r="1901">
      <c r="A1901" s="2">
        <f>IFERROR(__xludf.DUMMYFUNCTION("""COMPUTED_VALUE"""),38554.666666666664)</f>
        <v>38554.66667</v>
      </c>
      <c r="B1901" s="1">
        <f>IFERROR(__xludf.DUMMYFUNCTION("""COMPUTED_VALUE"""),1839.8)</f>
        <v>1839.8</v>
      </c>
    </row>
    <row r="1902">
      <c r="A1902" s="2">
        <f>IFERROR(__xludf.DUMMYFUNCTION("""COMPUTED_VALUE"""),38555.666666666664)</f>
        <v>38555.66667</v>
      </c>
      <c r="B1902" s="1">
        <f>IFERROR(__xludf.DUMMYFUNCTION("""COMPUTED_VALUE"""),1849.81)</f>
        <v>1849.81</v>
      </c>
    </row>
    <row r="1903">
      <c r="A1903" s="2">
        <f>IFERROR(__xludf.DUMMYFUNCTION("""COMPUTED_VALUE"""),38558.666666666664)</f>
        <v>38558.66667</v>
      </c>
      <c r="B1903" s="1">
        <f>IFERROR(__xludf.DUMMYFUNCTION("""COMPUTED_VALUE"""),1842.85)</f>
        <v>1842.85</v>
      </c>
    </row>
    <row r="1904">
      <c r="A1904" s="2">
        <f>IFERROR(__xludf.DUMMYFUNCTION("""COMPUTED_VALUE"""),38559.666666666664)</f>
        <v>38559.66667</v>
      </c>
      <c r="B1904" s="1">
        <f>IFERROR(__xludf.DUMMYFUNCTION("""COMPUTED_VALUE"""),1846.04)</f>
        <v>1846.04</v>
      </c>
    </row>
    <row r="1905">
      <c r="A1905" s="2">
        <f>IFERROR(__xludf.DUMMYFUNCTION("""COMPUTED_VALUE"""),38560.666666666664)</f>
        <v>38560.66667</v>
      </c>
      <c r="B1905" s="1">
        <f>IFERROR(__xludf.DUMMYFUNCTION("""COMPUTED_VALUE"""),1854.72)</f>
        <v>1854.72</v>
      </c>
    </row>
    <row r="1906">
      <c r="A1906" s="2">
        <f>IFERROR(__xludf.DUMMYFUNCTION("""COMPUTED_VALUE"""),38561.666666666664)</f>
        <v>38561.66667</v>
      </c>
      <c r="B1906" s="1">
        <f>IFERROR(__xludf.DUMMYFUNCTION("""COMPUTED_VALUE"""),1865.64)</f>
        <v>1865.64</v>
      </c>
    </row>
    <row r="1907">
      <c r="A1907" s="2">
        <f>IFERROR(__xludf.DUMMYFUNCTION("""COMPUTED_VALUE"""),38562.666666666664)</f>
        <v>38562.66667</v>
      </c>
      <c r="B1907" s="1">
        <f>IFERROR(__xludf.DUMMYFUNCTION("""COMPUTED_VALUE"""),1851.37)</f>
        <v>1851.37</v>
      </c>
    </row>
    <row r="1908">
      <c r="A1908" s="2">
        <f>IFERROR(__xludf.DUMMYFUNCTION("""COMPUTED_VALUE"""),38565.666666666664)</f>
        <v>38565.66667</v>
      </c>
      <c r="B1908" s="1">
        <f>IFERROR(__xludf.DUMMYFUNCTION("""COMPUTED_VALUE"""),1853.13)</f>
        <v>1853.13</v>
      </c>
    </row>
    <row r="1909">
      <c r="A1909" s="2">
        <f>IFERROR(__xludf.DUMMYFUNCTION("""COMPUTED_VALUE"""),38566.666666666664)</f>
        <v>38566.66667</v>
      </c>
      <c r="B1909" s="1">
        <f>IFERROR(__xludf.DUMMYFUNCTION("""COMPUTED_VALUE"""),1866.28)</f>
        <v>1866.28</v>
      </c>
    </row>
    <row r="1910">
      <c r="A1910" s="2">
        <f>IFERROR(__xludf.DUMMYFUNCTION("""COMPUTED_VALUE"""),38567.666666666664)</f>
        <v>38567.66667</v>
      </c>
      <c r="B1910" s="1">
        <f>IFERROR(__xludf.DUMMYFUNCTION("""COMPUTED_VALUE"""),1868.06)</f>
        <v>1868.06</v>
      </c>
    </row>
    <row r="1911">
      <c r="A1911" s="2">
        <f>IFERROR(__xludf.DUMMYFUNCTION("""COMPUTED_VALUE"""),38568.666666666664)</f>
        <v>38568.66667</v>
      </c>
      <c r="B1911" s="1">
        <f>IFERROR(__xludf.DUMMYFUNCTION("""COMPUTED_VALUE"""),1854.3)</f>
        <v>1854.3</v>
      </c>
    </row>
    <row r="1912">
      <c r="A1912" s="2">
        <f>IFERROR(__xludf.DUMMYFUNCTION("""COMPUTED_VALUE"""),38569.666666666664)</f>
        <v>38569.66667</v>
      </c>
      <c r="B1912" s="1">
        <f>IFERROR(__xludf.DUMMYFUNCTION("""COMPUTED_VALUE"""),1840.19)</f>
        <v>1840.19</v>
      </c>
    </row>
    <row r="1913">
      <c r="A1913" s="2">
        <f>IFERROR(__xludf.DUMMYFUNCTION("""COMPUTED_VALUE"""),38572.666666666664)</f>
        <v>38572.66667</v>
      </c>
      <c r="B1913" s="1">
        <f>IFERROR(__xludf.DUMMYFUNCTION("""COMPUTED_VALUE"""),1835.37)</f>
        <v>1835.37</v>
      </c>
    </row>
    <row r="1914">
      <c r="A1914" s="2">
        <f>IFERROR(__xludf.DUMMYFUNCTION("""COMPUTED_VALUE"""),38573.666666666664)</f>
        <v>38573.66667</v>
      </c>
      <c r="B1914" s="1">
        <f>IFERROR(__xludf.DUMMYFUNCTION("""COMPUTED_VALUE"""),1847.76)</f>
        <v>1847.76</v>
      </c>
    </row>
    <row r="1915">
      <c r="A1915" s="2">
        <f>IFERROR(__xludf.DUMMYFUNCTION("""COMPUTED_VALUE"""),38574.666666666664)</f>
        <v>38574.66667</v>
      </c>
      <c r="B1915" s="1">
        <f>IFERROR(__xludf.DUMMYFUNCTION("""COMPUTED_VALUE"""),1845.16)</f>
        <v>1845.16</v>
      </c>
    </row>
    <row r="1916">
      <c r="A1916" s="2">
        <f>IFERROR(__xludf.DUMMYFUNCTION("""COMPUTED_VALUE"""),38575.666666666664)</f>
        <v>38575.66667</v>
      </c>
      <c r="B1916" s="1">
        <f>IFERROR(__xludf.DUMMYFUNCTION("""COMPUTED_VALUE"""),1858.43)</f>
        <v>1858.43</v>
      </c>
    </row>
    <row r="1917">
      <c r="A1917" s="2">
        <f>IFERROR(__xludf.DUMMYFUNCTION("""COMPUTED_VALUE"""),38576.666666666664)</f>
        <v>38576.66667</v>
      </c>
      <c r="B1917" s="1">
        <f>IFERROR(__xludf.DUMMYFUNCTION("""COMPUTED_VALUE"""),1847.31)</f>
        <v>1847.31</v>
      </c>
    </row>
    <row r="1918">
      <c r="A1918" s="2">
        <f>IFERROR(__xludf.DUMMYFUNCTION("""COMPUTED_VALUE"""),38579.666666666664)</f>
        <v>38579.66667</v>
      </c>
      <c r="B1918" s="1">
        <f>IFERROR(__xludf.DUMMYFUNCTION("""COMPUTED_VALUE"""),1852.78)</f>
        <v>1852.78</v>
      </c>
    </row>
    <row r="1919">
      <c r="A1919" s="2">
        <f>IFERROR(__xludf.DUMMYFUNCTION("""COMPUTED_VALUE"""),38580.666666666664)</f>
        <v>38580.66667</v>
      </c>
      <c r="B1919" s="1">
        <f>IFERROR(__xludf.DUMMYFUNCTION("""COMPUTED_VALUE"""),1830.99)</f>
        <v>1830.99</v>
      </c>
    </row>
    <row r="1920">
      <c r="A1920" s="2">
        <f>IFERROR(__xludf.DUMMYFUNCTION("""COMPUTED_VALUE"""),38581.666666666664)</f>
        <v>38581.66667</v>
      </c>
      <c r="B1920" s="1">
        <f>IFERROR(__xludf.DUMMYFUNCTION("""COMPUTED_VALUE"""),1832.82)</f>
        <v>1832.82</v>
      </c>
    </row>
    <row r="1921">
      <c r="A1921" s="2">
        <f>IFERROR(__xludf.DUMMYFUNCTION("""COMPUTED_VALUE"""),38582.666666666664)</f>
        <v>38582.66667</v>
      </c>
      <c r="B1921" s="1">
        <f>IFERROR(__xludf.DUMMYFUNCTION("""COMPUTED_VALUE"""),1831.09)</f>
        <v>1831.09</v>
      </c>
    </row>
    <row r="1922">
      <c r="A1922" s="2">
        <f>IFERROR(__xludf.DUMMYFUNCTION("""COMPUTED_VALUE"""),38583.666666666664)</f>
        <v>38583.66667</v>
      </c>
      <c r="B1922" s="1">
        <f>IFERROR(__xludf.DUMMYFUNCTION("""COMPUTED_VALUE"""),1832.29)</f>
        <v>1832.29</v>
      </c>
    </row>
    <row r="1923">
      <c r="A1923" s="2">
        <f>IFERROR(__xludf.DUMMYFUNCTION("""COMPUTED_VALUE"""),38586.666666666664)</f>
        <v>38586.66667</v>
      </c>
      <c r="B1923" s="1">
        <f>IFERROR(__xludf.DUMMYFUNCTION("""COMPUTED_VALUE"""),1835.32)</f>
        <v>1835.32</v>
      </c>
    </row>
    <row r="1924">
      <c r="A1924" s="2">
        <f>IFERROR(__xludf.DUMMYFUNCTION("""COMPUTED_VALUE"""),38587.666666666664)</f>
        <v>38587.66667</v>
      </c>
      <c r="B1924" s="1">
        <f>IFERROR(__xludf.DUMMYFUNCTION("""COMPUTED_VALUE"""),1829.11)</f>
        <v>1829.11</v>
      </c>
    </row>
    <row r="1925">
      <c r="A1925" s="2">
        <f>IFERROR(__xludf.DUMMYFUNCTION("""COMPUTED_VALUE"""),38588.666666666664)</f>
        <v>38588.66667</v>
      </c>
      <c r="B1925" s="1">
        <f>IFERROR(__xludf.DUMMYFUNCTION("""COMPUTED_VALUE"""),1817.22)</f>
        <v>1817.22</v>
      </c>
    </row>
    <row r="1926">
      <c r="A1926" s="2">
        <f>IFERROR(__xludf.DUMMYFUNCTION("""COMPUTED_VALUE"""),38589.666666666664)</f>
        <v>38589.66667</v>
      </c>
      <c r="B1926" s="1">
        <f>IFERROR(__xludf.DUMMYFUNCTION("""COMPUTED_VALUE"""),1821.46)</f>
        <v>1821.46</v>
      </c>
    </row>
    <row r="1927">
      <c r="A1927" s="2">
        <f>IFERROR(__xludf.DUMMYFUNCTION("""COMPUTED_VALUE"""),38590.666666666664)</f>
        <v>38590.66667</v>
      </c>
      <c r="B1927" s="1">
        <f>IFERROR(__xludf.DUMMYFUNCTION("""COMPUTED_VALUE"""),1810.52)</f>
        <v>1810.52</v>
      </c>
    </row>
    <row r="1928">
      <c r="A1928" s="2">
        <f>IFERROR(__xludf.DUMMYFUNCTION("""COMPUTED_VALUE"""),38593.666666666664)</f>
        <v>38593.66667</v>
      </c>
      <c r="B1928" s="1">
        <f>IFERROR(__xludf.DUMMYFUNCTION("""COMPUTED_VALUE"""),1821.56)</f>
        <v>1821.56</v>
      </c>
    </row>
    <row r="1929">
      <c r="A1929" s="2">
        <f>IFERROR(__xludf.DUMMYFUNCTION("""COMPUTED_VALUE"""),38594.666666666664)</f>
        <v>38594.66667</v>
      </c>
      <c r="B1929" s="1">
        <f>IFERROR(__xludf.DUMMYFUNCTION("""COMPUTED_VALUE"""),1815.97)</f>
        <v>1815.97</v>
      </c>
    </row>
    <row r="1930">
      <c r="A1930" s="2">
        <f>IFERROR(__xludf.DUMMYFUNCTION("""COMPUTED_VALUE"""),38595.666666666664)</f>
        <v>38595.66667</v>
      </c>
      <c r="B1930" s="1">
        <f>IFERROR(__xludf.DUMMYFUNCTION("""COMPUTED_VALUE"""),1834.48)</f>
        <v>1834.48</v>
      </c>
    </row>
    <row r="1931">
      <c r="A1931" s="2">
        <f>IFERROR(__xludf.DUMMYFUNCTION("""COMPUTED_VALUE"""),38596.666666666664)</f>
        <v>38596.66667</v>
      </c>
      <c r="B1931" s="1">
        <f>IFERROR(__xludf.DUMMYFUNCTION("""COMPUTED_VALUE"""),1836.37)</f>
        <v>1836.37</v>
      </c>
    </row>
    <row r="1932">
      <c r="A1932" s="2">
        <f>IFERROR(__xludf.DUMMYFUNCTION("""COMPUTED_VALUE"""),38597.666666666664)</f>
        <v>38597.66667</v>
      </c>
      <c r="B1932" s="1">
        <f>IFERROR(__xludf.DUMMYFUNCTION("""COMPUTED_VALUE"""),1831.06)</f>
        <v>1831.06</v>
      </c>
    </row>
    <row r="1933">
      <c r="A1933" s="2">
        <f>IFERROR(__xludf.DUMMYFUNCTION("""COMPUTED_VALUE"""),38601.666666666664)</f>
        <v>38601.66667</v>
      </c>
      <c r="B1933" s="1">
        <f>IFERROR(__xludf.DUMMYFUNCTION("""COMPUTED_VALUE"""),1854.23)</f>
        <v>1854.23</v>
      </c>
    </row>
    <row r="1934">
      <c r="A1934" s="2">
        <f>IFERROR(__xludf.DUMMYFUNCTION("""COMPUTED_VALUE"""),38602.666666666664)</f>
        <v>38602.66667</v>
      </c>
      <c r="B1934" s="1">
        <f>IFERROR(__xludf.DUMMYFUNCTION("""COMPUTED_VALUE"""),1859.0)</f>
        <v>1859</v>
      </c>
    </row>
    <row r="1935">
      <c r="A1935" s="2">
        <f>IFERROR(__xludf.DUMMYFUNCTION("""COMPUTED_VALUE"""),38603.666666666664)</f>
        <v>38603.66667</v>
      </c>
      <c r="B1935" s="1">
        <f>IFERROR(__xludf.DUMMYFUNCTION("""COMPUTED_VALUE"""),1852.0)</f>
        <v>1852</v>
      </c>
    </row>
    <row r="1936">
      <c r="A1936" s="2">
        <f>IFERROR(__xludf.DUMMYFUNCTION("""COMPUTED_VALUE"""),38604.666666666664)</f>
        <v>38604.66667</v>
      </c>
      <c r="B1936" s="1">
        <f>IFERROR(__xludf.DUMMYFUNCTION("""COMPUTED_VALUE"""),1866.74)</f>
        <v>1866.74</v>
      </c>
    </row>
    <row r="1937">
      <c r="A1937" s="2">
        <f>IFERROR(__xludf.DUMMYFUNCTION("""COMPUTED_VALUE"""),38607.666666666664)</f>
        <v>38607.66667</v>
      </c>
      <c r="B1937" s="1">
        <f>IFERROR(__xludf.DUMMYFUNCTION("""COMPUTED_VALUE"""),1865.45)</f>
        <v>1865.45</v>
      </c>
    </row>
    <row r="1938">
      <c r="A1938" s="2">
        <f>IFERROR(__xludf.DUMMYFUNCTION("""COMPUTED_VALUE"""),38608.666666666664)</f>
        <v>38608.66667</v>
      </c>
      <c r="B1938" s="1">
        <f>IFERROR(__xludf.DUMMYFUNCTION("""COMPUTED_VALUE"""),1851.87)</f>
        <v>1851.87</v>
      </c>
    </row>
    <row r="1939">
      <c r="A1939" s="2">
        <f>IFERROR(__xludf.DUMMYFUNCTION("""COMPUTED_VALUE"""),38609.666666666664)</f>
        <v>38609.66667</v>
      </c>
      <c r="B1939" s="1">
        <f>IFERROR(__xludf.DUMMYFUNCTION("""COMPUTED_VALUE"""),1845.84)</f>
        <v>1845.84</v>
      </c>
    </row>
    <row r="1940">
      <c r="A1940" s="2">
        <f>IFERROR(__xludf.DUMMYFUNCTION("""COMPUTED_VALUE"""),38610.666666666664)</f>
        <v>38610.66667</v>
      </c>
      <c r="B1940" s="1">
        <f>IFERROR(__xludf.DUMMYFUNCTION("""COMPUTED_VALUE"""),1846.76)</f>
        <v>1846.76</v>
      </c>
    </row>
    <row r="1941">
      <c r="A1941" s="2">
        <f>IFERROR(__xludf.DUMMYFUNCTION("""COMPUTED_VALUE"""),38611.666666666664)</f>
        <v>38611.66667</v>
      </c>
      <c r="B1941" s="1">
        <f>IFERROR(__xludf.DUMMYFUNCTION("""COMPUTED_VALUE"""),1862.11)</f>
        <v>1862.11</v>
      </c>
    </row>
    <row r="1942">
      <c r="A1942" s="2">
        <f>IFERROR(__xludf.DUMMYFUNCTION("""COMPUTED_VALUE"""),38614.666666666664)</f>
        <v>38614.66667</v>
      </c>
      <c r="B1942" s="1">
        <f>IFERROR(__xludf.DUMMYFUNCTION("""COMPUTED_VALUE"""),1851.74)</f>
        <v>1851.74</v>
      </c>
    </row>
    <row r="1943">
      <c r="A1943" s="2">
        <f>IFERROR(__xludf.DUMMYFUNCTION("""COMPUTED_VALUE"""),38615.666666666664)</f>
        <v>38615.66667</v>
      </c>
      <c r="B1943" s="1">
        <f>IFERROR(__xludf.DUMMYFUNCTION("""COMPUTED_VALUE"""),1837.2)</f>
        <v>1837.2</v>
      </c>
    </row>
    <row r="1944">
      <c r="A1944" s="2">
        <f>IFERROR(__xludf.DUMMYFUNCTION("""COMPUTED_VALUE"""),38616.666666666664)</f>
        <v>38616.66667</v>
      </c>
      <c r="B1944" s="1">
        <f>IFERROR(__xludf.DUMMYFUNCTION("""COMPUTED_VALUE"""),1820.49)</f>
        <v>1820.49</v>
      </c>
    </row>
    <row r="1945">
      <c r="A1945" s="2">
        <f>IFERROR(__xludf.DUMMYFUNCTION("""COMPUTED_VALUE"""),38617.666666666664)</f>
        <v>38617.66667</v>
      </c>
      <c r="B1945" s="1">
        <f>IFERROR(__xludf.DUMMYFUNCTION("""COMPUTED_VALUE"""),1827.54)</f>
        <v>1827.54</v>
      </c>
    </row>
    <row r="1946">
      <c r="A1946" s="2">
        <f>IFERROR(__xludf.DUMMYFUNCTION("""COMPUTED_VALUE"""),38618.666666666664)</f>
        <v>38618.66667</v>
      </c>
      <c r="B1946" s="1">
        <f>IFERROR(__xludf.DUMMYFUNCTION("""COMPUTED_VALUE"""),1828.54)</f>
        <v>1828.54</v>
      </c>
    </row>
    <row r="1947">
      <c r="A1947" s="2">
        <f>IFERROR(__xludf.DUMMYFUNCTION("""COMPUTED_VALUE"""),38621.666666666664)</f>
        <v>38621.66667</v>
      </c>
      <c r="B1947" s="1">
        <f>IFERROR(__xludf.DUMMYFUNCTION("""COMPUTED_VALUE"""),1829.05)</f>
        <v>1829.05</v>
      </c>
    </row>
    <row r="1948">
      <c r="A1948" s="2">
        <f>IFERROR(__xludf.DUMMYFUNCTION("""COMPUTED_VALUE"""),38622.666666666664)</f>
        <v>38622.66667</v>
      </c>
      <c r="B1948" s="1">
        <f>IFERROR(__xludf.DUMMYFUNCTION("""COMPUTED_VALUE"""),1829.13)</f>
        <v>1829.13</v>
      </c>
    </row>
    <row r="1949">
      <c r="A1949" s="2">
        <f>IFERROR(__xludf.DUMMYFUNCTION("""COMPUTED_VALUE"""),38623.666666666664)</f>
        <v>38623.66667</v>
      </c>
      <c r="B1949" s="1">
        <f>IFERROR(__xludf.DUMMYFUNCTION("""COMPUTED_VALUE"""),1831.32)</f>
        <v>1831.32</v>
      </c>
    </row>
    <row r="1950">
      <c r="A1950" s="2">
        <f>IFERROR(__xludf.DUMMYFUNCTION("""COMPUTED_VALUE"""),38624.666666666664)</f>
        <v>38624.66667</v>
      </c>
      <c r="B1950" s="1">
        <f>IFERROR(__xludf.DUMMYFUNCTION("""COMPUTED_VALUE"""),1847.62)</f>
        <v>1847.62</v>
      </c>
    </row>
    <row r="1951">
      <c r="A1951" s="2">
        <f>IFERROR(__xludf.DUMMYFUNCTION("""COMPUTED_VALUE"""),38625.666666666664)</f>
        <v>38625.66667</v>
      </c>
      <c r="B1951" s="1">
        <f>IFERROR(__xludf.DUMMYFUNCTION("""COMPUTED_VALUE"""),1849.33)</f>
        <v>1849.33</v>
      </c>
    </row>
    <row r="1952">
      <c r="A1952" s="2">
        <f>IFERROR(__xludf.DUMMYFUNCTION("""COMPUTED_VALUE"""),38628.666666666664)</f>
        <v>38628.66667</v>
      </c>
      <c r="B1952" s="1">
        <f>IFERROR(__xludf.DUMMYFUNCTION("""COMPUTED_VALUE"""),1846.17)</f>
        <v>1846.17</v>
      </c>
    </row>
    <row r="1953">
      <c r="A1953" s="2">
        <f>IFERROR(__xludf.DUMMYFUNCTION("""COMPUTED_VALUE"""),38629.666666666664)</f>
        <v>38629.66667</v>
      </c>
      <c r="B1953" s="1">
        <f>IFERROR(__xludf.DUMMYFUNCTION("""COMPUTED_VALUE"""),1827.96)</f>
        <v>1827.96</v>
      </c>
    </row>
    <row r="1954">
      <c r="A1954" s="2">
        <f>IFERROR(__xludf.DUMMYFUNCTION("""COMPUTED_VALUE"""),38630.666666666664)</f>
        <v>38630.66667</v>
      </c>
      <c r="B1954" s="1">
        <f>IFERROR(__xludf.DUMMYFUNCTION("""COMPUTED_VALUE"""),1801.4)</f>
        <v>1801.4</v>
      </c>
    </row>
    <row r="1955">
      <c r="A1955" s="2">
        <f>IFERROR(__xludf.DUMMYFUNCTION("""COMPUTED_VALUE"""),38631.666666666664)</f>
        <v>38631.66667</v>
      </c>
      <c r="B1955" s="1">
        <f>IFERROR(__xludf.DUMMYFUNCTION("""COMPUTED_VALUE"""),1794.04)</f>
        <v>1794.04</v>
      </c>
    </row>
    <row r="1956">
      <c r="A1956" s="2">
        <f>IFERROR(__xludf.DUMMYFUNCTION("""COMPUTED_VALUE"""),38632.666666666664)</f>
        <v>38632.66667</v>
      </c>
      <c r="B1956" s="1">
        <f>IFERROR(__xludf.DUMMYFUNCTION("""COMPUTED_VALUE"""),1800.71)</f>
        <v>1800.71</v>
      </c>
    </row>
    <row r="1957">
      <c r="A1957" s="2">
        <f>IFERROR(__xludf.DUMMYFUNCTION("""COMPUTED_VALUE"""),38635.666666666664)</f>
        <v>38635.66667</v>
      </c>
      <c r="B1957" s="1">
        <f>IFERROR(__xludf.DUMMYFUNCTION("""COMPUTED_VALUE"""),1787.8)</f>
        <v>1787.8</v>
      </c>
    </row>
    <row r="1958">
      <c r="A1958" s="2">
        <f>IFERROR(__xludf.DUMMYFUNCTION("""COMPUTED_VALUE"""),38636.666666666664)</f>
        <v>38636.66667</v>
      </c>
      <c r="B1958" s="1">
        <f>IFERROR(__xludf.DUMMYFUNCTION("""COMPUTED_VALUE"""),1784.22)</f>
        <v>1784.22</v>
      </c>
    </row>
    <row r="1959">
      <c r="A1959" s="2">
        <f>IFERROR(__xludf.DUMMYFUNCTION("""COMPUTED_VALUE"""),38637.666666666664)</f>
        <v>38637.66667</v>
      </c>
      <c r="B1959" s="1">
        <f>IFERROR(__xludf.DUMMYFUNCTION("""COMPUTED_VALUE"""),1773.6)</f>
        <v>1773.6</v>
      </c>
    </row>
    <row r="1960">
      <c r="A1960" s="2">
        <f>IFERROR(__xludf.DUMMYFUNCTION("""COMPUTED_VALUE"""),38638.666666666664)</f>
        <v>38638.66667</v>
      </c>
      <c r="B1960" s="1">
        <f>IFERROR(__xludf.DUMMYFUNCTION("""COMPUTED_VALUE"""),1772.36)</f>
        <v>1772.36</v>
      </c>
    </row>
    <row r="1961">
      <c r="A1961" s="2">
        <f>IFERROR(__xludf.DUMMYFUNCTION("""COMPUTED_VALUE"""),38639.666666666664)</f>
        <v>38639.66667</v>
      </c>
      <c r="B1961" s="1">
        <f>IFERROR(__xludf.DUMMYFUNCTION("""COMPUTED_VALUE"""),1787.01)</f>
        <v>1787.01</v>
      </c>
    </row>
    <row r="1962">
      <c r="A1962" s="2">
        <f>IFERROR(__xludf.DUMMYFUNCTION("""COMPUTED_VALUE"""),38642.666666666664)</f>
        <v>38642.66667</v>
      </c>
      <c r="B1962" s="1">
        <f>IFERROR(__xludf.DUMMYFUNCTION("""COMPUTED_VALUE"""),1792.33)</f>
        <v>1792.33</v>
      </c>
    </row>
    <row r="1963">
      <c r="A1963" s="2">
        <f>IFERROR(__xludf.DUMMYFUNCTION("""COMPUTED_VALUE"""),38643.666666666664)</f>
        <v>38643.66667</v>
      </c>
      <c r="B1963" s="1">
        <f>IFERROR(__xludf.DUMMYFUNCTION("""COMPUTED_VALUE"""),1774.32)</f>
        <v>1774.32</v>
      </c>
    </row>
    <row r="1964">
      <c r="A1964" s="2">
        <f>IFERROR(__xludf.DUMMYFUNCTION("""COMPUTED_VALUE"""),38644.666666666664)</f>
        <v>38644.66667</v>
      </c>
      <c r="B1964" s="1">
        <f>IFERROR(__xludf.DUMMYFUNCTION("""COMPUTED_VALUE"""),1801.01)</f>
        <v>1801.01</v>
      </c>
    </row>
    <row r="1965">
      <c r="A1965" s="2">
        <f>IFERROR(__xludf.DUMMYFUNCTION("""COMPUTED_VALUE"""),38645.666666666664)</f>
        <v>38645.66667</v>
      </c>
      <c r="B1965" s="1">
        <f>IFERROR(__xludf.DUMMYFUNCTION("""COMPUTED_VALUE"""),1774.02)</f>
        <v>1774.02</v>
      </c>
    </row>
    <row r="1966">
      <c r="A1966" s="2">
        <f>IFERROR(__xludf.DUMMYFUNCTION("""COMPUTED_VALUE"""),38646.666666666664)</f>
        <v>38646.66667</v>
      </c>
      <c r="B1966" s="1">
        <f>IFERROR(__xludf.DUMMYFUNCTION("""COMPUTED_VALUE"""),1776.73)</f>
        <v>1776.73</v>
      </c>
    </row>
    <row r="1967">
      <c r="A1967" s="2">
        <f>IFERROR(__xludf.DUMMYFUNCTION("""COMPUTED_VALUE"""),38649.666666666664)</f>
        <v>38649.66667</v>
      </c>
      <c r="B1967" s="1">
        <f>IFERROR(__xludf.DUMMYFUNCTION("""COMPUTED_VALUE"""),1806.59)</f>
        <v>1806.59</v>
      </c>
    </row>
    <row r="1968">
      <c r="A1968" s="2">
        <f>IFERROR(__xludf.DUMMYFUNCTION("""COMPUTED_VALUE"""),38650.666666666664)</f>
        <v>38650.66667</v>
      </c>
      <c r="B1968" s="1">
        <f>IFERROR(__xludf.DUMMYFUNCTION("""COMPUTED_VALUE"""),1802.3)</f>
        <v>1802.3</v>
      </c>
    </row>
    <row r="1969">
      <c r="A1969" s="2">
        <f>IFERROR(__xludf.DUMMYFUNCTION("""COMPUTED_VALUE"""),38651.666666666664)</f>
        <v>38651.66667</v>
      </c>
      <c r="B1969" s="1">
        <f>IFERROR(__xludf.DUMMYFUNCTION("""COMPUTED_VALUE"""),1794.56)</f>
        <v>1794.56</v>
      </c>
    </row>
    <row r="1970">
      <c r="A1970" s="2">
        <f>IFERROR(__xludf.DUMMYFUNCTION("""COMPUTED_VALUE"""),38652.666666666664)</f>
        <v>38652.66667</v>
      </c>
      <c r="B1970" s="1">
        <f>IFERROR(__xludf.DUMMYFUNCTION("""COMPUTED_VALUE"""),1776.01)</f>
        <v>1776.01</v>
      </c>
    </row>
    <row r="1971">
      <c r="A1971" s="2">
        <f>IFERROR(__xludf.DUMMYFUNCTION("""COMPUTED_VALUE"""),38653.666666666664)</f>
        <v>38653.66667</v>
      </c>
      <c r="B1971" s="1">
        <f>IFERROR(__xludf.DUMMYFUNCTION("""COMPUTED_VALUE"""),1805.56)</f>
        <v>1805.56</v>
      </c>
    </row>
    <row r="1972">
      <c r="A1972" s="2">
        <f>IFERROR(__xludf.DUMMYFUNCTION("""COMPUTED_VALUE"""),38656.666666666664)</f>
        <v>38656.66667</v>
      </c>
      <c r="B1972" s="1">
        <f>IFERROR(__xludf.DUMMYFUNCTION("""COMPUTED_VALUE"""),1818.5)</f>
        <v>1818.5</v>
      </c>
    </row>
    <row r="1973">
      <c r="A1973" s="2">
        <f>IFERROR(__xludf.DUMMYFUNCTION("""COMPUTED_VALUE"""),38657.666666666664)</f>
        <v>38657.66667</v>
      </c>
      <c r="B1973" s="1">
        <f>IFERROR(__xludf.DUMMYFUNCTION("""COMPUTED_VALUE"""),1812.11)</f>
        <v>1812.11</v>
      </c>
    </row>
    <row r="1974">
      <c r="A1974" s="2">
        <f>IFERROR(__xludf.DUMMYFUNCTION("""COMPUTED_VALUE"""),38658.666666666664)</f>
        <v>38658.66667</v>
      </c>
      <c r="B1974" s="1">
        <f>IFERROR(__xludf.DUMMYFUNCTION("""COMPUTED_VALUE"""),1830.43)</f>
        <v>1830.43</v>
      </c>
    </row>
    <row r="1975">
      <c r="A1975" s="2">
        <f>IFERROR(__xludf.DUMMYFUNCTION("""COMPUTED_VALUE"""),38659.666666666664)</f>
        <v>38659.66667</v>
      </c>
      <c r="B1975" s="1">
        <f>IFERROR(__xludf.DUMMYFUNCTION("""COMPUTED_VALUE"""),1838.86)</f>
        <v>1838.86</v>
      </c>
    </row>
    <row r="1976">
      <c r="A1976" s="2">
        <f>IFERROR(__xludf.DUMMYFUNCTION("""COMPUTED_VALUE"""),38660.666666666664)</f>
        <v>38660.66667</v>
      </c>
      <c r="B1976" s="1">
        <f>IFERROR(__xludf.DUMMYFUNCTION("""COMPUTED_VALUE"""),1839.16)</f>
        <v>1839.16</v>
      </c>
    </row>
    <row r="1977">
      <c r="A1977" s="2">
        <f>IFERROR(__xludf.DUMMYFUNCTION("""COMPUTED_VALUE"""),38663.666666666664)</f>
        <v>38663.66667</v>
      </c>
      <c r="B1977" s="1">
        <f>IFERROR(__xludf.DUMMYFUNCTION("""COMPUTED_VALUE"""),1843.27)</f>
        <v>1843.27</v>
      </c>
    </row>
    <row r="1978">
      <c r="A1978" s="2">
        <f>IFERROR(__xludf.DUMMYFUNCTION("""COMPUTED_VALUE"""),38664.666666666664)</f>
        <v>38664.66667</v>
      </c>
      <c r="B1978" s="1">
        <f>IFERROR(__xludf.DUMMYFUNCTION("""COMPUTED_VALUE"""),1837.8)</f>
        <v>1837.8</v>
      </c>
    </row>
    <row r="1979">
      <c r="A1979" s="2">
        <f>IFERROR(__xludf.DUMMYFUNCTION("""COMPUTED_VALUE"""),38665.666666666664)</f>
        <v>38665.66667</v>
      </c>
      <c r="B1979" s="1">
        <f>IFERROR(__xludf.DUMMYFUNCTION("""COMPUTED_VALUE"""),1841.0)</f>
        <v>1841</v>
      </c>
    </row>
    <row r="1980">
      <c r="A1980" s="2">
        <f>IFERROR(__xludf.DUMMYFUNCTION("""COMPUTED_VALUE"""),38666.666666666664)</f>
        <v>38666.66667</v>
      </c>
      <c r="B1980" s="1">
        <f>IFERROR(__xludf.DUMMYFUNCTION("""COMPUTED_VALUE"""),1856.9)</f>
        <v>1856.9</v>
      </c>
    </row>
    <row r="1981">
      <c r="A1981" s="2">
        <f>IFERROR(__xludf.DUMMYFUNCTION("""COMPUTED_VALUE"""),38667.666666666664)</f>
        <v>38667.66667</v>
      </c>
      <c r="B1981" s="1">
        <f>IFERROR(__xludf.DUMMYFUNCTION("""COMPUTED_VALUE"""),1862.56)</f>
        <v>1862.56</v>
      </c>
    </row>
    <row r="1982">
      <c r="A1982" s="2">
        <f>IFERROR(__xludf.DUMMYFUNCTION("""COMPUTED_VALUE"""),38670.666666666664)</f>
        <v>38670.66667</v>
      </c>
      <c r="B1982" s="1">
        <f>IFERROR(__xludf.DUMMYFUNCTION("""COMPUTED_VALUE"""),1861.25)</f>
        <v>1861.25</v>
      </c>
    </row>
    <row r="1983">
      <c r="A1983" s="2">
        <f>IFERROR(__xludf.DUMMYFUNCTION("""COMPUTED_VALUE"""),38671.666666666664)</f>
        <v>38671.66667</v>
      </c>
      <c r="B1983" s="1">
        <f>IFERROR(__xludf.DUMMYFUNCTION("""COMPUTED_VALUE"""),1854.28)</f>
        <v>1854.28</v>
      </c>
    </row>
    <row r="1984">
      <c r="A1984" s="2">
        <f>IFERROR(__xludf.DUMMYFUNCTION("""COMPUTED_VALUE"""),38672.666666666664)</f>
        <v>38672.66667</v>
      </c>
      <c r="B1984" s="1">
        <f>IFERROR(__xludf.DUMMYFUNCTION("""COMPUTED_VALUE"""),1857.97)</f>
        <v>1857.97</v>
      </c>
    </row>
    <row r="1985">
      <c r="A1985" s="2">
        <f>IFERROR(__xludf.DUMMYFUNCTION("""COMPUTED_VALUE"""),38673.666666666664)</f>
        <v>38673.66667</v>
      </c>
      <c r="B1985" s="1">
        <f>IFERROR(__xludf.DUMMYFUNCTION("""COMPUTED_VALUE"""),1875.49)</f>
        <v>1875.49</v>
      </c>
    </row>
    <row r="1986">
      <c r="A1986" s="2">
        <f>IFERROR(__xludf.DUMMYFUNCTION("""COMPUTED_VALUE"""),38674.666666666664)</f>
        <v>38674.66667</v>
      </c>
      <c r="B1986" s="1">
        <f>IFERROR(__xludf.DUMMYFUNCTION("""COMPUTED_VALUE"""),1883.99)</f>
        <v>1883.99</v>
      </c>
    </row>
    <row r="1987">
      <c r="A1987" s="2">
        <f>IFERROR(__xludf.DUMMYFUNCTION("""COMPUTED_VALUE"""),38677.666666666664)</f>
        <v>38677.66667</v>
      </c>
      <c r="B1987" s="1">
        <f>IFERROR(__xludf.DUMMYFUNCTION("""COMPUTED_VALUE"""),1893.93)</f>
        <v>1893.93</v>
      </c>
    </row>
    <row r="1988">
      <c r="A1988" s="2">
        <f>IFERROR(__xludf.DUMMYFUNCTION("""COMPUTED_VALUE"""),38678.666666666664)</f>
        <v>38678.66667</v>
      </c>
      <c r="B1988" s="1">
        <f>IFERROR(__xludf.DUMMYFUNCTION("""COMPUTED_VALUE"""),1903.66)</f>
        <v>1903.66</v>
      </c>
    </row>
    <row r="1989">
      <c r="A1989" s="2">
        <f>IFERROR(__xludf.DUMMYFUNCTION("""COMPUTED_VALUE"""),38679.666666666664)</f>
        <v>38679.66667</v>
      </c>
      <c r="B1989" s="1">
        <f>IFERROR(__xludf.DUMMYFUNCTION("""COMPUTED_VALUE"""),1910.39)</f>
        <v>1910.39</v>
      </c>
    </row>
    <row r="1990">
      <c r="A1990" s="2">
        <f>IFERROR(__xludf.DUMMYFUNCTION("""COMPUTED_VALUE"""),38681.666666666664)</f>
        <v>38681.66667</v>
      </c>
      <c r="B1990" s="1">
        <f>IFERROR(__xludf.DUMMYFUNCTION("""COMPUTED_VALUE"""),1914.41)</f>
        <v>1914.41</v>
      </c>
    </row>
    <row r="1991">
      <c r="A1991" s="2">
        <f>IFERROR(__xludf.DUMMYFUNCTION("""COMPUTED_VALUE"""),38684.666666666664)</f>
        <v>38684.66667</v>
      </c>
      <c r="B1991" s="1">
        <f>IFERROR(__xludf.DUMMYFUNCTION("""COMPUTED_VALUE"""),1898.37)</f>
        <v>1898.37</v>
      </c>
    </row>
    <row r="1992">
      <c r="A1992" s="2">
        <f>IFERROR(__xludf.DUMMYFUNCTION("""COMPUTED_VALUE"""),38685.666666666664)</f>
        <v>38685.66667</v>
      </c>
      <c r="B1992" s="1">
        <f>IFERROR(__xludf.DUMMYFUNCTION("""COMPUTED_VALUE"""),1898.74)</f>
        <v>1898.74</v>
      </c>
    </row>
    <row r="1993">
      <c r="A1993" s="2">
        <f>IFERROR(__xludf.DUMMYFUNCTION("""COMPUTED_VALUE"""),38686.666666666664)</f>
        <v>38686.66667</v>
      </c>
      <c r="B1993" s="1">
        <f>IFERROR(__xludf.DUMMYFUNCTION("""COMPUTED_VALUE"""),1887.28)</f>
        <v>1887.28</v>
      </c>
    </row>
    <row r="1994">
      <c r="A1994" s="2">
        <f>IFERROR(__xludf.DUMMYFUNCTION("""COMPUTED_VALUE"""),38687.666666666664)</f>
        <v>38687.66667</v>
      </c>
      <c r="B1994" s="1">
        <f>IFERROR(__xludf.DUMMYFUNCTION("""COMPUTED_VALUE"""),1910.23)</f>
        <v>1910.23</v>
      </c>
    </row>
    <row r="1995">
      <c r="A1995" s="2">
        <f>IFERROR(__xludf.DUMMYFUNCTION("""COMPUTED_VALUE"""),38688.666666666664)</f>
        <v>38688.66667</v>
      </c>
      <c r="B1995" s="1">
        <f>IFERROR(__xludf.DUMMYFUNCTION("""COMPUTED_VALUE"""),1910.86)</f>
        <v>1910.86</v>
      </c>
    </row>
    <row r="1996">
      <c r="A1996" s="2">
        <f>IFERROR(__xludf.DUMMYFUNCTION("""COMPUTED_VALUE"""),38691.666666666664)</f>
        <v>38691.66667</v>
      </c>
      <c r="B1996" s="1">
        <f>IFERROR(__xludf.DUMMYFUNCTION("""COMPUTED_VALUE"""),1906.42)</f>
        <v>1906.42</v>
      </c>
    </row>
    <row r="1997">
      <c r="A1997" s="2">
        <f>IFERROR(__xludf.DUMMYFUNCTION("""COMPUTED_VALUE"""),38692.666666666664)</f>
        <v>38692.66667</v>
      </c>
      <c r="B1997" s="1">
        <f>IFERROR(__xludf.DUMMYFUNCTION("""COMPUTED_VALUE"""),1908.89)</f>
        <v>1908.89</v>
      </c>
    </row>
    <row r="1998">
      <c r="A1998" s="2">
        <f>IFERROR(__xludf.DUMMYFUNCTION("""COMPUTED_VALUE"""),38693.666666666664)</f>
        <v>38693.66667</v>
      </c>
      <c r="B1998" s="1">
        <f>IFERROR(__xludf.DUMMYFUNCTION("""COMPUTED_VALUE"""),1899.69)</f>
        <v>1899.69</v>
      </c>
    </row>
    <row r="1999">
      <c r="A1999" s="2">
        <f>IFERROR(__xludf.DUMMYFUNCTION("""COMPUTED_VALUE"""),38694.666666666664)</f>
        <v>38694.66667</v>
      </c>
      <c r="B1999" s="1">
        <f>IFERROR(__xludf.DUMMYFUNCTION("""COMPUTED_VALUE"""),1897.57)</f>
        <v>1897.57</v>
      </c>
    </row>
    <row r="2000">
      <c r="A2000" s="2">
        <f>IFERROR(__xludf.DUMMYFUNCTION("""COMPUTED_VALUE"""),38695.666666666664)</f>
        <v>38695.66667</v>
      </c>
      <c r="B2000" s="1">
        <f>IFERROR(__xludf.DUMMYFUNCTION("""COMPUTED_VALUE"""),1902.92)</f>
        <v>1902.92</v>
      </c>
    </row>
    <row r="2001">
      <c r="A2001" s="2">
        <f>IFERROR(__xludf.DUMMYFUNCTION("""COMPUTED_VALUE"""),38698.666666666664)</f>
        <v>38698.66667</v>
      </c>
      <c r="B2001" s="1">
        <f>IFERROR(__xludf.DUMMYFUNCTION("""COMPUTED_VALUE"""),1904.59)</f>
        <v>1904.59</v>
      </c>
    </row>
    <row r="2002">
      <c r="A2002" s="2">
        <f>IFERROR(__xludf.DUMMYFUNCTION("""COMPUTED_VALUE"""),38699.666666666664)</f>
        <v>38699.66667</v>
      </c>
      <c r="B2002" s="1">
        <f>IFERROR(__xludf.DUMMYFUNCTION("""COMPUTED_VALUE"""),1915.3)</f>
        <v>1915.3</v>
      </c>
    </row>
    <row r="2003">
      <c r="A2003" s="2">
        <f>IFERROR(__xludf.DUMMYFUNCTION("""COMPUTED_VALUE"""),38700.666666666664)</f>
        <v>38700.66667</v>
      </c>
      <c r="B2003" s="1">
        <f>IFERROR(__xludf.DUMMYFUNCTION("""COMPUTED_VALUE"""),1923.44)</f>
        <v>1923.44</v>
      </c>
    </row>
    <row r="2004">
      <c r="A2004" s="2">
        <f>IFERROR(__xludf.DUMMYFUNCTION("""COMPUTED_VALUE"""),38701.666666666664)</f>
        <v>38701.66667</v>
      </c>
      <c r="B2004" s="1">
        <f>IFERROR(__xludf.DUMMYFUNCTION("""COMPUTED_VALUE"""),1920.85)</f>
        <v>1920.85</v>
      </c>
    </row>
    <row r="2005">
      <c r="A2005" s="2">
        <f>IFERROR(__xludf.DUMMYFUNCTION("""COMPUTED_VALUE"""),38702.666666666664)</f>
        <v>38702.66667</v>
      </c>
      <c r="B2005" s="1">
        <f>IFERROR(__xludf.DUMMYFUNCTION("""COMPUTED_VALUE"""),1915.4)</f>
        <v>1915.4</v>
      </c>
    </row>
    <row r="2006">
      <c r="A2006" s="2">
        <f>IFERROR(__xludf.DUMMYFUNCTION("""COMPUTED_VALUE"""),38705.666666666664)</f>
        <v>38705.66667</v>
      </c>
      <c r="B2006" s="1">
        <f>IFERROR(__xludf.DUMMYFUNCTION("""COMPUTED_VALUE"""),1904.21)</f>
        <v>1904.21</v>
      </c>
    </row>
    <row r="2007">
      <c r="A2007" s="2">
        <f>IFERROR(__xludf.DUMMYFUNCTION("""COMPUTED_VALUE"""),38706.666666666664)</f>
        <v>38706.66667</v>
      </c>
      <c r="B2007" s="1">
        <f>IFERROR(__xludf.DUMMYFUNCTION("""COMPUTED_VALUE"""),1903.81)</f>
        <v>1903.81</v>
      </c>
    </row>
    <row r="2008">
      <c r="A2008" s="2">
        <f>IFERROR(__xludf.DUMMYFUNCTION("""COMPUTED_VALUE"""),38707.666666666664)</f>
        <v>38707.66667</v>
      </c>
      <c r="B2008" s="1">
        <f>IFERROR(__xludf.DUMMYFUNCTION("""COMPUTED_VALUE"""),1908.65)</f>
        <v>1908.65</v>
      </c>
    </row>
    <row r="2009">
      <c r="A2009" s="2">
        <f>IFERROR(__xludf.DUMMYFUNCTION("""COMPUTED_VALUE"""),38708.666666666664)</f>
        <v>38708.66667</v>
      </c>
      <c r="B2009" s="1">
        <f>IFERROR(__xludf.DUMMYFUNCTION("""COMPUTED_VALUE"""),1917.16)</f>
        <v>1917.16</v>
      </c>
    </row>
    <row r="2010">
      <c r="A2010" s="2">
        <f>IFERROR(__xludf.DUMMYFUNCTION("""COMPUTED_VALUE"""),38709.666666666664)</f>
        <v>38709.66667</v>
      </c>
      <c r="B2010" s="1">
        <f>IFERROR(__xludf.DUMMYFUNCTION("""COMPUTED_VALUE"""),1918.25)</f>
        <v>1918.25</v>
      </c>
    </row>
    <row r="2011">
      <c r="A2011" s="2">
        <f>IFERROR(__xludf.DUMMYFUNCTION("""COMPUTED_VALUE"""),38713.666666666664)</f>
        <v>38713.66667</v>
      </c>
      <c r="B2011" s="1">
        <f>IFERROR(__xludf.DUMMYFUNCTION("""COMPUTED_VALUE"""),1899.93)</f>
        <v>1899.93</v>
      </c>
    </row>
    <row r="2012">
      <c r="A2012" s="2">
        <f>IFERROR(__xludf.DUMMYFUNCTION("""COMPUTED_VALUE"""),38714.666666666664)</f>
        <v>38714.66667</v>
      </c>
      <c r="B2012" s="1">
        <f>IFERROR(__xludf.DUMMYFUNCTION("""COMPUTED_VALUE"""),1902.74)</f>
        <v>1902.74</v>
      </c>
    </row>
    <row r="2013">
      <c r="A2013" s="2">
        <f>IFERROR(__xludf.DUMMYFUNCTION("""COMPUTED_VALUE"""),38715.666666666664)</f>
        <v>38715.66667</v>
      </c>
      <c r="B2013" s="1">
        <f>IFERROR(__xludf.DUMMYFUNCTION("""COMPUTED_VALUE"""),1897.2)</f>
        <v>1897.2</v>
      </c>
    </row>
    <row r="2014">
      <c r="A2014" s="2">
        <f>IFERROR(__xludf.DUMMYFUNCTION("""COMPUTED_VALUE"""),38716.666666666664)</f>
        <v>38716.66667</v>
      </c>
      <c r="B2014" s="1">
        <f>IFERROR(__xludf.DUMMYFUNCTION("""COMPUTED_VALUE"""),1887.94)</f>
        <v>1887.94</v>
      </c>
    </row>
    <row r="2015">
      <c r="A2015" s="2">
        <f>IFERROR(__xludf.DUMMYFUNCTION("""COMPUTED_VALUE"""),38720.666666666664)</f>
        <v>38720.66667</v>
      </c>
      <c r="B2015" s="1">
        <f>IFERROR(__xludf.DUMMYFUNCTION("""COMPUTED_VALUE"""),1918.96)</f>
        <v>1918.96</v>
      </c>
    </row>
    <row r="2016">
      <c r="A2016" s="2">
        <f>IFERROR(__xludf.DUMMYFUNCTION("""COMPUTED_VALUE"""),38721.666666666664)</f>
        <v>38721.66667</v>
      </c>
      <c r="B2016" s="1">
        <f>IFERROR(__xludf.DUMMYFUNCTION("""COMPUTED_VALUE"""),1926.39)</f>
        <v>1926.39</v>
      </c>
    </row>
    <row r="2017">
      <c r="A2017" s="2">
        <f>IFERROR(__xludf.DUMMYFUNCTION("""COMPUTED_VALUE"""),38722.666666666664)</f>
        <v>38722.66667</v>
      </c>
      <c r="B2017" s="1">
        <f>IFERROR(__xludf.DUMMYFUNCTION("""COMPUTED_VALUE"""),1926.44)</f>
        <v>1926.44</v>
      </c>
    </row>
    <row r="2018">
      <c r="A2018" s="2">
        <f>IFERROR(__xludf.DUMMYFUNCTION("""COMPUTED_VALUE"""),38723.666666666664)</f>
        <v>38723.66667</v>
      </c>
      <c r="B2018" s="1">
        <f>IFERROR(__xludf.DUMMYFUNCTION("""COMPUTED_VALUE"""),1945.02)</f>
        <v>1945.02</v>
      </c>
    </row>
    <row r="2019">
      <c r="A2019" s="2">
        <f>IFERROR(__xludf.DUMMYFUNCTION("""COMPUTED_VALUE"""),38726.666666666664)</f>
        <v>38726.66667</v>
      </c>
      <c r="B2019" s="1">
        <f>IFERROR(__xludf.DUMMYFUNCTION("""COMPUTED_VALUE"""),1952.13)</f>
        <v>1952.13</v>
      </c>
    </row>
    <row r="2020">
      <c r="A2020" s="2">
        <f>IFERROR(__xludf.DUMMYFUNCTION("""COMPUTED_VALUE"""),38727.666666666664)</f>
        <v>38727.66667</v>
      </c>
      <c r="B2020" s="1">
        <f>IFERROR(__xludf.DUMMYFUNCTION("""COMPUTED_VALUE"""),1951.53)</f>
        <v>1951.53</v>
      </c>
    </row>
    <row r="2021">
      <c r="A2021" s="2">
        <f>IFERROR(__xludf.DUMMYFUNCTION("""COMPUTED_VALUE"""),38728.666666666664)</f>
        <v>38728.66667</v>
      </c>
      <c r="B2021" s="1">
        <f>IFERROR(__xludf.DUMMYFUNCTION("""COMPUTED_VALUE"""),1958.56)</f>
        <v>1958.56</v>
      </c>
    </row>
    <row r="2022">
      <c r="A2022" s="2">
        <f>IFERROR(__xludf.DUMMYFUNCTION("""COMPUTED_VALUE"""),38729.666666666664)</f>
        <v>38729.66667</v>
      </c>
      <c r="B2022" s="1">
        <f>IFERROR(__xludf.DUMMYFUNCTION("""COMPUTED_VALUE"""),1946.28)</f>
        <v>1946.28</v>
      </c>
    </row>
    <row r="2023">
      <c r="A2023" s="2">
        <f>IFERROR(__xludf.DUMMYFUNCTION("""COMPUTED_VALUE"""),38730.666666666664)</f>
        <v>38730.66667</v>
      </c>
      <c r="B2023" s="1">
        <f>IFERROR(__xludf.DUMMYFUNCTION("""COMPUTED_VALUE"""),1948.64)</f>
        <v>1948.64</v>
      </c>
    </row>
    <row r="2024">
      <c r="A2024" s="2">
        <f>IFERROR(__xludf.DUMMYFUNCTION("""COMPUTED_VALUE"""),38734.666666666664)</f>
        <v>38734.66667</v>
      </c>
      <c r="B2024" s="1">
        <f>IFERROR(__xludf.DUMMYFUNCTION("""COMPUTED_VALUE"""),1941.57)</f>
        <v>1941.57</v>
      </c>
    </row>
    <row r="2025">
      <c r="A2025" s="2">
        <f>IFERROR(__xludf.DUMMYFUNCTION("""COMPUTED_VALUE"""),38735.666666666664)</f>
        <v>38735.66667</v>
      </c>
      <c r="B2025" s="1">
        <f>IFERROR(__xludf.DUMMYFUNCTION("""COMPUTED_VALUE"""),1934.21)</f>
        <v>1934.21</v>
      </c>
    </row>
    <row r="2026">
      <c r="A2026" s="2">
        <f>IFERROR(__xludf.DUMMYFUNCTION("""COMPUTED_VALUE"""),38736.666666666664)</f>
        <v>38736.66667</v>
      </c>
      <c r="B2026" s="1">
        <f>IFERROR(__xludf.DUMMYFUNCTION("""COMPUTED_VALUE"""),1944.98)</f>
        <v>1944.98</v>
      </c>
    </row>
    <row r="2027">
      <c r="A2027" s="2">
        <f>IFERROR(__xludf.DUMMYFUNCTION("""COMPUTED_VALUE"""),38737.666666666664)</f>
        <v>38737.66667</v>
      </c>
      <c r="B2027" s="1">
        <f>IFERROR(__xludf.DUMMYFUNCTION("""COMPUTED_VALUE"""),1909.35)</f>
        <v>1909.35</v>
      </c>
    </row>
    <row r="2028">
      <c r="A2028" s="2">
        <f>IFERROR(__xludf.DUMMYFUNCTION("""COMPUTED_VALUE"""),38740.666666666664)</f>
        <v>38740.66667</v>
      </c>
      <c r="B2028" s="1">
        <f>IFERROR(__xludf.DUMMYFUNCTION("""COMPUTED_VALUE"""),1912.91)</f>
        <v>1912.91</v>
      </c>
    </row>
    <row r="2029">
      <c r="A2029" s="2">
        <f>IFERROR(__xludf.DUMMYFUNCTION("""COMPUTED_VALUE"""),38741.666666666664)</f>
        <v>38741.66667</v>
      </c>
      <c r="B2029" s="1">
        <f>IFERROR(__xludf.DUMMYFUNCTION("""COMPUTED_VALUE"""),1917.54)</f>
        <v>1917.54</v>
      </c>
    </row>
    <row r="2030">
      <c r="A2030" s="2">
        <f>IFERROR(__xludf.DUMMYFUNCTION("""COMPUTED_VALUE"""),38742.666666666664)</f>
        <v>38742.66667</v>
      </c>
      <c r="B2030" s="1">
        <f>IFERROR(__xludf.DUMMYFUNCTION("""COMPUTED_VALUE"""),1914.28)</f>
        <v>1914.28</v>
      </c>
    </row>
    <row r="2031">
      <c r="A2031" s="2">
        <f>IFERROR(__xludf.DUMMYFUNCTION("""COMPUTED_VALUE"""),38743.666666666664)</f>
        <v>38743.66667</v>
      </c>
      <c r="B2031" s="1">
        <f>IFERROR(__xludf.DUMMYFUNCTION("""COMPUTED_VALUE"""),1928.17)</f>
        <v>1928.17</v>
      </c>
    </row>
    <row r="2032">
      <c r="A2032" s="2">
        <f>IFERROR(__xludf.DUMMYFUNCTION("""COMPUTED_VALUE"""),38744.666666666664)</f>
        <v>38744.66667</v>
      </c>
      <c r="B2032" s="1">
        <f>IFERROR(__xludf.DUMMYFUNCTION("""COMPUTED_VALUE"""),1943.34)</f>
        <v>1943.34</v>
      </c>
    </row>
    <row r="2033">
      <c r="A2033" s="2">
        <f>IFERROR(__xludf.DUMMYFUNCTION("""COMPUTED_VALUE"""),38747.666666666664)</f>
        <v>38747.66667</v>
      </c>
      <c r="B2033" s="1">
        <f>IFERROR(__xludf.DUMMYFUNCTION("""COMPUTED_VALUE"""),1945.66)</f>
        <v>1945.66</v>
      </c>
    </row>
    <row r="2034">
      <c r="A2034" s="2">
        <f>IFERROR(__xludf.DUMMYFUNCTION("""COMPUTED_VALUE"""),38748.666666666664)</f>
        <v>38748.66667</v>
      </c>
      <c r="B2034" s="1">
        <f>IFERROR(__xludf.DUMMYFUNCTION("""COMPUTED_VALUE"""),1937.93)</f>
        <v>1937.93</v>
      </c>
    </row>
    <row r="2035">
      <c r="A2035" s="2">
        <f>IFERROR(__xludf.DUMMYFUNCTION("""COMPUTED_VALUE"""),38749.666666666664)</f>
        <v>38749.66667</v>
      </c>
      <c r="B2035" s="1">
        <f>IFERROR(__xludf.DUMMYFUNCTION("""COMPUTED_VALUE"""),1941.75)</f>
        <v>1941.75</v>
      </c>
    </row>
    <row r="2036">
      <c r="A2036" s="2">
        <f>IFERROR(__xludf.DUMMYFUNCTION("""COMPUTED_VALUE"""),38750.666666666664)</f>
        <v>38750.66667</v>
      </c>
      <c r="B2036" s="1">
        <f>IFERROR(__xludf.DUMMYFUNCTION("""COMPUTED_VALUE"""),1924.67)</f>
        <v>1924.67</v>
      </c>
    </row>
    <row r="2037">
      <c r="A2037" s="2">
        <f>IFERROR(__xludf.DUMMYFUNCTION("""COMPUTED_VALUE"""),38751.666666666664)</f>
        <v>38751.66667</v>
      </c>
      <c r="B2037" s="1">
        <f>IFERROR(__xludf.DUMMYFUNCTION("""COMPUTED_VALUE"""),1914.5)</f>
        <v>1914.5</v>
      </c>
    </row>
    <row r="2038">
      <c r="A2038" s="2">
        <f>IFERROR(__xludf.DUMMYFUNCTION("""COMPUTED_VALUE"""),38754.666666666664)</f>
        <v>38754.66667</v>
      </c>
      <c r="B2038" s="1">
        <f>IFERROR(__xludf.DUMMYFUNCTION("""COMPUTED_VALUE"""),1916.04)</f>
        <v>1916.04</v>
      </c>
    </row>
    <row r="2039">
      <c r="A2039" s="2">
        <f>IFERROR(__xludf.DUMMYFUNCTION("""COMPUTED_VALUE"""),38755.666666666664)</f>
        <v>38755.66667</v>
      </c>
      <c r="B2039" s="1">
        <f>IFERROR(__xludf.DUMMYFUNCTION("""COMPUTED_VALUE"""),1900.58)</f>
        <v>1900.58</v>
      </c>
    </row>
    <row r="2040">
      <c r="A2040" s="2">
        <f>IFERROR(__xludf.DUMMYFUNCTION("""COMPUTED_VALUE"""),38756.666666666664)</f>
        <v>38756.66667</v>
      </c>
      <c r="B2040" s="1">
        <f>IFERROR(__xludf.DUMMYFUNCTION("""COMPUTED_VALUE"""),1917.84)</f>
        <v>1917.84</v>
      </c>
    </row>
    <row r="2041">
      <c r="A2041" s="2">
        <f>IFERROR(__xludf.DUMMYFUNCTION("""COMPUTED_VALUE"""),38757.666666666664)</f>
        <v>38757.66667</v>
      </c>
      <c r="B2041" s="1">
        <f>IFERROR(__xludf.DUMMYFUNCTION("""COMPUTED_VALUE"""),1915.1)</f>
        <v>1915.1</v>
      </c>
    </row>
    <row r="2042">
      <c r="A2042" s="2">
        <f>IFERROR(__xludf.DUMMYFUNCTION("""COMPUTED_VALUE"""),38758.666666666664)</f>
        <v>38758.66667</v>
      </c>
      <c r="B2042" s="1">
        <f>IFERROR(__xludf.DUMMYFUNCTION("""COMPUTED_VALUE"""),1920.0)</f>
        <v>1920</v>
      </c>
    </row>
    <row r="2043">
      <c r="A2043" s="2">
        <f>IFERROR(__xludf.DUMMYFUNCTION("""COMPUTED_VALUE"""),38761.666666666664)</f>
        <v>38761.66667</v>
      </c>
      <c r="B2043" s="1">
        <f>IFERROR(__xludf.DUMMYFUNCTION("""COMPUTED_VALUE"""),1914.02)</f>
        <v>1914.02</v>
      </c>
    </row>
    <row r="2044">
      <c r="A2044" s="2">
        <f>IFERROR(__xludf.DUMMYFUNCTION("""COMPUTED_VALUE"""),38762.666666666664)</f>
        <v>38762.66667</v>
      </c>
      <c r="B2044" s="1">
        <f>IFERROR(__xludf.DUMMYFUNCTION("""COMPUTED_VALUE"""),1933.46)</f>
        <v>1933.46</v>
      </c>
    </row>
    <row r="2045">
      <c r="A2045" s="2">
        <f>IFERROR(__xludf.DUMMYFUNCTION("""COMPUTED_VALUE"""),38763.666666666664)</f>
        <v>38763.66667</v>
      </c>
      <c r="B2045" s="1">
        <f>IFERROR(__xludf.DUMMYFUNCTION("""COMPUTED_VALUE"""),1940.69)</f>
        <v>1940.69</v>
      </c>
    </row>
    <row r="2046">
      <c r="A2046" s="2">
        <f>IFERROR(__xludf.DUMMYFUNCTION("""COMPUTED_VALUE"""),38764.666666666664)</f>
        <v>38764.66667</v>
      </c>
      <c r="B2046" s="1">
        <f>IFERROR(__xludf.DUMMYFUNCTION("""COMPUTED_VALUE"""),1955.06)</f>
        <v>1955.06</v>
      </c>
    </row>
    <row r="2047">
      <c r="A2047" s="2">
        <f>IFERROR(__xludf.DUMMYFUNCTION("""COMPUTED_VALUE"""),38765.666666666664)</f>
        <v>38765.66667</v>
      </c>
      <c r="B2047" s="1">
        <f>IFERROR(__xludf.DUMMYFUNCTION("""COMPUTED_VALUE"""),1951.83)</f>
        <v>1951.83</v>
      </c>
    </row>
    <row r="2048">
      <c r="A2048" s="2">
        <f>IFERROR(__xludf.DUMMYFUNCTION("""COMPUTED_VALUE"""),38769.666666666664)</f>
        <v>38769.66667</v>
      </c>
      <c r="B2048" s="1">
        <f>IFERROR(__xludf.DUMMYFUNCTION("""COMPUTED_VALUE"""),1945.45)</f>
        <v>1945.45</v>
      </c>
    </row>
    <row r="2049">
      <c r="A2049" s="2">
        <f>IFERROR(__xludf.DUMMYFUNCTION("""COMPUTED_VALUE"""),38770.666666666664)</f>
        <v>38770.66667</v>
      </c>
      <c r="B2049" s="1">
        <f>IFERROR(__xludf.DUMMYFUNCTION("""COMPUTED_VALUE"""),1960.26)</f>
        <v>1960.26</v>
      </c>
    </row>
    <row r="2050">
      <c r="A2050" s="2">
        <f>IFERROR(__xludf.DUMMYFUNCTION("""COMPUTED_VALUE"""),38771.666666666664)</f>
        <v>38771.66667</v>
      </c>
      <c r="B2050" s="1">
        <f>IFERROR(__xludf.DUMMYFUNCTION("""COMPUTED_VALUE"""),1953.37)</f>
        <v>1953.37</v>
      </c>
    </row>
    <row r="2051">
      <c r="A2051" s="2">
        <f>IFERROR(__xludf.DUMMYFUNCTION("""COMPUTED_VALUE"""),38772.666666666664)</f>
        <v>38772.66667</v>
      </c>
      <c r="B2051" s="1">
        <f>IFERROR(__xludf.DUMMYFUNCTION("""COMPUTED_VALUE"""),1956.14)</f>
        <v>1956.14</v>
      </c>
    </row>
    <row r="2052">
      <c r="A2052" s="2">
        <f>IFERROR(__xludf.DUMMYFUNCTION("""COMPUTED_VALUE"""),38775.666666666664)</f>
        <v>38775.66667</v>
      </c>
      <c r="B2052" s="1">
        <f>IFERROR(__xludf.DUMMYFUNCTION("""COMPUTED_VALUE"""),1963.58)</f>
        <v>1963.58</v>
      </c>
    </row>
    <row r="2053">
      <c r="A2053" s="2">
        <f>IFERROR(__xludf.DUMMYFUNCTION("""COMPUTED_VALUE"""),38776.666666666664)</f>
        <v>38776.66667</v>
      </c>
      <c r="B2053" s="1">
        <f>IFERROR(__xludf.DUMMYFUNCTION("""COMPUTED_VALUE"""),1943.19)</f>
        <v>1943.19</v>
      </c>
    </row>
    <row r="2054">
      <c r="A2054" s="2">
        <f>IFERROR(__xludf.DUMMYFUNCTION("""COMPUTED_VALUE"""),38777.666666666664)</f>
        <v>38777.66667</v>
      </c>
      <c r="B2054" s="1">
        <f>IFERROR(__xludf.DUMMYFUNCTION("""COMPUTED_VALUE"""),1959.77)</f>
        <v>1959.77</v>
      </c>
    </row>
    <row r="2055">
      <c r="A2055" s="2">
        <f>IFERROR(__xludf.DUMMYFUNCTION("""COMPUTED_VALUE"""),38778.666666666664)</f>
        <v>38778.66667</v>
      </c>
      <c r="B2055" s="1">
        <f>IFERROR(__xludf.DUMMYFUNCTION("""COMPUTED_VALUE"""),1956.6)</f>
        <v>1956.6</v>
      </c>
    </row>
    <row r="2056">
      <c r="A2056" s="2">
        <f>IFERROR(__xludf.DUMMYFUNCTION("""COMPUTED_VALUE"""),38779.666666666664)</f>
        <v>38779.66667</v>
      </c>
      <c r="B2056" s="1">
        <f>IFERROR(__xludf.DUMMYFUNCTION("""COMPUTED_VALUE"""),1953.74)</f>
        <v>1953.74</v>
      </c>
    </row>
    <row r="2057">
      <c r="A2057" s="2">
        <f>IFERROR(__xludf.DUMMYFUNCTION("""COMPUTED_VALUE"""),38782.666666666664)</f>
        <v>38782.66667</v>
      </c>
      <c r="B2057" s="1">
        <f>IFERROR(__xludf.DUMMYFUNCTION("""COMPUTED_VALUE"""),1940.2)</f>
        <v>1940.2</v>
      </c>
    </row>
    <row r="2058">
      <c r="A2058" s="2">
        <f>IFERROR(__xludf.DUMMYFUNCTION("""COMPUTED_VALUE"""),38783.666666666664)</f>
        <v>38783.66667</v>
      </c>
      <c r="B2058" s="1">
        <f>IFERROR(__xludf.DUMMYFUNCTION("""COMPUTED_VALUE"""),1936.68)</f>
        <v>1936.68</v>
      </c>
    </row>
    <row r="2059">
      <c r="A2059" s="2">
        <f>IFERROR(__xludf.DUMMYFUNCTION("""COMPUTED_VALUE"""),38784.666666666664)</f>
        <v>38784.66667</v>
      </c>
      <c r="B2059" s="1">
        <f>IFERROR(__xludf.DUMMYFUNCTION("""COMPUTED_VALUE"""),1941.17)</f>
        <v>1941.17</v>
      </c>
    </row>
    <row r="2060">
      <c r="A2060" s="2">
        <f>IFERROR(__xludf.DUMMYFUNCTION("""COMPUTED_VALUE"""),38785.666666666664)</f>
        <v>38785.66667</v>
      </c>
      <c r="B2060" s="1">
        <f>IFERROR(__xludf.DUMMYFUNCTION("""COMPUTED_VALUE"""),1931.73)</f>
        <v>1931.73</v>
      </c>
    </row>
    <row r="2061">
      <c r="A2061" s="2">
        <f>IFERROR(__xludf.DUMMYFUNCTION("""COMPUTED_VALUE"""),38786.666666666664)</f>
        <v>38786.66667</v>
      </c>
      <c r="B2061" s="1">
        <f>IFERROR(__xludf.DUMMYFUNCTION("""COMPUTED_VALUE"""),1945.93)</f>
        <v>1945.93</v>
      </c>
    </row>
    <row r="2062">
      <c r="A2062" s="2">
        <f>IFERROR(__xludf.DUMMYFUNCTION("""COMPUTED_VALUE"""),38789.666666666664)</f>
        <v>38789.66667</v>
      </c>
      <c r="B2062" s="1">
        <f>IFERROR(__xludf.DUMMYFUNCTION("""COMPUTED_VALUE"""),1950.39)</f>
        <v>1950.39</v>
      </c>
    </row>
    <row r="2063">
      <c r="A2063" s="2">
        <f>IFERROR(__xludf.DUMMYFUNCTION("""COMPUTED_VALUE"""),38790.666666666664)</f>
        <v>38790.66667</v>
      </c>
      <c r="B2063" s="1">
        <f>IFERROR(__xludf.DUMMYFUNCTION("""COMPUTED_VALUE"""),1970.66)</f>
        <v>1970.66</v>
      </c>
    </row>
    <row r="2064">
      <c r="A2064" s="2">
        <f>IFERROR(__xludf.DUMMYFUNCTION("""COMPUTED_VALUE"""),38791.666666666664)</f>
        <v>38791.66667</v>
      </c>
      <c r="B2064" s="1">
        <f>IFERROR(__xludf.DUMMYFUNCTION("""COMPUTED_VALUE"""),1979.21)</f>
        <v>1979.21</v>
      </c>
    </row>
    <row r="2065">
      <c r="A2065" s="2">
        <f>IFERROR(__xludf.DUMMYFUNCTION("""COMPUTED_VALUE"""),38792.666666666664)</f>
        <v>38792.66667</v>
      </c>
      <c r="B2065" s="1">
        <f>IFERROR(__xludf.DUMMYFUNCTION("""COMPUTED_VALUE"""),1982.76)</f>
        <v>1982.76</v>
      </c>
    </row>
    <row r="2066">
      <c r="A2066" s="2">
        <f>IFERROR(__xludf.DUMMYFUNCTION("""COMPUTED_VALUE"""),38793.666666666664)</f>
        <v>38793.66667</v>
      </c>
      <c r="B2066" s="1">
        <f>IFERROR(__xludf.DUMMYFUNCTION("""COMPUTED_VALUE"""),1985.69)</f>
        <v>1985.69</v>
      </c>
    </row>
    <row r="2067">
      <c r="A2067" s="2">
        <f>IFERROR(__xludf.DUMMYFUNCTION("""COMPUTED_VALUE"""),38796.666666666664)</f>
        <v>38796.66667</v>
      </c>
      <c r="B2067" s="1">
        <f>IFERROR(__xludf.DUMMYFUNCTION("""COMPUTED_VALUE"""),1982.4)</f>
        <v>1982.4</v>
      </c>
    </row>
    <row r="2068">
      <c r="A2068" s="2">
        <f>IFERROR(__xludf.DUMMYFUNCTION("""COMPUTED_VALUE"""),38797.666666666664)</f>
        <v>38797.66667</v>
      </c>
      <c r="B2068" s="1">
        <f>IFERROR(__xludf.DUMMYFUNCTION("""COMPUTED_VALUE"""),1970.5)</f>
        <v>1970.5</v>
      </c>
    </row>
    <row r="2069">
      <c r="A2069" s="2">
        <f>IFERROR(__xludf.DUMMYFUNCTION("""COMPUTED_VALUE"""),38798.666666666664)</f>
        <v>38798.66667</v>
      </c>
      <c r="B2069" s="1">
        <f>IFERROR(__xludf.DUMMYFUNCTION("""COMPUTED_VALUE"""),1982.4)</f>
        <v>1982.4</v>
      </c>
    </row>
    <row r="2070">
      <c r="A2070" s="2">
        <f>IFERROR(__xludf.DUMMYFUNCTION("""COMPUTED_VALUE"""),38799.666666666664)</f>
        <v>38799.66667</v>
      </c>
      <c r="B2070" s="1">
        <f>IFERROR(__xludf.DUMMYFUNCTION("""COMPUTED_VALUE"""),1977.29)</f>
        <v>1977.29</v>
      </c>
    </row>
    <row r="2071">
      <c r="A2071" s="2">
        <f>IFERROR(__xludf.DUMMYFUNCTION("""COMPUTED_VALUE"""),38800.666666666664)</f>
        <v>38800.66667</v>
      </c>
      <c r="B2071" s="1">
        <f>IFERROR(__xludf.DUMMYFUNCTION("""COMPUTED_VALUE"""),1979.24)</f>
        <v>1979.24</v>
      </c>
    </row>
    <row r="2072">
      <c r="A2072" s="2">
        <f>IFERROR(__xludf.DUMMYFUNCTION("""COMPUTED_VALUE"""),38803.666666666664)</f>
        <v>38803.66667</v>
      </c>
      <c r="B2072" s="1">
        <f>IFERROR(__xludf.DUMMYFUNCTION("""COMPUTED_VALUE"""),1977.19)</f>
        <v>1977.19</v>
      </c>
    </row>
    <row r="2073">
      <c r="A2073" s="2">
        <f>IFERROR(__xludf.DUMMYFUNCTION("""COMPUTED_VALUE"""),38804.666666666664)</f>
        <v>38804.66667</v>
      </c>
      <c r="B2073" s="1">
        <f>IFERROR(__xludf.DUMMYFUNCTION("""COMPUTED_VALUE"""),1964.47)</f>
        <v>1964.47</v>
      </c>
    </row>
    <row r="2074">
      <c r="A2074" s="2">
        <f>IFERROR(__xludf.DUMMYFUNCTION("""COMPUTED_VALUE"""),38805.666666666664)</f>
        <v>38805.66667</v>
      </c>
      <c r="B2074" s="1">
        <f>IFERROR(__xludf.DUMMYFUNCTION("""COMPUTED_VALUE"""),1979.51)</f>
        <v>1979.51</v>
      </c>
    </row>
    <row r="2075">
      <c r="A2075" s="2">
        <f>IFERROR(__xludf.DUMMYFUNCTION("""COMPUTED_VALUE"""),38806.666666666664)</f>
        <v>38806.66667</v>
      </c>
      <c r="B2075" s="1">
        <f>IFERROR(__xludf.DUMMYFUNCTION("""COMPUTED_VALUE"""),1975.6)</f>
        <v>1975.6</v>
      </c>
    </row>
    <row r="2076">
      <c r="A2076" s="2">
        <f>IFERROR(__xludf.DUMMYFUNCTION("""COMPUTED_VALUE"""),38807.666666666664)</f>
        <v>38807.66667</v>
      </c>
      <c r="B2076" s="1">
        <f>IFERROR(__xludf.DUMMYFUNCTION("""COMPUTED_VALUE"""),1967.38)</f>
        <v>1967.38</v>
      </c>
    </row>
    <row r="2077">
      <c r="A2077" s="2">
        <f>IFERROR(__xludf.DUMMYFUNCTION("""COMPUTED_VALUE"""),38810.666666666664)</f>
        <v>38810.66667</v>
      </c>
      <c r="B2077" s="1">
        <f>IFERROR(__xludf.DUMMYFUNCTION("""COMPUTED_VALUE"""),1971.93)</f>
        <v>1971.93</v>
      </c>
    </row>
    <row r="2078">
      <c r="A2078" s="2">
        <f>IFERROR(__xludf.DUMMYFUNCTION("""COMPUTED_VALUE"""),38811.666666666664)</f>
        <v>38811.66667</v>
      </c>
      <c r="B2078" s="1">
        <f>IFERROR(__xludf.DUMMYFUNCTION("""COMPUTED_VALUE"""),1984.47)</f>
        <v>1984.47</v>
      </c>
    </row>
    <row r="2079">
      <c r="A2079" s="2">
        <f>IFERROR(__xludf.DUMMYFUNCTION("""COMPUTED_VALUE"""),38812.666666666664)</f>
        <v>38812.66667</v>
      </c>
      <c r="B2079" s="1">
        <f>IFERROR(__xludf.DUMMYFUNCTION("""COMPUTED_VALUE"""),1993.21)</f>
        <v>1993.21</v>
      </c>
    </row>
    <row r="2080">
      <c r="A2080" s="2">
        <f>IFERROR(__xludf.DUMMYFUNCTION("""COMPUTED_VALUE"""),38813.666666666664)</f>
        <v>38813.66667</v>
      </c>
      <c r="B2080" s="1">
        <f>IFERROR(__xludf.DUMMYFUNCTION("""COMPUTED_VALUE"""),1989.87)</f>
        <v>1989.87</v>
      </c>
    </row>
    <row r="2081">
      <c r="A2081" s="2">
        <f>IFERROR(__xludf.DUMMYFUNCTION("""COMPUTED_VALUE"""),38814.666666666664)</f>
        <v>38814.66667</v>
      </c>
      <c r="B2081" s="1">
        <f>IFERROR(__xludf.DUMMYFUNCTION("""COMPUTED_VALUE"""),1969.3)</f>
        <v>1969.3</v>
      </c>
    </row>
    <row r="2082">
      <c r="A2082" s="2">
        <f>IFERROR(__xludf.DUMMYFUNCTION("""COMPUTED_VALUE"""),38817.666666666664)</f>
        <v>38817.66667</v>
      </c>
      <c r="B2082" s="1">
        <f>IFERROR(__xludf.DUMMYFUNCTION("""COMPUTED_VALUE"""),1971.03)</f>
        <v>1971.03</v>
      </c>
    </row>
    <row r="2083">
      <c r="A2083" s="2">
        <f>IFERROR(__xludf.DUMMYFUNCTION("""COMPUTED_VALUE"""),38818.666666666664)</f>
        <v>38818.66667</v>
      </c>
      <c r="B2083" s="1">
        <f>IFERROR(__xludf.DUMMYFUNCTION("""COMPUTED_VALUE"""),1956.12)</f>
        <v>1956.12</v>
      </c>
    </row>
    <row r="2084">
      <c r="A2084" s="2">
        <f>IFERROR(__xludf.DUMMYFUNCTION("""COMPUTED_VALUE"""),38819.666666666664)</f>
        <v>38819.66667</v>
      </c>
      <c r="B2084" s="1">
        <f>IFERROR(__xludf.DUMMYFUNCTION("""COMPUTED_VALUE"""),1958.49)</f>
        <v>1958.49</v>
      </c>
    </row>
    <row r="2085">
      <c r="A2085" s="2">
        <f>IFERROR(__xludf.DUMMYFUNCTION("""COMPUTED_VALUE"""),38820.666666666664)</f>
        <v>38820.66667</v>
      </c>
      <c r="B2085" s="1">
        <f>IFERROR(__xludf.DUMMYFUNCTION("""COMPUTED_VALUE"""),1960.01)</f>
        <v>1960.01</v>
      </c>
    </row>
    <row r="2086">
      <c r="A2086" s="2">
        <f>IFERROR(__xludf.DUMMYFUNCTION("""COMPUTED_VALUE"""),38824.666666666664)</f>
        <v>38824.66667</v>
      </c>
      <c r="B2086" s="1">
        <f>IFERROR(__xludf.DUMMYFUNCTION("""COMPUTED_VALUE"""),1954.25)</f>
        <v>1954.25</v>
      </c>
    </row>
    <row r="2087">
      <c r="A2087" s="2">
        <f>IFERROR(__xludf.DUMMYFUNCTION("""COMPUTED_VALUE"""),38825.666666666664)</f>
        <v>38825.66667</v>
      </c>
      <c r="B2087" s="1">
        <f>IFERROR(__xludf.DUMMYFUNCTION("""COMPUTED_VALUE"""),1988.18)</f>
        <v>1988.18</v>
      </c>
    </row>
    <row r="2088">
      <c r="A2088" s="2">
        <f>IFERROR(__xludf.DUMMYFUNCTION("""COMPUTED_VALUE"""),38826.666666666664)</f>
        <v>38826.66667</v>
      </c>
      <c r="B2088" s="1">
        <f>IFERROR(__xludf.DUMMYFUNCTION("""COMPUTED_VALUE"""),1991.84)</f>
        <v>1991.84</v>
      </c>
    </row>
    <row r="2089">
      <c r="A2089" s="2">
        <f>IFERROR(__xludf.DUMMYFUNCTION("""COMPUTED_VALUE"""),38827.666666666664)</f>
        <v>38827.66667</v>
      </c>
      <c r="B2089" s="1">
        <f>IFERROR(__xludf.DUMMYFUNCTION("""COMPUTED_VALUE"""),1994.23)</f>
        <v>1994.23</v>
      </c>
    </row>
    <row r="2090">
      <c r="A2090" s="2">
        <f>IFERROR(__xludf.DUMMYFUNCTION("""COMPUTED_VALUE"""),38828.666666666664)</f>
        <v>38828.66667</v>
      </c>
      <c r="B2090" s="1">
        <f>IFERROR(__xludf.DUMMYFUNCTION("""COMPUTED_VALUE"""),1993.99)</f>
        <v>1993.99</v>
      </c>
    </row>
    <row r="2091">
      <c r="A2091" s="2">
        <f>IFERROR(__xludf.DUMMYFUNCTION("""COMPUTED_VALUE"""),38831.666666666664)</f>
        <v>38831.66667</v>
      </c>
      <c r="B2091" s="1">
        <f>IFERROR(__xludf.DUMMYFUNCTION("""COMPUTED_VALUE"""),1989.2)</f>
        <v>1989.2</v>
      </c>
    </row>
    <row r="2092">
      <c r="A2092" s="2">
        <f>IFERROR(__xludf.DUMMYFUNCTION("""COMPUTED_VALUE"""),38832.666666666664)</f>
        <v>38832.66667</v>
      </c>
      <c r="B2092" s="1">
        <f>IFERROR(__xludf.DUMMYFUNCTION("""COMPUTED_VALUE"""),1979.51)</f>
        <v>1979.51</v>
      </c>
    </row>
    <row r="2093">
      <c r="A2093" s="2">
        <f>IFERROR(__xludf.DUMMYFUNCTION("""COMPUTED_VALUE"""),38833.666666666664)</f>
        <v>38833.66667</v>
      </c>
      <c r="B2093" s="1">
        <f>IFERROR(__xludf.DUMMYFUNCTION("""COMPUTED_VALUE"""),1985.29)</f>
        <v>1985.29</v>
      </c>
    </row>
    <row r="2094">
      <c r="A2094" s="2">
        <f>IFERROR(__xludf.DUMMYFUNCTION("""COMPUTED_VALUE"""),38834.666666666664)</f>
        <v>38834.66667</v>
      </c>
      <c r="B2094" s="1">
        <f>IFERROR(__xludf.DUMMYFUNCTION("""COMPUTED_VALUE"""),1992.39)</f>
        <v>1992.39</v>
      </c>
    </row>
    <row r="2095">
      <c r="A2095" s="2">
        <f>IFERROR(__xludf.DUMMYFUNCTION("""COMPUTED_VALUE"""),38835.666666666664)</f>
        <v>38835.66667</v>
      </c>
      <c r="B2095" s="1">
        <f>IFERROR(__xludf.DUMMYFUNCTION("""COMPUTED_VALUE"""),1993.79)</f>
        <v>1993.79</v>
      </c>
    </row>
    <row r="2096">
      <c r="A2096" s="2">
        <f>IFERROR(__xludf.DUMMYFUNCTION("""COMPUTED_VALUE"""),38838.666666666664)</f>
        <v>38838.66667</v>
      </c>
      <c r="B2096" s="1">
        <f>IFERROR(__xludf.DUMMYFUNCTION("""COMPUTED_VALUE"""),1985.55)</f>
        <v>1985.55</v>
      </c>
    </row>
    <row r="2097">
      <c r="A2097" s="2">
        <f>IFERROR(__xludf.DUMMYFUNCTION("""COMPUTED_VALUE"""),38839.666666666664)</f>
        <v>38839.66667</v>
      </c>
      <c r="B2097" s="1">
        <f>IFERROR(__xludf.DUMMYFUNCTION("""COMPUTED_VALUE"""),1997.75)</f>
        <v>1997.75</v>
      </c>
    </row>
    <row r="2098">
      <c r="A2098" s="2">
        <f>IFERROR(__xludf.DUMMYFUNCTION("""COMPUTED_VALUE"""),38840.666666666664)</f>
        <v>38840.66667</v>
      </c>
      <c r="B2098" s="1">
        <f>IFERROR(__xludf.DUMMYFUNCTION("""COMPUTED_VALUE"""),1989.97)</f>
        <v>1989.97</v>
      </c>
    </row>
    <row r="2099">
      <c r="A2099" s="2">
        <f>IFERROR(__xludf.DUMMYFUNCTION("""COMPUTED_VALUE"""),38841.666666666664)</f>
        <v>38841.66667</v>
      </c>
      <c r="B2099" s="1">
        <f>IFERROR(__xludf.DUMMYFUNCTION("""COMPUTED_VALUE"""),1996.74)</f>
        <v>1996.74</v>
      </c>
    </row>
    <row r="2100">
      <c r="A2100" s="2">
        <f>IFERROR(__xludf.DUMMYFUNCTION("""COMPUTED_VALUE"""),38842.666666666664)</f>
        <v>38842.66667</v>
      </c>
      <c r="B2100" s="1">
        <f>IFERROR(__xludf.DUMMYFUNCTION("""COMPUTED_VALUE"""),2017.34)</f>
        <v>2017.34</v>
      </c>
    </row>
    <row r="2101">
      <c r="A2101" s="2">
        <f>IFERROR(__xludf.DUMMYFUNCTION("""COMPUTED_VALUE"""),38845.666666666664)</f>
        <v>38845.66667</v>
      </c>
      <c r="B2101" s="1">
        <f>IFERROR(__xludf.DUMMYFUNCTION("""COMPUTED_VALUE"""),2015.84)</f>
        <v>2015.84</v>
      </c>
    </row>
    <row r="2102">
      <c r="A2102" s="2">
        <f>IFERROR(__xludf.DUMMYFUNCTION("""COMPUTED_VALUE"""),38846.666666666664)</f>
        <v>38846.66667</v>
      </c>
      <c r="B2102" s="1">
        <f>IFERROR(__xludf.DUMMYFUNCTION("""COMPUTED_VALUE"""),2016.6)</f>
        <v>2016.6</v>
      </c>
    </row>
    <row r="2103">
      <c r="A2103" s="2">
        <f>IFERROR(__xludf.DUMMYFUNCTION("""COMPUTED_VALUE"""),38847.666666666664)</f>
        <v>38847.66667</v>
      </c>
      <c r="B2103" s="1">
        <f>IFERROR(__xludf.DUMMYFUNCTION("""COMPUTED_VALUE"""),2013.99)</f>
        <v>2013.99</v>
      </c>
    </row>
    <row r="2104">
      <c r="A2104" s="2">
        <f>IFERROR(__xludf.DUMMYFUNCTION("""COMPUTED_VALUE"""),38848.666666666664)</f>
        <v>38848.66667</v>
      </c>
      <c r="B2104" s="1">
        <f>IFERROR(__xludf.DUMMYFUNCTION("""COMPUTED_VALUE"""),1988.56)</f>
        <v>1988.56</v>
      </c>
    </row>
    <row r="2105">
      <c r="A2105" s="2">
        <f>IFERROR(__xludf.DUMMYFUNCTION("""COMPUTED_VALUE"""),38849.666666666664)</f>
        <v>38849.66667</v>
      </c>
      <c r="B2105" s="1">
        <f>IFERROR(__xludf.DUMMYFUNCTION("""COMPUTED_VALUE"""),1966.27)</f>
        <v>1966.27</v>
      </c>
    </row>
    <row r="2106">
      <c r="A2106" s="2">
        <f>IFERROR(__xludf.DUMMYFUNCTION("""COMPUTED_VALUE"""),38852.666666666664)</f>
        <v>38852.66667</v>
      </c>
      <c r="B2106" s="1">
        <f>IFERROR(__xludf.DUMMYFUNCTION("""COMPUTED_VALUE"""),1971.45)</f>
        <v>1971.45</v>
      </c>
    </row>
    <row r="2107">
      <c r="A2107" s="2">
        <f>IFERROR(__xludf.DUMMYFUNCTION("""COMPUTED_VALUE"""),38853.666666666664)</f>
        <v>38853.66667</v>
      </c>
      <c r="B2107" s="1">
        <f>IFERROR(__xludf.DUMMYFUNCTION("""COMPUTED_VALUE"""),1967.79)</f>
        <v>1967.79</v>
      </c>
    </row>
    <row r="2108">
      <c r="A2108" s="2">
        <f>IFERROR(__xludf.DUMMYFUNCTION("""COMPUTED_VALUE"""),38854.666666666664)</f>
        <v>38854.66667</v>
      </c>
      <c r="B2108" s="1">
        <f>IFERROR(__xludf.DUMMYFUNCTION("""COMPUTED_VALUE"""),1935.18)</f>
        <v>1935.18</v>
      </c>
    </row>
    <row r="2109">
      <c r="A2109" s="2">
        <f>IFERROR(__xludf.DUMMYFUNCTION("""COMPUTED_VALUE"""),38855.666666666664)</f>
        <v>38855.66667</v>
      </c>
      <c r="B2109" s="1">
        <f>IFERROR(__xludf.DUMMYFUNCTION("""COMPUTED_VALUE"""),1922.32)</f>
        <v>1922.32</v>
      </c>
    </row>
    <row r="2110">
      <c r="A2110" s="2">
        <f>IFERROR(__xludf.DUMMYFUNCTION("""COMPUTED_VALUE"""),38856.666666666664)</f>
        <v>38856.66667</v>
      </c>
      <c r="B2110" s="1">
        <f>IFERROR(__xludf.DUMMYFUNCTION("""COMPUTED_VALUE"""),1930.27)</f>
        <v>1930.27</v>
      </c>
    </row>
    <row r="2111">
      <c r="A2111" s="2">
        <f>IFERROR(__xludf.DUMMYFUNCTION("""COMPUTED_VALUE"""),38859.666666666664)</f>
        <v>38859.66667</v>
      </c>
      <c r="B2111" s="1">
        <f>IFERROR(__xludf.DUMMYFUNCTION("""COMPUTED_VALUE"""),1922.72)</f>
        <v>1922.72</v>
      </c>
    </row>
    <row r="2112">
      <c r="A2112" s="2">
        <f>IFERROR(__xludf.DUMMYFUNCTION("""COMPUTED_VALUE"""),38860.666666666664)</f>
        <v>38860.66667</v>
      </c>
      <c r="B2112" s="1">
        <f>IFERROR(__xludf.DUMMYFUNCTION("""COMPUTED_VALUE"""),1914.38)</f>
        <v>1914.38</v>
      </c>
    </row>
    <row r="2113">
      <c r="A2113" s="2">
        <f>IFERROR(__xludf.DUMMYFUNCTION("""COMPUTED_VALUE"""),38861.666666666664)</f>
        <v>38861.66667</v>
      </c>
      <c r="B2113" s="1">
        <f>IFERROR(__xludf.DUMMYFUNCTION("""COMPUTED_VALUE"""),1917.48)</f>
        <v>1917.48</v>
      </c>
    </row>
    <row r="2114">
      <c r="A2114" s="2">
        <f>IFERROR(__xludf.DUMMYFUNCTION("""COMPUTED_VALUE"""),38862.666666666664)</f>
        <v>38862.66667</v>
      </c>
      <c r="B2114" s="1">
        <f>IFERROR(__xludf.DUMMYFUNCTION("""COMPUTED_VALUE"""),1939.52)</f>
        <v>1939.52</v>
      </c>
    </row>
    <row r="2115">
      <c r="A2115" s="2">
        <f>IFERROR(__xludf.DUMMYFUNCTION("""COMPUTED_VALUE"""),38863.666666666664)</f>
        <v>38863.66667</v>
      </c>
      <c r="B2115" s="1">
        <f>IFERROR(__xludf.DUMMYFUNCTION("""COMPUTED_VALUE"""),1950.87)</f>
        <v>1950.87</v>
      </c>
    </row>
    <row r="2116">
      <c r="A2116" s="2">
        <f>IFERROR(__xludf.DUMMYFUNCTION("""COMPUTED_VALUE"""),38867.666666666664)</f>
        <v>38867.66667</v>
      </c>
      <c r="B2116" s="1">
        <f>IFERROR(__xludf.DUMMYFUNCTION("""COMPUTED_VALUE"""),1920.09)</f>
        <v>1920.09</v>
      </c>
    </row>
    <row r="2117">
      <c r="A2117" s="2">
        <f>IFERROR(__xludf.DUMMYFUNCTION("""COMPUTED_VALUE"""),38868.666666666664)</f>
        <v>38868.66667</v>
      </c>
      <c r="B2117" s="1">
        <f>IFERROR(__xludf.DUMMYFUNCTION("""COMPUTED_VALUE"""),1936.41)</f>
        <v>1936.41</v>
      </c>
    </row>
    <row r="2118">
      <c r="A2118" s="2">
        <f>IFERROR(__xludf.DUMMYFUNCTION("""COMPUTED_VALUE"""),38869.666666666664)</f>
        <v>38869.66667</v>
      </c>
      <c r="B2118" s="1">
        <f>IFERROR(__xludf.DUMMYFUNCTION("""COMPUTED_VALUE"""),1960.28)</f>
        <v>1960.28</v>
      </c>
    </row>
    <row r="2119">
      <c r="A2119" s="2">
        <f>IFERROR(__xludf.DUMMYFUNCTION("""COMPUTED_VALUE"""),38870.666666666664)</f>
        <v>38870.66667</v>
      </c>
      <c r="B2119" s="1">
        <f>IFERROR(__xludf.DUMMYFUNCTION("""COMPUTED_VALUE"""),1964.11)</f>
        <v>1964.11</v>
      </c>
    </row>
    <row r="2120">
      <c r="A2120" s="2">
        <f>IFERROR(__xludf.DUMMYFUNCTION("""COMPUTED_VALUE"""),38873.666666666664)</f>
        <v>38873.66667</v>
      </c>
      <c r="B2120" s="1">
        <f>IFERROR(__xludf.DUMMYFUNCTION("""COMPUTED_VALUE"""),1929.23)</f>
        <v>1929.23</v>
      </c>
    </row>
    <row r="2121">
      <c r="A2121" s="2">
        <f>IFERROR(__xludf.DUMMYFUNCTION("""COMPUTED_VALUE"""),38874.666666666664)</f>
        <v>38874.66667</v>
      </c>
      <c r="B2121" s="1">
        <f>IFERROR(__xludf.DUMMYFUNCTION("""COMPUTED_VALUE"""),1927.13)</f>
        <v>1927.13</v>
      </c>
    </row>
    <row r="2122">
      <c r="A2122" s="2">
        <f>IFERROR(__xludf.DUMMYFUNCTION("""COMPUTED_VALUE"""),38875.666666666664)</f>
        <v>38875.66667</v>
      </c>
      <c r="B2122" s="1">
        <f>IFERROR(__xludf.DUMMYFUNCTION("""COMPUTED_VALUE"""),1915.77)</f>
        <v>1915.77</v>
      </c>
    </row>
    <row r="2123">
      <c r="A2123" s="2">
        <f>IFERROR(__xludf.DUMMYFUNCTION("""COMPUTED_VALUE"""),38876.666666666664)</f>
        <v>38876.66667</v>
      </c>
      <c r="B2123" s="1">
        <f>IFERROR(__xludf.DUMMYFUNCTION("""COMPUTED_VALUE"""),1918.59)</f>
        <v>1918.59</v>
      </c>
    </row>
    <row r="2124">
      <c r="A2124" s="2">
        <f>IFERROR(__xludf.DUMMYFUNCTION("""COMPUTED_VALUE"""),38877.666666666664)</f>
        <v>38877.66667</v>
      </c>
      <c r="B2124" s="1">
        <f>IFERROR(__xludf.DUMMYFUNCTION("""COMPUTED_VALUE"""),1910.01)</f>
        <v>1910.01</v>
      </c>
    </row>
    <row r="2125">
      <c r="A2125" s="2">
        <f>IFERROR(__xludf.DUMMYFUNCTION("""COMPUTED_VALUE"""),38880.666666666664)</f>
        <v>38880.66667</v>
      </c>
      <c r="B2125" s="1">
        <f>IFERROR(__xludf.DUMMYFUNCTION("""COMPUTED_VALUE"""),1885.81)</f>
        <v>1885.81</v>
      </c>
    </row>
    <row r="2126">
      <c r="A2126" s="2">
        <f>IFERROR(__xludf.DUMMYFUNCTION("""COMPUTED_VALUE"""),38881.666666666664)</f>
        <v>38881.66667</v>
      </c>
      <c r="B2126" s="1">
        <f>IFERROR(__xludf.DUMMYFUNCTION("""COMPUTED_VALUE"""),1866.92)</f>
        <v>1866.92</v>
      </c>
    </row>
    <row r="2127">
      <c r="A2127" s="2">
        <f>IFERROR(__xludf.DUMMYFUNCTION("""COMPUTED_VALUE"""),38882.666666666664)</f>
        <v>38882.66667</v>
      </c>
      <c r="B2127" s="1">
        <f>IFERROR(__xludf.DUMMYFUNCTION("""COMPUTED_VALUE"""),1876.67)</f>
        <v>1876.67</v>
      </c>
    </row>
    <row r="2128">
      <c r="A2128" s="2">
        <f>IFERROR(__xludf.DUMMYFUNCTION("""COMPUTED_VALUE"""),38883.666666666664)</f>
        <v>38883.66667</v>
      </c>
      <c r="B2128" s="1">
        <f>IFERROR(__xludf.DUMMYFUNCTION("""COMPUTED_VALUE"""),1916.56)</f>
        <v>1916.56</v>
      </c>
    </row>
    <row r="2129">
      <c r="A2129" s="2">
        <f>IFERROR(__xludf.DUMMYFUNCTION("""COMPUTED_VALUE"""),38884.666666666664)</f>
        <v>38884.66667</v>
      </c>
      <c r="B2129" s="1">
        <f>IFERROR(__xludf.DUMMYFUNCTION("""COMPUTED_VALUE"""),1909.52)</f>
        <v>1909.52</v>
      </c>
    </row>
    <row r="2130">
      <c r="A2130" s="2">
        <f>IFERROR(__xludf.DUMMYFUNCTION("""COMPUTED_VALUE"""),38887.666666666664)</f>
        <v>38887.66667</v>
      </c>
      <c r="B2130" s="1">
        <f>IFERROR(__xludf.DUMMYFUNCTION("""COMPUTED_VALUE"""),1892.12)</f>
        <v>1892.12</v>
      </c>
    </row>
    <row r="2131">
      <c r="A2131" s="2">
        <f>IFERROR(__xludf.DUMMYFUNCTION("""COMPUTED_VALUE"""),38888.666666666664)</f>
        <v>38888.66667</v>
      </c>
      <c r="B2131" s="1">
        <f>IFERROR(__xludf.DUMMYFUNCTION("""COMPUTED_VALUE"""),1892.13)</f>
        <v>1892.13</v>
      </c>
    </row>
    <row r="2132">
      <c r="A2132" s="2">
        <f>IFERROR(__xludf.DUMMYFUNCTION("""COMPUTED_VALUE"""),38889.666666666664)</f>
        <v>38889.66667</v>
      </c>
      <c r="B2132" s="1">
        <f>IFERROR(__xludf.DUMMYFUNCTION("""COMPUTED_VALUE"""),1910.62)</f>
        <v>1910.62</v>
      </c>
    </row>
    <row r="2133">
      <c r="A2133" s="2">
        <f>IFERROR(__xludf.DUMMYFUNCTION("""COMPUTED_VALUE"""),38890.666666666664)</f>
        <v>38890.66667</v>
      </c>
      <c r="B2133" s="1">
        <f>IFERROR(__xludf.DUMMYFUNCTION("""COMPUTED_VALUE"""),1900.98)</f>
        <v>1900.98</v>
      </c>
    </row>
    <row r="2134">
      <c r="A2134" s="2">
        <f>IFERROR(__xludf.DUMMYFUNCTION("""COMPUTED_VALUE"""),38891.666666666664)</f>
        <v>38891.66667</v>
      </c>
      <c r="B2134" s="1">
        <f>IFERROR(__xludf.DUMMYFUNCTION("""COMPUTED_VALUE"""),1899.32)</f>
        <v>1899.32</v>
      </c>
    </row>
    <row r="2135">
      <c r="A2135" s="2">
        <f>IFERROR(__xludf.DUMMYFUNCTION("""COMPUTED_VALUE"""),38894.666666666664)</f>
        <v>38894.66667</v>
      </c>
      <c r="B2135" s="1">
        <f>IFERROR(__xludf.DUMMYFUNCTION("""COMPUTED_VALUE"""),1908.56)</f>
        <v>1908.56</v>
      </c>
    </row>
    <row r="2136">
      <c r="A2136" s="2">
        <f>IFERROR(__xludf.DUMMYFUNCTION("""COMPUTED_VALUE"""),38895.666666666664)</f>
        <v>38895.66667</v>
      </c>
      <c r="B2136" s="1">
        <f>IFERROR(__xludf.DUMMYFUNCTION("""COMPUTED_VALUE"""),1891.24)</f>
        <v>1891.24</v>
      </c>
    </row>
    <row r="2137">
      <c r="A2137" s="2">
        <f>IFERROR(__xludf.DUMMYFUNCTION("""COMPUTED_VALUE"""),38896.666666666664)</f>
        <v>38896.66667</v>
      </c>
      <c r="B2137" s="1">
        <f>IFERROR(__xludf.DUMMYFUNCTION("""COMPUTED_VALUE"""),1901.98)</f>
        <v>1901.98</v>
      </c>
    </row>
    <row r="2138">
      <c r="A2138" s="2">
        <f>IFERROR(__xludf.DUMMYFUNCTION("""COMPUTED_VALUE"""),38897.666666666664)</f>
        <v>38897.66667</v>
      </c>
      <c r="B2138" s="1">
        <f>IFERROR(__xludf.DUMMYFUNCTION("""COMPUTED_VALUE"""),1943.09)</f>
        <v>1943.09</v>
      </c>
    </row>
    <row r="2139">
      <c r="A2139" s="2">
        <f>IFERROR(__xludf.DUMMYFUNCTION("""COMPUTED_VALUE"""),38898.666666666664)</f>
        <v>38898.66667</v>
      </c>
      <c r="B2139" s="1">
        <f>IFERROR(__xludf.DUMMYFUNCTION("""COMPUTED_VALUE"""),1939.03)</f>
        <v>1939.03</v>
      </c>
    </row>
    <row r="2140">
      <c r="A2140" s="2">
        <f>IFERROR(__xludf.DUMMYFUNCTION("""COMPUTED_VALUE"""),38901.666666666664)</f>
        <v>38901.66667</v>
      </c>
      <c r="B2140" s="1">
        <f>IFERROR(__xludf.DUMMYFUNCTION("""COMPUTED_VALUE"""),1954.49)</f>
        <v>1954.49</v>
      </c>
    </row>
    <row r="2141">
      <c r="A2141" s="2">
        <f>IFERROR(__xludf.DUMMYFUNCTION("""COMPUTED_VALUE"""),38903.666666666664)</f>
        <v>38903.66667</v>
      </c>
      <c r="B2141" s="1">
        <f>IFERROR(__xludf.DUMMYFUNCTION("""COMPUTED_VALUE"""),1940.55)</f>
        <v>1940.55</v>
      </c>
    </row>
    <row r="2142">
      <c r="A2142" s="2">
        <f>IFERROR(__xludf.DUMMYFUNCTION("""COMPUTED_VALUE"""),38904.666666666664)</f>
        <v>38904.66667</v>
      </c>
      <c r="B2142" s="1">
        <f>IFERROR(__xludf.DUMMYFUNCTION("""COMPUTED_VALUE"""),1945.9)</f>
        <v>1945.9</v>
      </c>
    </row>
    <row r="2143">
      <c r="A2143" s="2">
        <f>IFERROR(__xludf.DUMMYFUNCTION("""COMPUTED_VALUE"""),38905.666666666664)</f>
        <v>38905.66667</v>
      </c>
      <c r="B2143" s="1">
        <f>IFERROR(__xludf.DUMMYFUNCTION("""COMPUTED_VALUE"""),1932.75)</f>
        <v>1932.75</v>
      </c>
    </row>
    <row r="2144">
      <c r="A2144" s="2">
        <f>IFERROR(__xludf.DUMMYFUNCTION("""COMPUTED_VALUE"""),38908.666666666664)</f>
        <v>38908.66667</v>
      </c>
      <c r="B2144" s="1">
        <f>IFERROR(__xludf.DUMMYFUNCTION("""COMPUTED_VALUE"""),1935.62)</f>
        <v>1935.62</v>
      </c>
    </row>
    <row r="2145">
      <c r="A2145" s="2">
        <f>IFERROR(__xludf.DUMMYFUNCTION("""COMPUTED_VALUE"""),38909.666666666664)</f>
        <v>38909.66667</v>
      </c>
      <c r="B2145" s="1">
        <f>IFERROR(__xludf.DUMMYFUNCTION("""COMPUTED_VALUE"""),1943.66)</f>
        <v>1943.66</v>
      </c>
    </row>
    <row r="2146">
      <c r="A2146" s="2">
        <f>IFERROR(__xludf.DUMMYFUNCTION("""COMPUTED_VALUE"""),38910.666666666664)</f>
        <v>38910.66667</v>
      </c>
      <c r="B2146" s="1">
        <f>IFERROR(__xludf.DUMMYFUNCTION("""COMPUTED_VALUE"""),1922.62)</f>
        <v>1922.62</v>
      </c>
    </row>
    <row r="2147">
      <c r="A2147" s="2">
        <f>IFERROR(__xludf.DUMMYFUNCTION("""COMPUTED_VALUE"""),38911.666666666664)</f>
        <v>38911.66667</v>
      </c>
      <c r="B2147" s="1">
        <f>IFERROR(__xludf.DUMMYFUNCTION("""COMPUTED_VALUE"""),1897.73)</f>
        <v>1897.73</v>
      </c>
    </row>
    <row r="2148">
      <c r="A2148" s="2">
        <f>IFERROR(__xludf.DUMMYFUNCTION("""COMPUTED_VALUE"""),38912.666666666664)</f>
        <v>38912.66667</v>
      </c>
      <c r="B2148" s="1">
        <f>IFERROR(__xludf.DUMMYFUNCTION("""COMPUTED_VALUE"""),1888.43)</f>
        <v>1888.43</v>
      </c>
    </row>
    <row r="2149">
      <c r="A2149" s="2">
        <f>IFERROR(__xludf.DUMMYFUNCTION("""COMPUTED_VALUE"""),38915.666666666664)</f>
        <v>38915.66667</v>
      </c>
      <c r="B2149" s="1">
        <f>IFERROR(__xludf.DUMMYFUNCTION("""COMPUTED_VALUE"""),1885.82)</f>
        <v>1885.82</v>
      </c>
    </row>
    <row r="2150">
      <c r="A2150" s="2">
        <f>IFERROR(__xludf.DUMMYFUNCTION("""COMPUTED_VALUE"""),38916.666666666664)</f>
        <v>38916.66667</v>
      </c>
      <c r="B2150" s="1">
        <f>IFERROR(__xludf.DUMMYFUNCTION("""COMPUTED_VALUE"""),1889.48)</f>
        <v>1889.48</v>
      </c>
    </row>
    <row r="2151">
      <c r="A2151" s="2">
        <f>IFERROR(__xludf.DUMMYFUNCTION("""COMPUTED_VALUE"""),38917.666666666664)</f>
        <v>38917.66667</v>
      </c>
      <c r="B2151" s="1">
        <f>IFERROR(__xludf.DUMMYFUNCTION("""COMPUTED_VALUE"""),1924.74)</f>
        <v>1924.74</v>
      </c>
    </row>
    <row r="2152">
      <c r="A2152" s="2">
        <f>IFERROR(__xludf.DUMMYFUNCTION("""COMPUTED_VALUE"""),38918.666666666664)</f>
        <v>38918.66667</v>
      </c>
      <c r="B2152" s="1">
        <f>IFERROR(__xludf.DUMMYFUNCTION("""COMPUTED_VALUE"""),1908.42)</f>
        <v>1908.42</v>
      </c>
    </row>
    <row r="2153">
      <c r="A2153" s="2">
        <f>IFERROR(__xludf.DUMMYFUNCTION("""COMPUTED_VALUE"""),38919.666666666664)</f>
        <v>38919.66667</v>
      </c>
      <c r="B2153" s="1">
        <f>IFERROR(__xludf.DUMMYFUNCTION("""COMPUTED_VALUE"""),1894.94)</f>
        <v>1894.94</v>
      </c>
    </row>
    <row r="2154">
      <c r="A2154" s="2">
        <f>IFERROR(__xludf.DUMMYFUNCTION("""COMPUTED_VALUE"""),38922.666666666664)</f>
        <v>38922.66667</v>
      </c>
      <c r="B2154" s="1">
        <f>IFERROR(__xludf.DUMMYFUNCTION("""COMPUTED_VALUE"""),1926.5)</f>
        <v>1926.5</v>
      </c>
    </row>
    <row r="2155">
      <c r="A2155" s="2">
        <f>IFERROR(__xludf.DUMMYFUNCTION("""COMPUTED_VALUE"""),38923.666666666664)</f>
        <v>38923.66667</v>
      </c>
      <c r="B2155" s="1">
        <f>IFERROR(__xludf.DUMMYFUNCTION("""COMPUTED_VALUE"""),1938.68)</f>
        <v>1938.68</v>
      </c>
    </row>
    <row r="2156">
      <c r="A2156" s="2">
        <f>IFERROR(__xludf.DUMMYFUNCTION("""COMPUTED_VALUE"""),38924.666666666664)</f>
        <v>38924.66667</v>
      </c>
      <c r="B2156" s="1">
        <f>IFERROR(__xludf.DUMMYFUNCTION("""COMPUTED_VALUE"""),1937.96)</f>
        <v>1937.96</v>
      </c>
    </row>
    <row r="2157">
      <c r="A2157" s="2">
        <f>IFERROR(__xludf.DUMMYFUNCTION("""COMPUTED_VALUE"""),38925.666666666664)</f>
        <v>38925.66667</v>
      </c>
      <c r="B2157" s="1">
        <f>IFERROR(__xludf.DUMMYFUNCTION("""COMPUTED_VALUE"""),1930.32)</f>
        <v>1930.32</v>
      </c>
    </row>
    <row r="2158">
      <c r="A2158" s="2">
        <f>IFERROR(__xludf.DUMMYFUNCTION("""COMPUTED_VALUE"""),38926.666666666664)</f>
        <v>38926.66667</v>
      </c>
      <c r="B2158" s="1">
        <f>IFERROR(__xludf.DUMMYFUNCTION("""COMPUTED_VALUE"""),1953.86)</f>
        <v>1953.86</v>
      </c>
    </row>
    <row r="2159">
      <c r="A2159" s="2">
        <f>IFERROR(__xludf.DUMMYFUNCTION("""COMPUTED_VALUE"""),38929.666666666664)</f>
        <v>38929.66667</v>
      </c>
      <c r="B2159" s="1">
        <f>IFERROR(__xludf.DUMMYFUNCTION("""COMPUTED_VALUE"""),1951.0)</f>
        <v>1951</v>
      </c>
    </row>
    <row r="2160">
      <c r="A2160" s="2">
        <f>IFERROR(__xludf.DUMMYFUNCTION("""COMPUTED_VALUE"""),38930.666666666664)</f>
        <v>38930.66667</v>
      </c>
      <c r="B2160" s="1">
        <f>IFERROR(__xludf.DUMMYFUNCTION("""COMPUTED_VALUE"""),1942.22)</f>
        <v>1942.22</v>
      </c>
    </row>
    <row r="2161">
      <c r="A2161" s="2">
        <f>IFERROR(__xludf.DUMMYFUNCTION("""COMPUTED_VALUE"""),38931.666666666664)</f>
        <v>38931.66667</v>
      </c>
      <c r="B2161" s="1">
        <f>IFERROR(__xludf.DUMMYFUNCTION("""COMPUTED_VALUE"""),1954.18)</f>
        <v>1954.18</v>
      </c>
    </row>
    <row r="2162">
      <c r="A2162" s="2">
        <f>IFERROR(__xludf.DUMMYFUNCTION("""COMPUTED_VALUE"""),38932.666666666664)</f>
        <v>38932.66667</v>
      </c>
      <c r="B2162" s="1">
        <f>IFERROR(__xludf.DUMMYFUNCTION("""COMPUTED_VALUE"""),1957.41)</f>
        <v>1957.41</v>
      </c>
    </row>
    <row r="2163">
      <c r="A2163" s="2">
        <f>IFERROR(__xludf.DUMMYFUNCTION("""COMPUTED_VALUE"""),38933.666666666664)</f>
        <v>38933.66667</v>
      </c>
      <c r="B2163" s="1">
        <f>IFERROR(__xludf.DUMMYFUNCTION("""COMPUTED_VALUE"""),1956.05)</f>
        <v>1956.05</v>
      </c>
    </row>
    <row r="2164">
      <c r="A2164" s="2">
        <f>IFERROR(__xludf.DUMMYFUNCTION("""COMPUTED_VALUE"""),38936.666666666664)</f>
        <v>38936.66667</v>
      </c>
      <c r="B2164" s="1">
        <f>IFERROR(__xludf.DUMMYFUNCTION("""COMPUTED_VALUE"""),1950.63)</f>
        <v>1950.63</v>
      </c>
    </row>
    <row r="2165">
      <c r="A2165" s="2">
        <f>IFERROR(__xludf.DUMMYFUNCTION("""COMPUTED_VALUE"""),38937.666666666664)</f>
        <v>38937.66667</v>
      </c>
      <c r="B2165" s="1">
        <f>IFERROR(__xludf.DUMMYFUNCTION("""COMPUTED_VALUE"""),1944.22)</f>
        <v>1944.22</v>
      </c>
    </row>
    <row r="2166">
      <c r="A2166" s="2">
        <f>IFERROR(__xludf.DUMMYFUNCTION("""COMPUTED_VALUE"""),38938.666666666664)</f>
        <v>38938.66667</v>
      </c>
      <c r="B2166" s="1">
        <f>IFERROR(__xludf.DUMMYFUNCTION("""COMPUTED_VALUE"""),1936.3)</f>
        <v>1936.3</v>
      </c>
    </row>
    <row r="2167">
      <c r="A2167" s="2">
        <f>IFERROR(__xludf.DUMMYFUNCTION("""COMPUTED_VALUE"""),38939.666666666664)</f>
        <v>38939.66667</v>
      </c>
      <c r="B2167" s="1">
        <f>IFERROR(__xludf.DUMMYFUNCTION("""COMPUTED_VALUE"""),1945.61)</f>
        <v>1945.61</v>
      </c>
    </row>
    <row r="2168">
      <c r="A2168" s="2">
        <f>IFERROR(__xludf.DUMMYFUNCTION("""COMPUTED_VALUE"""),38940.666666666664)</f>
        <v>38940.66667</v>
      </c>
      <c r="B2168" s="1">
        <f>IFERROR(__xludf.DUMMYFUNCTION("""COMPUTED_VALUE"""),1938.13)</f>
        <v>1938.13</v>
      </c>
    </row>
    <row r="2169">
      <c r="A2169" s="2">
        <f>IFERROR(__xludf.DUMMYFUNCTION("""COMPUTED_VALUE"""),38943.666666666664)</f>
        <v>38943.66667</v>
      </c>
      <c r="B2169" s="1">
        <f>IFERROR(__xludf.DUMMYFUNCTION("""COMPUTED_VALUE"""),1940.5)</f>
        <v>1940.5</v>
      </c>
    </row>
    <row r="2170">
      <c r="A2170" s="2">
        <f>IFERROR(__xludf.DUMMYFUNCTION("""COMPUTED_VALUE"""),38944.666666666664)</f>
        <v>38944.66667</v>
      </c>
      <c r="B2170" s="1">
        <f>IFERROR(__xludf.DUMMYFUNCTION("""COMPUTED_VALUE"""),1967.26)</f>
        <v>1967.26</v>
      </c>
    </row>
    <row r="2171">
      <c r="A2171" s="2">
        <f>IFERROR(__xludf.DUMMYFUNCTION("""COMPUTED_VALUE"""),38945.666666666664)</f>
        <v>38945.66667</v>
      </c>
      <c r="B2171" s="1">
        <f>IFERROR(__xludf.DUMMYFUNCTION("""COMPUTED_VALUE"""),1982.81)</f>
        <v>1982.81</v>
      </c>
    </row>
    <row r="2172">
      <c r="A2172" s="2">
        <f>IFERROR(__xludf.DUMMYFUNCTION("""COMPUTED_VALUE"""),38946.666666666664)</f>
        <v>38946.66667</v>
      </c>
      <c r="B2172" s="1">
        <f>IFERROR(__xludf.DUMMYFUNCTION("""COMPUTED_VALUE"""),1986.04)</f>
        <v>1986.04</v>
      </c>
    </row>
    <row r="2173">
      <c r="A2173" s="2">
        <f>IFERROR(__xludf.DUMMYFUNCTION("""COMPUTED_VALUE"""),38947.666666666664)</f>
        <v>38947.66667</v>
      </c>
      <c r="B2173" s="1">
        <f>IFERROR(__xludf.DUMMYFUNCTION("""COMPUTED_VALUE"""),1993.43)</f>
        <v>1993.43</v>
      </c>
    </row>
    <row r="2174">
      <c r="A2174" s="2">
        <f>IFERROR(__xludf.DUMMYFUNCTION("""COMPUTED_VALUE"""),38950.666666666664)</f>
        <v>38950.66667</v>
      </c>
      <c r="B2174" s="1">
        <f>IFERROR(__xludf.DUMMYFUNCTION("""COMPUTED_VALUE"""),1986.11)</f>
        <v>1986.11</v>
      </c>
    </row>
    <row r="2175">
      <c r="A2175" s="2">
        <f>IFERROR(__xludf.DUMMYFUNCTION("""COMPUTED_VALUE"""),38951.666666666664)</f>
        <v>38951.66667</v>
      </c>
      <c r="B2175" s="1">
        <f>IFERROR(__xludf.DUMMYFUNCTION("""COMPUTED_VALUE"""),1988.1)</f>
        <v>1988.1</v>
      </c>
    </row>
    <row r="2176">
      <c r="A2176" s="2">
        <f>IFERROR(__xludf.DUMMYFUNCTION("""COMPUTED_VALUE"""),38952.666666666664)</f>
        <v>38952.66667</v>
      </c>
      <c r="B2176" s="1">
        <f>IFERROR(__xludf.DUMMYFUNCTION("""COMPUTED_VALUE"""),1979.35)</f>
        <v>1979.35</v>
      </c>
    </row>
    <row r="2177">
      <c r="A2177" s="2">
        <f>IFERROR(__xludf.DUMMYFUNCTION("""COMPUTED_VALUE"""),38953.666666666664)</f>
        <v>38953.66667</v>
      </c>
      <c r="B2177" s="1">
        <f>IFERROR(__xludf.DUMMYFUNCTION("""COMPUTED_VALUE"""),1984.09)</f>
        <v>1984.09</v>
      </c>
    </row>
    <row r="2178">
      <c r="A2178" s="2">
        <f>IFERROR(__xludf.DUMMYFUNCTION("""COMPUTED_VALUE"""),38954.666666666664)</f>
        <v>38954.66667</v>
      </c>
      <c r="B2178" s="1">
        <f>IFERROR(__xludf.DUMMYFUNCTION("""COMPUTED_VALUE"""),1982.81)</f>
        <v>1982.81</v>
      </c>
    </row>
    <row r="2179">
      <c r="A2179" s="2">
        <f>IFERROR(__xludf.DUMMYFUNCTION("""COMPUTED_VALUE"""),38957.666666666664)</f>
        <v>38957.66667</v>
      </c>
      <c r="B2179" s="1">
        <f>IFERROR(__xludf.DUMMYFUNCTION("""COMPUTED_VALUE"""),1993.06)</f>
        <v>1993.06</v>
      </c>
    </row>
    <row r="2180">
      <c r="A2180" s="2">
        <f>IFERROR(__xludf.DUMMYFUNCTION("""COMPUTED_VALUE"""),38958.666666666664)</f>
        <v>38958.66667</v>
      </c>
      <c r="B2180" s="1">
        <f>IFERROR(__xludf.DUMMYFUNCTION("""COMPUTED_VALUE"""),1997.21)</f>
        <v>1997.21</v>
      </c>
    </row>
    <row r="2181">
      <c r="A2181" s="2">
        <f>IFERROR(__xludf.DUMMYFUNCTION("""COMPUTED_VALUE"""),38959.666666666664)</f>
        <v>38959.66667</v>
      </c>
      <c r="B2181" s="1">
        <f>IFERROR(__xludf.DUMMYFUNCTION("""COMPUTED_VALUE"""),1998.08)</f>
        <v>1998.08</v>
      </c>
    </row>
    <row r="2182">
      <c r="A2182" s="2">
        <f>IFERROR(__xludf.DUMMYFUNCTION("""COMPUTED_VALUE"""),38960.666666666664)</f>
        <v>38960.66667</v>
      </c>
      <c r="B2182" s="1">
        <f>IFERROR(__xludf.DUMMYFUNCTION("""COMPUTED_VALUE"""),1997.42)</f>
        <v>1997.42</v>
      </c>
    </row>
    <row r="2183">
      <c r="A2183" s="2">
        <f>IFERROR(__xludf.DUMMYFUNCTION("""COMPUTED_VALUE"""),38961.666666666664)</f>
        <v>38961.66667</v>
      </c>
      <c r="B2183" s="1">
        <f>IFERROR(__xludf.DUMMYFUNCTION("""COMPUTED_VALUE"""),2008.47)</f>
        <v>2008.47</v>
      </c>
    </row>
    <row r="2184">
      <c r="A2184" s="2">
        <f>IFERROR(__xludf.DUMMYFUNCTION("""COMPUTED_VALUE"""),38965.666666666664)</f>
        <v>38965.66667</v>
      </c>
      <c r="B2184" s="1">
        <f>IFERROR(__xludf.DUMMYFUNCTION("""COMPUTED_VALUE"""),2012.0)</f>
        <v>2012</v>
      </c>
    </row>
    <row r="2185">
      <c r="A2185" s="2">
        <f>IFERROR(__xludf.DUMMYFUNCTION("""COMPUTED_VALUE"""),38966.666666666664)</f>
        <v>38966.66667</v>
      </c>
      <c r="B2185" s="1">
        <f>IFERROR(__xludf.DUMMYFUNCTION("""COMPUTED_VALUE"""),1992.42)</f>
        <v>1992.42</v>
      </c>
    </row>
    <row r="2186">
      <c r="A2186" s="2">
        <f>IFERROR(__xludf.DUMMYFUNCTION("""COMPUTED_VALUE"""),38967.666666666664)</f>
        <v>38967.66667</v>
      </c>
      <c r="B2186" s="1">
        <f>IFERROR(__xludf.DUMMYFUNCTION("""COMPUTED_VALUE"""),1982.93)</f>
        <v>1982.93</v>
      </c>
    </row>
    <row r="2187">
      <c r="A2187" s="2">
        <f>IFERROR(__xludf.DUMMYFUNCTION("""COMPUTED_VALUE"""),38968.666666666664)</f>
        <v>38968.66667</v>
      </c>
      <c r="B2187" s="1">
        <f>IFERROR(__xludf.DUMMYFUNCTION("""COMPUTED_VALUE"""),1990.44)</f>
        <v>1990.44</v>
      </c>
    </row>
    <row r="2188">
      <c r="A2188" s="2">
        <f>IFERROR(__xludf.DUMMYFUNCTION("""COMPUTED_VALUE"""),38971.666666666664)</f>
        <v>38971.66667</v>
      </c>
      <c r="B2188" s="1">
        <f>IFERROR(__xludf.DUMMYFUNCTION("""COMPUTED_VALUE"""),1991.49)</f>
        <v>1991.49</v>
      </c>
    </row>
    <row r="2189">
      <c r="A2189" s="2">
        <f>IFERROR(__xludf.DUMMYFUNCTION("""COMPUTED_VALUE"""),38972.666666666664)</f>
        <v>38972.66667</v>
      </c>
      <c r="B2189" s="1">
        <f>IFERROR(__xludf.DUMMYFUNCTION("""COMPUTED_VALUE"""),2012.32)</f>
        <v>2012.32</v>
      </c>
    </row>
    <row r="2190">
      <c r="A2190" s="2">
        <f>IFERROR(__xludf.DUMMYFUNCTION("""COMPUTED_VALUE"""),38973.666666666664)</f>
        <v>38973.66667</v>
      </c>
      <c r="B2190" s="1">
        <f>IFERROR(__xludf.DUMMYFUNCTION("""COMPUTED_VALUE"""),2020.49)</f>
        <v>2020.49</v>
      </c>
    </row>
    <row r="2191">
      <c r="A2191" s="2">
        <f>IFERROR(__xludf.DUMMYFUNCTION("""COMPUTED_VALUE"""),38974.666666666664)</f>
        <v>38974.66667</v>
      </c>
      <c r="B2191" s="1">
        <f>IFERROR(__xludf.DUMMYFUNCTION("""COMPUTED_VALUE"""),2017.86)</f>
        <v>2017.86</v>
      </c>
    </row>
    <row r="2192">
      <c r="A2192" s="2">
        <f>IFERROR(__xludf.DUMMYFUNCTION("""COMPUTED_VALUE"""),38975.666666666664)</f>
        <v>38975.66667</v>
      </c>
      <c r="B2192" s="1">
        <f>IFERROR(__xludf.DUMMYFUNCTION("""COMPUTED_VALUE"""),2023.35)</f>
        <v>2023.35</v>
      </c>
    </row>
    <row r="2193">
      <c r="A2193" s="2">
        <f>IFERROR(__xludf.DUMMYFUNCTION("""COMPUTED_VALUE"""),38978.666666666664)</f>
        <v>38978.66667</v>
      </c>
      <c r="B2193" s="1">
        <f>IFERROR(__xludf.DUMMYFUNCTION("""COMPUTED_VALUE"""),2025.39)</f>
        <v>2025.39</v>
      </c>
    </row>
    <row r="2194">
      <c r="A2194" s="2">
        <f>IFERROR(__xludf.DUMMYFUNCTION("""COMPUTED_VALUE"""),38979.666666666664)</f>
        <v>38979.66667</v>
      </c>
      <c r="B2194" s="1">
        <f>IFERROR(__xludf.DUMMYFUNCTION("""COMPUTED_VALUE"""),2021.01)</f>
        <v>2021.01</v>
      </c>
    </row>
    <row r="2195">
      <c r="A2195" s="2">
        <f>IFERROR(__xludf.DUMMYFUNCTION("""COMPUTED_VALUE"""),38980.666666666664)</f>
        <v>38980.66667</v>
      </c>
      <c r="B2195" s="1">
        <f>IFERROR(__xludf.DUMMYFUNCTION("""COMPUTED_VALUE"""),2031.59)</f>
        <v>2031.59</v>
      </c>
    </row>
    <row r="2196">
      <c r="A2196" s="2">
        <f>IFERROR(__xludf.DUMMYFUNCTION("""COMPUTED_VALUE"""),38981.666666666664)</f>
        <v>38981.66667</v>
      </c>
      <c r="B2196" s="1">
        <f>IFERROR(__xludf.DUMMYFUNCTION("""COMPUTED_VALUE"""),2021.08)</f>
        <v>2021.08</v>
      </c>
    </row>
    <row r="2197">
      <c r="A2197" s="2">
        <f>IFERROR(__xludf.DUMMYFUNCTION("""COMPUTED_VALUE"""),38982.666666666664)</f>
        <v>38982.66667</v>
      </c>
      <c r="B2197" s="1">
        <f>IFERROR(__xludf.DUMMYFUNCTION("""COMPUTED_VALUE"""),2016.09)</f>
        <v>2016.09</v>
      </c>
    </row>
    <row r="2198">
      <c r="A2198" s="2">
        <f>IFERROR(__xludf.DUMMYFUNCTION("""COMPUTED_VALUE"""),38985.666666666664)</f>
        <v>38985.66667</v>
      </c>
      <c r="B2198" s="1">
        <f>IFERROR(__xludf.DUMMYFUNCTION("""COMPUTED_VALUE"""),2033.87)</f>
        <v>2033.87</v>
      </c>
    </row>
    <row r="2199">
      <c r="A2199" s="2">
        <f>IFERROR(__xludf.DUMMYFUNCTION("""COMPUTED_VALUE"""),38986.666666666664)</f>
        <v>38986.66667</v>
      </c>
      <c r="B2199" s="1">
        <f>IFERROR(__xludf.DUMMYFUNCTION("""COMPUTED_VALUE"""),2049.2)</f>
        <v>2049.2</v>
      </c>
    </row>
    <row r="2200">
      <c r="A2200" s="2">
        <f>IFERROR(__xludf.DUMMYFUNCTION("""COMPUTED_VALUE"""),38987.666666666664)</f>
        <v>38987.66667</v>
      </c>
      <c r="B2200" s="1">
        <f>IFERROR(__xludf.DUMMYFUNCTION("""COMPUTED_VALUE"""),2049.97)</f>
        <v>2049.97</v>
      </c>
    </row>
    <row r="2201">
      <c r="A2201" s="2">
        <f>IFERROR(__xludf.DUMMYFUNCTION("""COMPUTED_VALUE"""),38988.666666666664)</f>
        <v>38988.66667</v>
      </c>
      <c r="B2201" s="1">
        <f>IFERROR(__xludf.DUMMYFUNCTION("""COMPUTED_VALUE"""),2053.93)</f>
        <v>2053.93</v>
      </c>
    </row>
    <row r="2202">
      <c r="A2202" s="2">
        <f>IFERROR(__xludf.DUMMYFUNCTION("""COMPUTED_VALUE"""),38989.666666666664)</f>
        <v>38989.66667</v>
      </c>
      <c r="B2202" s="1">
        <f>IFERROR(__xludf.DUMMYFUNCTION("""COMPUTED_VALUE"""),2048.89)</f>
        <v>2048.89</v>
      </c>
    </row>
    <row r="2203">
      <c r="A2203" s="2">
        <f>IFERROR(__xludf.DUMMYFUNCTION("""COMPUTED_VALUE"""),38992.666666666664)</f>
        <v>38992.66667</v>
      </c>
      <c r="B2203" s="1">
        <f>IFERROR(__xludf.DUMMYFUNCTION("""COMPUTED_VALUE"""),2041.99)</f>
        <v>2041.99</v>
      </c>
    </row>
    <row r="2204">
      <c r="A2204" s="2">
        <f>IFERROR(__xludf.DUMMYFUNCTION("""COMPUTED_VALUE"""),38993.666666666664)</f>
        <v>38993.66667</v>
      </c>
      <c r="B2204" s="1">
        <f>IFERROR(__xludf.DUMMYFUNCTION("""COMPUTED_VALUE"""),2046.28)</f>
        <v>2046.28</v>
      </c>
    </row>
    <row r="2205">
      <c r="A2205" s="2">
        <f>IFERROR(__xludf.DUMMYFUNCTION("""COMPUTED_VALUE"""),38994.666666666664)</f>
        <v>38994.66667</v>
      </c>
      <c r="B2205" s="1">
        <f>IFERROR(__xludf.DUMMYFUNCTION("""COMPUTED_VALUE"""),2071.45)</f>
        <v>2071.45</v>
      </c>
    </row>
    <row r="2206">
      <c r="A2206" s="2">
        <f>IFERROR(__xludf.DUMMYFUNCTION("""COMPUTED_VALUE"""),38995.666666666664)</f>
        <v>38995.66667</v>
      </c>
      <c r="B2206" s="1">
        <f>IFERROR(__xludf.DUMMYFUNCTION("""COMPUTED_VALUE"""),2076.63)</f>
        <v>2076.63</v>
      </c>
    </row>
    <row r="2207">
      <c r="A2207" s="2">
        <f>IFERROR(__xludf.DUMMYFUNCTION("""COMPUTED_VALUE"""),38996.666666666664)</f>
        <v>38996.66667</v>
      </c>
      <c r="B2207" s="1">
        <f>IFERROR(__xludf.DUMMYFUNCTION("""COMPUTED_VALUE"""),2071.05)</f>
        <v>2071.05</v>
      </c>
    </row>
    <row r="2208">
      <c r="A2208" s="2">
        <f>IFERROR(__xludf.DUMMYFUNCTION("""COMPUTED_VALUE"""),38999.666666666664)</f>
        <v>38999.66667</v>
      </c>
      <c r="B2208" s="1">
        <f>IFERROR(__xludf.DUMMYFUNCTION("""COMPUTED_VALUE"""),2072.71)</f>
        <v>2072.71</v>
      </c>
    </row>
    <row r="2209">
      <c r="A2209" s="2">
        <f>IFERROR(__xludf.DUMMYFUNCTION("""COMPUTED_VALUE"""),39000.666666666664)</f>
        <v>39000.66667</v>
      </c>
      <c r="B2209" s="1">
        <f>IFERROR(__xludf.DUMMYFUNCTION("""COMPUTED_VALUE"""),2077.01)</f>
        <v>2077.01</v>
      </c>
    </row>
    <row r="2210">
      <c r="A2210" s="2">
        <f>IFERROR(__xludf.DUMMYFUNCTION("""COMPUTED_VALUE"""),39001.666666666664)</f>
        <v>39001.66667</v>
      </c>
      <c r="B2210" s="1">
        <f>IFERROR(__xludf.DUMMYFUNCTION("""COMPUTED_VALUE"""),2071.9)</f>
        <v>2071.9</v>
      </c>
    </row>
    <row r="2211">
      <c r="A2211" s="2">
        <f>IFERROR(__xludf.DUMMYFUNCTION("""COMPUTED_VALUE"""),39002.666666666664)</f>
        <v>39002.66667</v>
      </c>
      <c r="B2211" s="1">
        <f>IFERROR(__xludf.DUMMYFUNCTION("""COMPUTED_VALUE"""),2091.69)</f>
        <v>2091.69</v>
      </c>
    </row>
    <row r="2212">
      <c r="A2212" s="2">
        <f>IFERROR(__xludf.DUMMYFUNCTION("""COMPUTED_VALUE"""),39003.666666666664)</f>
        <v>39003.66667</v>
      </c>
      <c r="B2212" s="1">
        <f>IFERROR(__xludf.DUMMYFUNCTION("""COMPUTED_VALUE"""),2095.97)</f>
        <v>2095.97</v>
      </c>
    </row>
    <row r="2213">
      <c r="A2213" s="2">
        <f>IFERROR(__xludf.DUMMYFUNCTION("""COMPUTED_VALUE"""),39006.666666666664)</f>
        <v>39006.66667</v>
      </c>
      <c r="B2213" s="1">
        <f>IFERROR(__xludf.DUMMYFUNCTION("""COMPUTED_VALUE"""),2101.27)</f>
        <v>2101.27</v>
      </c>
    </row>
    <row r="2214">
      <c r="A2214" s="2">
        <f>IFERROR(__xludf.DUMMYFUNCTION("""COMPUTED_VALUE"""),39007.666666666664)</f>
        <v>39007.66667</v>
      </c>
      <c r="B2214" s="1">
        <f>IFERROR(__xludf.DUMMYFUNCTION("""COMPUTED_VALUE"""),2093.58)</f>
        <v>2093.58</v>
      </c>
    </row>
    <row r="2215">
      <c r="A2215" s="2">
        <f>IFERROR(__xludf.DUMMYFUNCTION("""COMPUTED_VALUE"""),39008.666666666664)</f>
        <v>39008.66667</v>
      </c>
      <c r="B2215" s="1">
        <f>IFERROR(__xludf.DUMMYFUNCTION("""COMPUTED_VALUE"""),2096.71)</f>
        <v>2096.71</v>
      </c>
    </row>
    <row r="2216">
      <c r="A2216" s="2">
        <f>IFERROR(__xludf.DUMMYFUNCTION("""COMPUTED_VALUE"""),39009.666666666664)</f>
        <v>39009.66667</v>
      </c>
      <c r="B2216" s="1">
        <f>IFERROR(__xludf.DUMMYFUNCTION("""COMPUTED_VALUE"""),2098.32)</f>
        <v>2098.32</v>
      </c>
    </row>
    <row r="2217">
      <c r="A2217" s="2">
        <f>IFERROR(__xludf.DUMMYFUNCTION("""COMPUTED_VALUE"""),39010.666666666664)</f>
        <v>39010.66667</v>
      </c>
      <c r="B2217" s="1">
        <f>IFERROR(__xludf.DUMMYFUNCTION("""COMPUTED_VALUE"""),2100.86)</f>
        <v>2100.86</v>
      </c>
    </row>
    <row r="2218">
      <c r="A2218" s="2">
        <f>IFERROR(__xludf.DUMMYFUNCTION("""COMPUTED_VALUE"""),39013.666666666664)</f>
        <v>39013.66667</v>
      </c>
      <c r="B2218" s="1">
        <f>IFERROR(__xludf.DUMMYFUNCTION("""COMPUTED_VALUE"""),2113.82)</f>
        <v>2113.82</v>
      </c>
    </row>
    <row r="2219">
      <c r="A2219" s="2">
        <f>IFERROR(__xludf.DUMMYFUNCTION("""COMPUTED_VALUE"""),39014.666666666664)</f>
        <v>39014.66667</v>
      </c>
      <c r="B2219" s="1">
        <f>IFERROR(__xludf.DUMMYFUNCTION("""COMPUTED_VALUE"""),2114.36)</f>
        <v>2114.36</v>
      </c>
    </row>
    <row r="2220">
      <c r="A2220" s="2">
        <f>IFERROR(__xludf.DUMMYFUNCTION("""COMPUTED_VALUE"""),39015.666666666664)</f>
        <v>39015.66667</v>
      </c>
      <c r="B2220" s="1">
        <f>IFERROR(__xludf.DUMMYFUNCTION("""COMPUTED_VALUE"""),2121.83)</f>
        <v>2121.83</v>
      </c>
    </row>
    <row r="2221">
      <c r="A2221" s="2">
        <f>IFERROR(__xludf.DUMMYFUNCTION("""COMPUTED_VALUE"""),39016.666666666664)</f>
        <v>39016.66667</v>
      </c>
      <c r="B2221" s="1">
        <f>IFERROR(__xludf.DUMMYFUNCTION("""COMPUTED_VALUE"""),2132.39)</f>
        <v>2132.39</v>
      </c>
    </row>
    <row r="2222">
      <c r="A2222" s="2">
        <f>IFERROR(__xludf.DUMMYFUNCTION("""COMPUTED_VALUE"""),39017.666666666664)</f>
        <v>39017.66667</v>
      </c>
      <c r="B2222" s="1">
        <f>IFERROR(__xludf.DUMMYFUNCTION("""COMPUTED_VALUE"""),2114.65)</f>
        <v>2114.65</v>
      </c>
    </row>
    <row r="2223">
      <c r="A2223" s="2">
        <f>IFERROR(__xludf.DUMMYFUNCTION("""COMPUTED_VALUE"""),39020.666666666664)</f>
        <v>39020.66667</v>
      </c>
      <c r="B2223" s="1">
        <f>IFERROR(__xludf.DUMMYFUNCTION("""COMPUTED_VALUE"""),2115.63)</f>
        <v>2115.63</v>
      </c>
    </row>
    <row r="2224">
      <c r="A2224" s="2">
        <f>IFERROR(__xludf.DUMMYFUNCTION("""COMPUTED_VALUE"""),39021.666666666664)</f>
        <v>39021.66667</v>
      </c>
      <c r="B2224" s="1">
        <f>IFERROR(__xludf.DUMMYFUNCTION("""COMPUTED_VALUE"""),2115.65)</f>
        <v>2115.65</v>
      </c>
    </row>
    <row r="2225">
      <c r="A2225" s="2">
        <f>IFERROR(__xludf.DUMMYFUNCTION("""COMPUTED_VALUE"""),39022.666666666664)</f>
        <v>39022.66667</v>
      </c>
      <c r="B2225" s="1">
        <f>IFERROR(__xludf.DUMMYFUNCTION("""COMPUTED_VALUE"""),2100.36)</f>
        <v>2100.36</v>
      </c>
    </row>
    <row r="2226">
      <c r="A2226" s="2">
        <f>IFERROR(__xludf.DUMMYFUNCTION("""COMPUTED_VALUE"""),39023.666666666664)</f>
        <v>39023.66667</v>
      </c>
      <c r="B2226" s="1">
        <f>IFERROR(__xludf.DUMMYFUNCTION("""COMPUTED_VALUE"""),2100.21)</f>
        <v>2100.21</v>
      </c>
    </row>
    <row r="2227">
      <c r="A2227" s="2">
        <f>IFERROR(__xludf.DUMMYFUNCTION("""COMPUTED_VALUE"""),39024.666666666664)</f>
        <v>39024.66667</v>
      </c>
      <c r="B2227" s="1">
        <f>IFERROR(__xludf.DUMMYFUNCTION("""COMPUTED_VALUE"""),2095.68)</f>
        <v>2095.68</v>
      </c>
    </row>
    <row r="2228">
      <c r="A2228" s="2">
        <f>IFERROR(__xludf.DUMMYFUNCTION("""COMPUTED_VALUE"""),39027.666666666664)</f>
        <v>39027.66667</v>
      </c>
      <c r="B2228" s="1">
        <f>IFERROR(__xludf.DUMMYFUNCTION("""COMPUTED_VALUE"""),2119.53)</f>
        <v>2119.53</v>
      </c>
    </row>
    <row r="2229">
      <c r="A2229" s="2">
        <f>IFERROR(__xludf.DUMMYFUNCTION("""COMPUTED_VALUE"""),39028.666666666664)</f>
        <v>39028.66667</v>
      </c>
      <c r="B2229" s="1">
        <f>IFERROR(__xludf.DUMMYFUNCTION("""COMPUTED_VALUE"""),2124.28)</f>
        <v>2124.28</v>
      </c>
    </row>
    <row r="2230">
      <c r="A2230" s="2">
        <f>IFERROR(__xludf.DUMMYFUNCTION("""COMPUTED_VALUE"""),39029.666666666664)</f>
        <v>39029.66667</v>
      </c>
      <c r="B2230" s="1">
        <f>IFERROR(__xludf.DUMMYFUNCTION("""COMPUTED_VALUE"""),2129.22)</f>
        <v>2129.22</v>
      </c>
    </row>
    <row r="2231">
      <c r="A2231" s="2">
        <f>IFERROR(__xludf.DUMMYFUNCTION("""COMPUTED_VALUE"""),39030.666666666664)</f>
        <v>39030.66667</v>
      </c>
      <c r="B2231" s="1">
        <f>IFERROR(__xludf.DUMMYFUNCTION("""COMPUTED_VALUE"""),2118.32)</f>
        <v>2118.32</v>
      </c>
    </row>
    <row r="2232">
      <c r="A2232" s="2">
        <f>IFERROR(__xludf.DUMMYFUNCTION("""COMPUTED_VALUE"""),39031.666666666664)</f>
        <v>39031.66667</v>
      </c>
      <c r="B2232" s="1">
        <f>IFERROR(__xludf.DUMMYFUNCTION("""COMPUTED_VALUE"""),2122.26)</f>
        <v>2122.26</v>
      </c>
    </row>
    <row r="2233">
      <c r="A2233" s="2">
        <f>IFERROR(__xludf.DUMMYFUNCTION("""COMPUTED_VALUE"""),39034.666666666664)</f>
        <v>39034.66667</v>
      </c>
      <c r="B2233" s="1">
        <f>IFERROR(__xludf.DUMMYFUNCTION("""COMPUTED_VALUE"""),2128.17)</f>
        <v>2128.17</v>
      </c>
    </row>
    <row r="2234">
      <c r="A2234" s="2">
        <f>IFERROR(__xludf.DUMMYFUNCTION("""COMPUTED_VALUE"""),39035.666666666664)</f>
        <v>39035.66667</v>
      </c>
      <c r="B2234" s="1">
        <f>IFERROR(__xludf.DUMMYFUNCTION("""COMPUTED_VALUE"""),2141.95)</f>
        <v>2141.95</v>
      </c>
    </row>
    <row r="2235">
      <c r="A2235" s="2">
        <f>IFERROR(__xludf.DUMMYFUNCTION("""COMPUTED_VALUE"""),39036.666666666664)</f>
        <v>39036.66667</v>
      </c>
      <c r="B2235" s="1">
        <f>IFERROR(__xludf.DUMMYFUNCTION("""COMPUTED_VALUE"""),2147.6)</f>
        <v>2147.6</v>
      </c>
    </row>
    <row r="2236">
      <c r="A2236" s="2">
        <f>IFERROR(__xludf.DUMMYFUNCTION("""COMPUTED_VALUE"""),39037.666666666664)</f>
        <v>39037.66667</v>
      </c>
      <c r="B2236" s="1">
        <f>IFERROR(__xludf.DUMMYFUNCTION("""COMPUTED_VALUE"""),2152.57)</f>
        <v>2152.57</v>
      </c>
    </row>
    <row r="2237">
      <c r="A2237" s="2">
        <f>IFERROR(__xludf.DUMMYFUNCTION("""COMPUTED_VALUE"""),39038.666666666664)</f>
        <v>39038.66667</v>
      </c>
      <c r="B2237" s="1">
        <f>IFERROR(__xludf.DUMMYFUNCTION("""COMPUTED_VALUE"""),2154.8)</f>
        <v>2154.8</v>
      </c>
    </row>
    <row r="2238">
      <c r="A2238" s="2">
        <f>IFERROR(__xludf.DUMMYFUNCTION("""COMPUTED_VALUE"""),39041.666666666664)</f>
        <v>39041.66667</v>
      </c>
      <c r="B2238" s="1">
        <f>IFERROR(__xludf.DUMMYFUNCTION("""COMPUTED_VALUE"""),2153.76)</f>
        <v>2153.76</v>
      </c>
    </row>
    <row r="2239">
      <c r="A2239" s="2">
        <f>IFERROR(__xludf.DUMMYFUNCTION("""COMPUTED_VALUE"""),39042.666666666664)</f>
        <v>39042.66667</v>
      </c>
      <c r="B2239" s="1">
        <f>IFERROR(__xludf.DUMMYFUNCTION("""COMPUTED_VALUE"""),2157.42)</f>
        <v>2157.42</v>
      </c>
    </row>
    <row r="2240">
      <c r="A2240" s="2">
        <f>IFERROR(__xludf.DUMMYFUNCTION("""COMPUTED_VALUE"""),39043.666666666664)</f>
        <v>39043.66667</v>
      </c>
      <c r="B2240" s="1">
        <f>IFERROR(__xludf.DUMMYFUNCTION("""COMPUTED_VALUE"""),2162.65)</f>
        <v>2162.65</v>
      </c>
    </row>
    <row r="2241">
      <c r="A2241" s="2">
        <f>IFERROR(__xludf.DUMMYFUNCTION("""COMPUTED_VALUE"""),39045.666666666664)</f>
        <v>39045.66667</v>
      </c>
      <c r="B2241" s="1">
        <f>IFERROR(__xludf.DUMMYFUNCTION("""COMPUTED_VALUE"""),2154.96)</f>
        <v>2154.96</v>
      </c>
    </row>
    <row r="2242">
      <c r="A2242" s="2">
        <f>IFERROR(__xludf.DUMMYFUNCTION("""COMPUTED_VALUE"""),39048.666666666664)</f>
        <v>39048.66667</v>
      </c>
      <c r="B2242" s="1">
        <f>IFERROR(__xludf.DUMMYFUNCTION("""COMPUTED_VALUE"""),2125.67)</f>
        <v>2125.67</v>
      </c>
    </row>
    <row r="2243">
      <c r="A2243" s="2">
        <f>IFERROR(__xludf.DUMMYFUNCTION("""COMPUTED_VALUE"""),39049.666666666664)</f>
        <v>39049.66667</v>
      </c>
      <c r="B2243" s="1">
        <f>IFERROR(__xludf.DUMMYFUNCTION("""COMPUTED_VALUE"""),2133.52)</f>
        <v>2133.52</v>
      </c>
    </row>
    <row r="2244">
      <c r="A2244" s="2">
        <f>IFERROR(__xludf.DUMMYFUNCTION("""COMPUTED_VALUE"""),39050.666666666664)</f>
        <v>39050.66667</v>
      </c>
      <c r="B2244" s="1">
        <f>IFERROR(__xludf.DUMMYFUNCTION("""COMPUTED_VALUE"""),2154.09)</f>
        <v>2154.09</v>
      </c>
    </row>
    <row r="2245">
      <c r="A2245" s="2">
        <f>IFERROR(__xludf.DUMMYFUNCTION("""COMPUTED_VALUE"""),39051.666666666664)</f>
        <v>39051.66667</v>
      </c>
      <c r="B2245" s="1">
        <f>IFERROR(__xludf.DUMMYFUNCTION("""COMPUTED_VALUE"""),2155.89)</f>
        <v>2155.89</v>
      </c>
    </row>
    <row r="2246">
      <c r="A2246" s="2">
        <f>IFERROR(__xludf.DUMMYFUNCTION("""COMPUTED_VALUE"""),39052.666666666664)</f>
        <v>39052.66667</v>
      </c>
      <c r="B2246" s="1">
        <f>IFERROR(__xludf.DUMMYFUNCTION("""COMPUTED_VALUE"""),2149.85)</f>
        <v>2149.85</v>
      </c>
    </row>
    <row r="2247">
      <c r="A2247" s="2">
        <f>IFERROR(__xludf.DUMMYFUNCTION("""COMPUTED_VALUE"""),39055.666666666664)</f>
        <v>39055.66667</v>
      </c>
      <c r="B2247" s="1">
        <f>IFERROR(__xludf.DUMMYFUNCTION("""COMPUTED_VALUE"""),2169.0)</f>
        <v>2169</v>
      </c>
    </row>
    <row r="2248">
      <c r="A2248" s="2">
        <f>IFERROR(__xludf.DUMMYFUNCTION("""COMPUTED_VALUE"""),39056.666666666664)</f>
        <v>39056.66667</v>
      </c>
      <c r="B2248" s="1">
        <f>IFERROR(__xludf.DUMMYFUNCTION("""COMPUTED_VALUE"""),2177.75)</f>
        <v>2177.75</v>
      </c>
    </row>
    <row r="2249">
      <c r="A2249" s="2">
        <f>IFERROR(__xludf.DUMMYFUNCTION("""COMPUTED_VALUE"""),39057.666666666664)</f>
        <v>39057.66667</v>
      </c>
      <c r="B2249" s="1">
        <f>IFERROR(__xludf.DUMMYFUNCTION("""COMPUTED_VALUE"""),2175.45)</f>
        <v>2175.45</v>
      </c>
    </row>
    <row r="2250">
      <c r="A2250" s="2">
        <f>IFERROR(__xludf.DUMMYFUNCTION("""COMPUTED_VALUE"""),39058.666666666664)</f>
        <v>39058.66667</v>
      </c>
      <c r="B2250" s="1">
        <f>IFERROR(__xludf.DUMMYFUNCTION("""COMPUTED_VALUE"""),2166.87)</f>
        <v>2166.87</v>
      </c>
    </row>
    <row r="2251">
      <c r="A2251" s="2">
        <f>IFERROR(__xludf.DUMMYFUNCTION("""COMPUTED_VALUE"""),39059.666666666664)</f>
        <v>39059.66667</v>
      </c>
      <c r="B2251" s="1">
        <f>IFERROR(__xludf.DUMMYFUNCTION("""COMPUTED_VALUE"""),2170.84)</f>
        <v>2170.84</v>
      </c>
    </row>
    <row r="2252">
      <c r="A2252" s="2">
        <f>IFERROR(__xludf.DUMMYFUNCTION("""COMPUTED_VALUE"""),39062.666666666664)</f>
        <v>39062.66667</v>
      </c>
      <c r="B2252" s="1">
        <f>IFERROR(__xludf.DUMMYFUNCTION("""COMPUTED_VALUE"""),2175.8)</f>
        <v>2175.8</v>
      </c>
    </row>
    <row r="2253">
      <c r="A2253" s="2">
        <f>IFERROR(__xludf.DUMMYFUNCTION("""COMPUTED_VALUE"""),39063.666666666664)</f>
        <v>39063.66667</v>
      </c>
      <c r="B2253" s="1">
        <f>IFERROR(__xludf.DUMMYFUNCTION("""COMPUTED_VALUE"""),2173.58)</f>
        <v>2173.58</v>
      </c>
    </row>
    <row r="2254">
      <c r="A2254" s="2">
        <f>IFERROR(__xludf.DUMMYFUNCTION("""COMPUTED_VALUE"""),39064.666666666664)</f>
        <v>39064.66667</v>
      </c>
      <c r="B2254" s="1">
        <f>IFERROR(__xludf.DUMMYFUNCTION("""COMPUTED_VALUE"""),2176.52)</f>
        <v>2176.52</v>
      </c>
    </row>
    <row r="2255">
      <c r="A2255" s="2">
        <f>IFERROR(__xludf.DUMMYFUNCTION("""COMPUTED_VALUE"""),39065.666666666664)</f>
        <v>39065.66667</v>
      </c>
      <c r="B2255" s="1">
        <f>IFERROR(__xludf.DUMMYFUNCTION("""COMPUTED_VALUE"""),2195.59)</f>
        <v>2195.59</v>
      </c>
    </row>
    <row r="2256">
      <c r="A2256" s="2">
        <f>IFERROR(__xludf.DUMMYFUNCTION("""COMPUTED_VALUE"""),39066.666666666664)</f>
        <v>39066.66667</v>
      </c>
      <c r="B2256" s="1">
        <f>IFERROR(__xludf.DUMMYFUNCTION("""COMPUTED_VALUE"""),2198.07)</f>
        <v>2198.07</v>
      </c>
    </row>
    <row r="2257">
      <c r="A2257" s="2">
        <f>IFERROR(__xludf.DUMMYFUNCTION("""COMPUTED_VALUE"""),39069.666666666664)</f>
        <v>39069.66667</v>
      </c>
      <c r="B2257" s="1">
        <f>IFERROR(__xludf.DUMMYFUNCTION("""COMPUTED_VALUE"""),2190.97)</f>
        <v>2190.97</v>
      </c>
    </row>
    <row r="2258">
      <c r="A2258" s="2">
        <f>IFERROR(__xludf.DUMMYFUNCTION("""COMPUTED_VALUE"""),39070.666666666664)</f>
        <v>39070.66667</v>
      </c>
      <c r="B2258" s="1">
        <f>IFERROR(__xludf.DUMMYFUNCTION("""COMPUTED_VALUE"""),2195.8)</f>
        <v>2195.8</v>
      </c>
    </row>
    <row r="2259">
      <c r="A2259" s="2">
        <f>IFERROR(__xludf.DUMMYFUNCTION("""COMPUTED_VALUE"""),39071.666666666664)</f>
        <v>39071.66667</v>
      </c>
      <c r="B2259" s="1">
        <f>IFERROR(__xludf.DUMMYFUNCTION("""COMPUTED_VALUE"""),2192.76)</f>
        <v>2192.76</v>
      </c>
    </row>
    <row r="2260">
      <c r="A2260" s="2">
        <f>IFERROR(__xludf.DUMMYFUNCTION("""COMPUTED_VALUE"""),39072.666666666664)</f>
        <v>39072.66667</v>
      </c>
      <c r="B2260" s="1">
        <f>IFERROR(__xludf.DUMMYFUNCTION("""COMPUTED_VALUE"""),2185.21)</f>
        <v>2185.21</v>
      </c>
    </row>
    <row r="2261">
      <c r="A2261" s="2">
        <f>IFERROR(__xludf.DUMMYFUNCTION("""COMPUTED_VALUE"""),39073.666666666664)</f>
        <v>39073.66667</v>
      </c>
      <c r="B2261" s="1">
        <f>IFERROR(__xludf.DUMMYFUNCTION("""COMPUTED_VALUE"""),2173.9)</f>
        <v>2173.9</v>
      </c>
    </row>
    <row r="2262">
      <c r="A2262" s="2">
        <f>IFERROR(__xludf.DUMMYFUNCTION("""COMPUTED_VALUE"""),39077.666666666664)</f>
        <v>39077.66667</v>
      </c>
      <c r="B2262" s="1">
        <f>IFERROR(__xludf.DUMMYFUNCTION("""COMPUTED_VALUE"""),2183.38)</f>
        <v>2183.38</v>
      </c>
    </row>
    <row r="2263">
      <c r="A2263" s="2">
        <f>IFERROR(__xludf.DUMMYFUNCTION("""COMPUTED_VALUE"""),39078.666666666664)</f>
        <v>39078.66667</v>
      </c>
      <c r="B2263" s="1">
        <f>IFERROR(__xludf.DUMMYFUNCTION("""COMPUTED_VALUE"""),2199.15)</f>
        <v>2199.15</v>
      </c>
    </row>
    <row r="2264">
      <c r="A2264" s="2">
        <f>IFERROR(__xludf.DUMMYFUNCTION("""COMPUTED_VALUE"""),39079.666666666664)</f>
        <v>39079.66667</v>
      </c>
      <c r="B2264" s="1">
        <f>IFERROR(__xludf.DUMMYFUNCTION("""COMPUTED_VALUE"""),2196.0)</f>
        <v>2196</v>
      </c>
    </row>
    <row r="2265">
      <c r="A2265" s="2">
        <f>IFERROR(__xludf.DUMMYFUNCTION("""COMPUTED_VALUE"""),39080.666666666664)</f>
        <v>39080.66667</v>
      </c>
      <c r="B2265" s="1">
        <f>IFERROR(__xludf.DUMMYFUNCTION("""COMPUTED_VALUE"""),2186.13)</f>
        <v>2186.13</v>
      </c>
    </row>
    <row r="2266">
      <c r="A2266" s="2">
        <f>IFERROR(__xludf.DUMMYFUNCTION("""COMPUTED_VALUE"""),39085.666666666664)</f>
        <v>39085.66667</v>
      </c>
      <c r="B2266" s="1">
        <f>IFERROR(__xludf.DUMMYFUNCTION("""COMPUTED_VALUE"""),2183.92)</f>
        <v>2183.92</v>
      </c>
    </row>
    <row r="2267">
      <c r="A2267" s="2">
        <f>IFERROR(__xludf.DUMMYFUNCTION("""COMPUTED_VALUE"""),39086.666666666664)</f>
        <v>39086.66667</v>
      </c>
      <c r="B2267" s="1">
        <f>IFERROR(__xludf.DUMMYFUNCTION("""COMPUTED_VALUE"""),2186.6)</f>
        <v>2186.6</v>
      </c>
    </row>
    <row r="2268">
      <c r="A2268" s="2">
        <f>IFERROR(__xludf.DUMMYFUNCTION("""COMPUTED_VALUE"""),39087.666666666664)</f>
        <v>39087.66667</v>
      </c>
      <c r="B2268" s="1">
        <f>IFERROR(__xludf.DUMMYFUNCTION("""COMPUTED_VALUE"""),2173.29)</f>
        <v>2173.29</v>
      </c>
    </row>
    <row r="2269">
      <c r="A2269" s="2">
        <f>IFERROR(__xludf.DUMMYFUNCTION("""COMPUTED_VALUE"""),39090.666666666664)</f>
        <v>39090.66667</v>
      </c>
      <c r="B2269" s="1">
        <f>IFERROR(__xludf.DUMMYFUNCTION("""COMPUTED_VALUE"""),2178.8)</f>
        <v>2178.8</v>
      </c>
    </row>
    <row r="2270">
      <c r="A2270" s="2">
        <f>IFERROR(__xludf.DUMMYFUNCTION("""COMPUTED_VALUE"""),39091.666666666664)</f>
        <v>39091.66667</v>
      </c>
      <c r="B2270" s="1">
        <f>IFERROR(__xludf.DUMMYFUNCTION("""COMPUTED_VALUE"""),2177.68)</f>
        <v>2177.68</v>
      </c>
    </row>
    <row r="2271">
      <c r="A2271" s="2">
        <f>IFERROR(__xludf.DUMMYFUNCTION("""COMPUTED_VALUE"""),39092.666666666664)</f>
        <v>39092.66667</v>
      </c>
      <c r="B2271" s="1">
        <f>IFERROR(__xludf.DUMMYFUNCTION("""COMPUTED_VALUE"""),2182.16)</f>
        <v>2182.16</v>
      </c>
    </row>
    <row r="2272">
      <c r="A2272" s="2">
        <f>IFERROR(__xludf.DUMMYFUNCTION("""COMPUTED_VALUE"""),39093.666666666664)</f>
        <v>39093.66667</v>
      </c>
      <c r="B2272" s="1">
        <f>IFERROR(__xludf.DUMMYFUNCTION("""COMPUTED_VALUE"""),2196.02)</f>
        <v>2196.02</v>
      </c>
    </row>
    <row r="2273">
      <c r="A2273" s="2">
        <f>IFERROR(__xludf.DUMMYFUNCTION("""COMPUTED_VALUE"""),39094.666666666664)</f>
        <v>39094.66667</v>
      </c>
      <c r="B2273" s="1">
        <f>IFERROR(__xludf.DUMMYFUNCTION("""COMPUTED_VALUE"""),2206.68)</f>
        <v>2206.68</v>
      </c>
    </row>
    <row r="2274">
      <c r="A2274" s="2">
        <f>IFERROR(__xludf.DUMMYFUNCTION("""COMPUTED_VALUE"""),39098.666666666664)</f>
        <v>39098.66667</v>
      </c>
      <c r="B2274" s="1">
        <f>IFERROR(__xludf.DUMMYFUNCTION("""COMPUTED_VALUE"""),2208.48)</f>
        <v>2208.48</v>
      </c>
    </row>
    <row r="2275">
      <c r="A2275" s="2">
        <f>IFERROR(__xludf.DUMMYFUNCTION("""COMPUTED_VALUE"""),39099.666666666664)</f>
        <v>39099.66667</v>
      </c>
      <c r="B2275" s="1">
        <f>IFERROR(__xludf.DUMMYFUNCTION("""COMPUTED_VALUE"""),2206.7)</f>
        <v>2206.7</v>
      </c>
    </row>
    <row r="2276">
      <c r="A2276" s="2">
        <f>IFERROR(__xludf.DUMMYFUNCTION("""COMPUTED_VALUE"""),39100.666666666664)</f>
        <v>39100.66667</v>
      </c>
      <c r="B2276" s="1">
        <f>IFERROR(__xludf.DUMMYFUNCTION("""COMPUTED_VALUE"""),2200.2)</f>
        <v>2200.2</v>
      </c>
    </row>
    <row r="2277">
      <c r="A2277" s="2">
        <f>IFERROR(__xludf.DUMMYFUNCTION("""COMPUTED_VALUE"""),39101.666666666664)</f>
        <v>39101.66667</v>
      </c>
      <c r="B2277" s="1">
        <f>IFERROR(__xludf.DUMMYFUNCTION("""COMPUTED_VALUE"""),2206.6)</f>
        <v>2206.6</v>
      </c>
    </row>
    <row r="2278">
      <c r="A2278" s="2">
        <f>IFERROR(__xludf.DUMMYFUNCTION("""COMPUTED_VALUE"""),39104.666666666664)</f>
        <v>39104.66667</v>
      </c>
      <c r="B2278" s="1">
        <f>IFERROR(__xludf.DUMMYFUNCTION("""COMPUTED_VALUE"""),2195.0)</f>
        <v>2195</v>
      </c>
    </row>
    <row r="2279">
      <c r="A2279" s="2">
        <f>IFERROR(__xludf.DUMMYFUNCTION("""COMPUTED_VALUE"""),39105.666666666664)</f>
        <v>39105.66667</v>
      </c>
      <c r="B2279" s="1">
        <f>IFERROR(__xludf.DUMMYFUNCTION("""COMPUTED_VALUE"""),2202.77)</f>
        <v>2202.77</v>
      </c>
    </row>
    <row r="2280">
      <c r="A2280" s="2">
        <f>IFERROR(__xludf.DUMMYFUNCTION("""COMPUTED_VALUE"""),39106.666666666664)</f>
        <v>39106.66667</v>
      </c>
      <c r="B2280" s="1">
        <f>IFERROR(__xludf.DUMMYFUNCTION("""COMPUTED_VALUE"""),2221.56)</f>
        <v>2221.56</v>
      </c>
    </row>
    <row r="2281">
      <c r="A2281" s="2">
        <f>IFERROR(__xludf.DUMMYFUNCTION("""COMPUTED_VALUE"""),39107.666666666664)</f>
        <v>39107.66667</v>
      </c>
      <c r="B2281" s="1">
        <f>IFERROR(__xludf.DUMMYFUNCTION("""COMPUTED_VALUE"""),2196.54)</f>
        <v>2196.54</v>
      </c>
    </row>
    <row r="2282">
      <c r="A2282" s="2">
        <f>IFERROR(__xludf.DUMMYFUNCTION("""COMPUTED_VALUE"""),39108.666666666664)</f>
        <v>39108.66667</v>
      </c>
      <c r="B2282" s="1">
        <f>IFERROR(__xludf.DUMMYFUNCTION("""COMPUTED_VALUE"""),2193.89)</f>
        <v>2193.89</v>
      </c>
    </row>
    <row r="2283">
      <c r="A2283" s="2">
        <f>IFERROR(__xludf.DUMMYFUNCTION("""COMPUTED_VALUE"""),39111.666666666664)</f>
        <v>39111.66667</v>
      </c>
      <c r="B2283" s="1">
        <f>IFERROR(__xludf.DUMMYFUNCTION("""COMPUTED_VALUE"""),2191.71)</f>
        <v>2191.71</v>
      </c>
    </row>
    <row r="2284">
      <c r="A2284" s="2">
        <f>IFERROR(__xludf.DUMMYFUNCTION("""COMPUTED_VALUE"""),39112.666666666664)</f>
        <v>39112.66667</v>
      </c>
      <c r="B2284" s="1">
        <f>IFERROR(__xludf.DUMMYFUNCTION("""COMPUTED_VALUE"""),2204.4)</f>
        <v>2204.4</v>
      </c>
    </row>
    <row r="2285">
      <c r="A2285" s="2">
        <f>IFERROR(__xludf.DUMMYFUNCTION("""COMPUTED_VALUE"""),39113.666666666664)</f>
        <v>39113.66667</v>
      </c>
      <c r="B2285" s="1">
        <f>IFERROR(__xludf.DUMMYFUNCTION("""COMPUTED_VALUE"""),2219.19)</f>
        <v>2219.19</v>
      </c>
    </row>
    <row r="2286">
      <c r="A2286" s="2">
        <f>IFERROR(__xludf.DUMMYFUNCTION("""COMPUTED_VALUE"""),39114.666666666664)</f>
        <v>39114.66667</v>
      </c>
      <c r="B2286" s="1">
        <f>IFERROR(__xludf.DUMMYFUNCTION("""COMPUTED_VALUE"""),2231.61)</f>
        <v>2231.61</v>
      </c>
    </row>
    <row r="2287">
      <c r="A2287" s="2">
        <f>IFERROR(__xludf.DUMMYFUNCTION("""COMPUTED_VALUE"""),39115.666666666664)</f>
        <v>39115.66667</v>
      </c>
      <c r="B2287" s="1">
        <f>IFERROR(__xludf.DUMMYFUNCTION("""COMPUTED_VALUE"""),2235.39)</f>
        <v>2235.39</v>
      </c>
    </row>
    <row r="2288">
      <c r="A2288" s="2">
        <f>IFERROR(__xludf.DUMMYFUNCTION("""COMPUTED_VALUE"""),39118.666666666664)</f>
        <v>39118.66667</v>
      </c>
      <c r="B2288" s="1">
        <f>IFERROR(__xludf.DUMMYFUNCTION("""COMPUTED_VALUE"""),2233.44)</f>
        <v>2233.44</v>
      </c>
    </row>
    <row r="2289">
      <c r="A2289" s="2">
        <f>IFERROR(__xludf.DUMMYFUNCTION("""COMPUTED_VALUE"""),39119.666666666664)</f>
        <v>39119.66667</v>
      </c>
      <c r="B2289" s="1">
        <f>IFERROR(__xludf.DUMMYFUNCTION("""COMPUTED_VALUE"""),2235.02)</f>
        <v>2235.02</v>
      </c>
    </row>
    <row r="2290">
      <c r="A2290" s="2">
        <f>IFERROR(__xludf.DUMMYFUNCTION("""COMPUTED_VALUE"""),39120.666666666664)</f>
        <v>39120.66667</v>
      </c>
      <c r="B2290" s="1">
        <f>IFERROR(__xludf.DUMMYFUNCTION("""COMPUTED_VALUE"""),2239.05)</f>
        <v>2239.05</v>
      </c>
    </row>
    <row r="2291">
      <c r="A2291" s="2">
        <f>IFERROR(__xludf.DUMMYFUNCTION("""COMPUTED_VALUE"""),39121.666666666664)</f>
        <v>39121.66667</v>
      </c>
      <c r="B2291" s="1">
        <f>IFERROR(__xludf.DUMMYFUNCTION("""COMPUTED_VALUE"""),2236.46)</f>
        <v>2236.46</v>
      </c>
    </row>
    <row r="2292">
      <c r="A2292" s="2">
        <f>IFERROR(__xludf.DUMMYFUNCTION("""COMPUTED_VALUE"""),39122.666666666664)</f>
        <v>39122.66667</v>
      </c>
      <c r="B2292" s="1">
        <f>IFERROR(__xludf.DUMMYFUNCTION("""COMPUTED_VALUE"""),2220.72)</f>
        <v>2220.72</v>
      </c>
    </row>
    <row r="2293">
      <c r="A2293" s="2">
        <f>IFERROR(__xludf.DUMMYFUNCTION("""COMPUTED_VALUE"""),39125.666666666664)</f>
        <v>39125.66667</v>
      </c>
      <c r="B2293" s="1">
        <f>IFERROR(__xludf.DUMMYFUNCTION("""COMPUTED_VALUE"""),2213.58)</f>
        <v>2213.58</v>
      </c>
    </row>
    <row r="2294">
      <c r="A2294" s="2">
        <f>IFERROR(__xludf.DUMMYFUNCTION("""COMPUTED_VALUE"""),39126.666666666664)</f>
        <v>39126.66667</v>
      </c>
      <c r="B2294" s="1">
        <f>IFERROR(__xludf.DUMMYFUNCTION("""COMPUTED_VALUE"""),2230.8)</f>
        <v>2230.8</v>
      </c>
    </row>
    <row r="2295">
      <c r="A2295" s="2">
        <f>IFERROR(__xludf.DUMMYFUNCTION("""COMPUTED_VALUE"""),39127.666666666664)</f>
        <v>39127.66667</v>
      </c>
      <c r="B2295" s="1">
        <f>IFERROR(__xludf.DUMMYFUNCTION("""COMPUTED_VALUE"""),2248.4)</f>
        <v>2248.4</v>
      </c>
    </row>
    <row r="2296">
      <c r="A2296" s="2">
        <f>IFERROR(__xludf.DUMMYFUNCTION("""COMPUTED_VALUE"""),39128.666666666664)</f>
        <v>39128.66667</v>
      </c>
      <c r="B2296" s="1">
        <f>IFERROR(__xludf.DUMMYFUNCTION("""COMPUTED_VALUE"""),2250.97)</f>
        <v>2250.97</v>
      </c>
    </row>
    <row r="2297">
      <c r="A2297" s="2">
        <f>IFERROR(__xludf.DUMMYFUNCTION("""COMPUTED_VALUE"""),39129.666666666664)</f>
        <v>39129.66667</v>
      </c>
      <c r="B2297" s="1">
        <f>IFERROR(__xludf.DUMMYFUNCTION("""COMPUTED_VALUE"""),2249.06)</f>
        <v>2249.06</v>
      </c>
    </row>
    <row r="2298">
      <c r="A2298" s="2">
        <f>IFERROR(__xludf.DUMMYFUNCTION("""COMPUTED_VALUE"""),39133.666666666664)</f>
        <v>39133.66667</v>
      </c>
      <c r="B2298" s="1">
        <f>IFERROR(__xludf.DUMMYFUNCTION("""COMPUTED_VALUE"""),2255.48)</f>
        <v>2255.48</v>
      </c>
    </row>
    <row r="2299">
      <c r="A2299" s="2">
        <f>IFERROR(__xludf.DUMMYFUNCTION("""COMPUTED_VALUE"""),39134.666666666664)</f>
        <v>39134.66667</v>
      </c>
      <c r="B2299" s="1">
        <f>IFERROR(__xludf.DUMMYFUNCTION("""COMPUTED_VALUE"""),2252.43)</f>
        <v>2252.43</v>
      </c>
    </row>
    <row r="2300">
      <c r="A2300" s="2">
        <f>IFERROR(__xludf.DUMMYFUNCTION("""COMPUTED_VALUE"""),39135.666666666664)</f>
        <v>39135.66667</v>
      </c>
      <c r="B2300" s="1">
        <f>IFERROR(__xludf.DUMMYFUNCTION("""COMPUTED_VALUE"""),2251.03)</f>
        <v>2251.03</v>
      </c>
    </row>
    <row r="2301">
      <c r="A2301" s="2">
        <f>IFERROR(__xludf.DUMMYFUNCTION("""COMPUTED_VALUE"""),39136.666666666664)</f>
        <v>39136.66667</v>
      </c>
      <c r="B2301" s="1">
        <f>IFERROR(__xludf.DUMMYFUNCTION("""COMPUTED_VALUE"""),2243.26)</f>
        <v>2243.26</v>
      </c>
    </row>
    <row r="2302">
      <c r="A2302" s="2">
        <f>IFERROR(__xludf.DUMMYFUNCTION("""COMPUTED_VALUE"""),39139.666666666664)</f>
        <v>39139.66667</v>
      </c>
      <c r="B2302" s="1">
        <f>IFERROR(__xludf.DUMMYFUNCTION("""COMPUTED_VALUE"""),2240.73)</f>
        <v>2240.73</v>
      </c>
    </row>
    <row r="2303">
      <c r="A2303" s="2">
        <f>IFERROR(__xludf.DUMMYFUNCTION("""COMPUTED_VALUE"""),39140.666666666664)</f>
        <v>39140.66667</v>
      </c>
      <c r="B2303" s="1">
        <f>IFERROR(__xludf.DUMMYFUNCTION("""COMPUTED_VALUE"""),2163.11)</f>
        <v>2163.11</v>
      </c>
    </row>
    <row r="2304">
      <c r="A2304" s="2">
        <f>IFERROR(__xludf.DUMMYFUNCTION("""COMPUTED_VALUE"""),39141.666666666664)</f>
        <v>39141.66667</v>
      </c>
      <c r="B2304" s="1">
        <f>IFERROR(__xludf.DUMMYFUNCTION("""COMPUTED_VALUE"""),2175.78)</f>
        <v>2175.78</v>
      </c>
    </row>
    <row r="2305">
      <c r="A2305" s="2">
        <f>IFERROR(__xludf.DUMMYFUNCTION("""COMPUTED_VALUE"""),39142.666666666664)</f>
        <v>39142.66667</v>
      </c>
      <c r="B2305" s="1">
        <f>IFERROR(__xludf.DUMMYFUNCTION("""COMPUTED_VALUE"""),2170.17)</f>
        <v>2170.17</v>
      </c>
    </row>
    <row r="2306">
      <c r="A2306" s="2">
        <f>IFERROR(__xludf.DUMMYFUNCTION("""COMPUTED_VALUE"""),39143.666666666664)</f>
        <v>39143.66667</v>
      </c>
      <c r="B2306" s="1">
        <f>IFERROR(__xludf.DUMMYFUNCTION("""COMPUTED_VALUE"""),2145.43)</f>
        <v>2145.43</v>
      </c>
    </row>
    <row r="2307">
      <c r="A2307" s="2">
        <f>IFERROR(__xludf.DUMMYFUNCTION("""COMPUTED_VALUE"""),39146.666666666664)</f>
        <v>39146.66667</v>
      </c>
      <c r="B2307" s="1">
        <f>IFERROR(__xludf.DUMMYFUNCTION("""COMPUTED_VALUE"""),2125.34)</f>
        <v>2125.34</v>
      </c>
    </row>
    <row r="2308">
      <c r="A2308" s="2">
        <f>IFERROR(__xludf.DUMMYFUNCTION("""COMPUTED_VALUE"""),39147.666666666664)</f>
        <v>39147.66667</v>
      </c>
      <c r="B2308" s="1">
        <f>IFERROR(__xludf.DUMMYFUNCTION("""COMPUTED_VALUE"""),2158.36)</f>
        <v>2158.36</v>
      </c>
    </row>
    <row r="2309">
      <c r="A2309" s="2">
        <f>IFERROR(__xludf.DUMMYFUNCTION("""COMPUTED_VALUE"""),39148.666666666664)</f>
        <v>39148.66667</v>
      </c>
      <c r="B2309" s="1">
        <f>IFERROR(__xludf.DUMMYFUNCTION("""COMPUTED_VALUE"""),2153.65)</f>
        <v>2153.65</v>
      </c>
    </row>
    <row r="2310">
      <c r="A2310" s="2">
        <f>IFERROR(__xludf.DUMMYFUNCTION("""COMPUTED_VALUE"""),39149.666666666664)</f>
        <v>39149.66667</v>
      </c>
      <c r="B2310" s="1">
        <f>IFERROR(__xludf.DUMMYFUNCTION("""COMPUTED_VALUE"""),2169.14)</f>
        <v>2169.14</v>
      </c>
    </row>
    <row r="2311">
      <c r="A2311" s="2">
        <f>IFERROR(__xludf.DUMMYFUNCTION("""COMPUTED_VALUE"""),39150.666666666664)</f>
        <v>39150.66667</v>
      </c>
      <c r="B2311" s="1">
        <f>IFERROR(__xludf.DUMMYFUNCTION("""COMPUTED_VALUE"""),2170.62)</f>
        <v>2170.62</v>
      </c>
    </row>
    <row r="2312">
      <c r="A2312" s="2">
        <f>IFERROR(__xludf.DUMMYFUNCTION("""COMPUTED_VALUE"""),39153.666666666664)</f>
        <v>39153.66667</v>
      </c>
      <c r="B2312" s="1">
        <f>IFERROR(__xludf.DUMMYFUNCTION("""COMPUTED_VALUE"""),2176.5)</f>
        <v>2176.5</v>
      </c>
    </row>
    <row r="2313">
      <c r="A2313" s="2">
        <f>IFERROR(__xludf.DUMMYFUNCTION("""COMPUTED_VALUE"""),39154.666666666664)</f>
        <v>39154.66667</v>
      </c>
      <c r="B2313" s="1">
        <f>IFERROR(__xludf.DUMMYFUNCTION("""COMPUTED_VALUE"""),2132.76)</f>
        <v>2132.76</v>
      </c>
    </row>
    <row r="2314">
      <c r="A2314" s="2">
        <f>IFERROR(__xludf.DUMMYFUNCTION("""COMPUTED_VALUE"""),39155.666666666664)</f>
        <v>39155.66667</v>
      </c>
      <c r="B2314" s="1">
        <f>IFERROR(__xludf.DUMMYFUNCTION("""COMPUTED_VALUE"""),2147.18)</f>
        <v>2147.18</v>
      </c>
    </row>
    <row r="2315">
      <c r="A2315" s="2">
        <f>IFERROR(__xludf.DUMMYFUNCTION("""COMPUTED_VALUE"""),39156.666666666664)</f>
        <v>39156.66667</v>
      </c>
      <c r="B2315" s="1">
        <f>IFERROR(__xludf.DUMMYFUNCTION("""COMPUTED_VALUE"""),2155.18)</f>
        <v>2155.18</v>
      </c>
    </row>
    <row r="2316">
      <c r="A2316" s="2">
        <f>IFERROR(__xludf.DUMMYFUNCTION("""COMPUTED_VALUE"""),39157.666666666664)</f>
        <v>39157.66667</v>
      </c>
      <c r="B2316" s="1">
        <f>IFERROR(__xludf.DUMMYFUNCTION("""COMPUTED_VALUE"""),2146.93)</f>
        <v>2146.93</v>
      </c>
    </row>
    <row r="2317">
      <c r="A2317" s="2">
        <f>IFERROR(__xludf.DUMMYFUNCTION("""COMPUTED_VALUE"""),39160.666666666664)</f>
        <v>39160.66667</v>
      </c>
      <c r="B2317" s="1">
        <f>IFERROR(__xludf.DUMMYFUNCTION("""COMPUTED_VALUE"""),2170.33)</f>
        <v>2170.33</v>
      </c>
    </row>
    <row r="2318">
      <c r="A2318" s="2">
        <f>IFERROR(__xludf.DUMMYFUNCTION("""COMPUTED_VALUE"""),39161.666666666664)</f>
        <v>39161.66667</v>
      </c>
      <c r="B2318" s="1">
        <f>IFERROR(__xludf.DUMMYFUNCTION("""COMPUTED_VALUE"""),2184.1)</f>
        <v>2184.1</v>
      </c>
    </row>
    <row r="2319">
      <c r="A2319" s="2">
        <f>IFERROR(__xludf.DUMMYFUNCTION("""COMPUTED_VALUE"""),39162.666666666664)</f>
        <v>39162.66667</v>
      </c>
      <c r="B2319" s="1">
        <f>IFERROR(__xludf.DUMMYFUNCTION("""COMPUTED_VALUE"""),2221.46)</f>
        <v>2221.46</v>
      </c>
    </row>
    <row r="2320">
      <c r="A2320" s="2">
        <f>IFERROR(__xludf.DUMMYFUNCTION("""COMPUTED_VALUE"""),39163.666666666664)</f>
        <v>39163.66667</v>
      </c>
      <c r="B2320" s="1">
        <f>IFERROR(__xludf.DUMMYFUNCTION("""COMPUTED_VALUE"""),2220.68)</f>
        <v>2220.68</v>
      </c>
    </row>
    <row r="2321">
      <c r="A2321" s="2">
        <f>IFERROR(__xludf.DUMMYFUNCTION("""COMPUTED_VALUE"""),39164.666666666664)</f>
        <v>39164.66667</v>
      </c>
      <c r="B2321" s="1">
        <f>IFERROR(__xludf.DUMMYFUNCTION("""COMPUTED_VALUE"""),2223.12)</f>
        <v>2223.12</v>
      </c>
    </row>
    <row r="2322">
      <c r="A2322" s="2">
        <f>IFERROR(__xludf.DUMMYFUNCTION("""COMPUTED_VALUE"""),39167.666666666664)</f>
        <v>39167.66667</v>
      </c>
      <c r="B2322" s="1">
        <f>IFERROR(__xludf.DUMMYFUNCTION("""COMPUTED_VALUE"""),2225.26)</f>
        <v>2225.26</v>
      </c>
    </row>
    <row r="2323">
      <c r="A2323" s="2">
        <f>IFERROR(__xludf.DUMMYFUNCTION("""COMPUTED_VALUE"""),39168.666666666664)</f>
        <v>39168.66667</v>
      </c>
      <c r="B2323" s="1">
        <f>IFERROR(__xludf.DUMMYFUNCTION("""COMPUTED_VALUE"""),2211.52)</f>
        <v>2211.52</v>
      </c>
    </row>
    <row r="2324">
      <c r="A2324" s="2">
        <f>IFERROR(__xludf.DUMMYFUNCTION("""COMPUTED_VALUE"""),39169.666666666664)</f>
        <v>39169.66667</v>
      </c>
      <c r="B2324" s="1">
        <f>IFERROR(__xludf.DUMMYFUNCTION("""COMPUTED_VALUE"""),2194.38)</f>
        <v>2194.38</v>
      </c>
    </row>
    <row r="2325">
      <c r="A2325" s="2">
        <f>IFERROR(__xludf.DUMMYFUNCTION("""COMPUTED_VALUE"""),39170.666666666664)</f>
        <v>39170.66667</v>
      </c>
      <c r="B2325" s="1">
        <f>IFERROR(__xludf.DUMMYFUNCTION("""COMPUTED_VALUE"""),2202.68)</f>
        <v>2202.68</v>
      </c>
    </row>
    <row r="2326">
      <c r="A2326" s="2">
        <f>IFERROR(__xludf.DUMMYFUNCTION("""COMPUTED_VALUE"""),39171.666666666664)</f>
        <v>39171.66667</v>
      </c>
      <c r="B2326" s="1">
        <f>IFERROR(__xludf.DUMMYFUNCTION("""COMPUTED_VALUE"""),2200.12)</f>
        <v>2200.12</v>
      </c>
    </row>
    <row r="2327">
      <c r="A2327" s="2">
        <f>IFERROR(__xludf.DUMMYFUNCTION("""COMPUTED_VALUE"""),39174.666666666664)</f>
        <v>39174.66667</v>
      </c>
      <c r="B2327" s="1">
        <f>IFERROR(__xludf.DUMMYFUNCTION("""COMPUTED_VALUE"""),2205.85)</f>
        <v>2205.85</v>
      </c>
    </row>
    <row r="2328">
      <c r="A2328" s="2">
        <f>IFERROR(__xludf.DUMMYFUNCTION("""COMPUTED_VALUE"""),39175.666666666664)</f>
        <v>39175.66667</v>
      </c>
      <c r="B2328" s="1">
        <f>IFERROR(__xludf.DUMMYFUNCTION("""COMPUTED_VALUE"""),2226.76)</f>
        <v>2226.76</v>
      </c>
    </row>
    <row r="2329">
      <c r="A2329" s="2">
        <f>IFERROR(__xludf.DUMMYFUNCTION("""COMPUTED_VALUE"""),39176.666666666664)</f>
        <v>39176.66667</v>
      </c>
      <c r="B2329" s="1">
        <f>IFERROR(__xludf.DUMMYFUNCTION("""COMPUTED_VALUE"""),2229.26)</f>
        <v>2229.26</v>
      </c>
    </row>
    <row r="2330">
      <c r="A2330" s="2">
        <f>IFERROR(__xludf.DUMMYFUNCTION("""COMPUTED_VALUE"""),39177.666666666664)</f>
        <v>39177.66667</v>
      </c>
      <c r="B2330" s="1">
        <f>IFERROR(__xludf.DUMMYFUNCTION("""COMPUTED_VALUE"""),2236.71)</f>
        <v>2236.71</v>
      </c>
    </row>
    <row r="2331">
      <c r="A2331" s="2">
        <f>IFERROR(__xludf.DUMMYFUNCTION("""COMPUTED_VALUE"""),39181.666666666664)</f>
        <v>39181.66667</v>
      </c>
      <c r="B2331" s="1">
        <f>IFERROR(__xludf.DUMMYFUNCTION("""COMPUTED_VALUE"""),2238.03)</f>
        <v>2238.03</v>
      </c>
    </row>
    <row r="2332">
      <c r="A2332" s="2">
        <f>IFERROR(__xludf.DUMMYFUNCTION("""COMPUTED_VALUE"""),39182.666666666664)</f>
        <v>39182.66667</v>
      </c>
      <c r="B2332" s="1">
        <f>IFERROR(__xludf.DUMMYFUNCTION("""COMPUTED_VALUE"""),2243.93)</f>
        <v>2243.93</v>
      </c>
    </row>
    <row r="2333">
      <c r="A2333" s="2">
        <f>IFERROR(__xludf.DUMMYFUNCTION("""COMPUTED_VALUE"""),39183.666666666664)</f>
        <v>39183.66667</v>
      </c>
      <c r="B2333" s="1">
        <f>IFERROR(__xludf.DUMMYFUNCTION("""COMPUTED_VALUE"""),2229.44)</f>
        <v>2229.44</v>
      </c>
    </row>
    <row r="2334">
      <c r="A2334" s="2">
        <f>IFERROR(__xludf.DUMMYFUNCTION("""COMPUTED_VALUE"""),39184.666666666664)</f>
        <v>39184.66667</v>
      </c>
      <c r="B2334" s="1">
        <f>IFERROR(__xludf.DUMMYFUNCTION("""COMPUTED_VALUE"""),2243.3)</f>
        <v>2243.3</v>
      </c>
    </row>
    <row r="2335">
      <c r="A2335" s="2">
        <f>IFERROR(__xludf.DUMMYFUNCTION("""COMPUTED_VALUE"""),39185.666666666664)</f>
        <v>39185.66667</v>
      </c>
      <c r="B2335" s="1">
        <f>IFERROR(__xludf.DUMMYFUNCTION("""COMPUTED_VALUE"""),2251.12)</f>
        <v>2251.12</v>
      </c>
    </row>
    <row r="2336">
      <c r="A2336" s="2">
        <f>IFERROR(__xludf.DUMMYFUNCTION("""COMPUTED_VALUE"""),39188.666666666664)</f>
        <v>39188.66667</v>
      </c>
      <c r="B2336" s="1">
        <f>IFERROR(__xludf.DUMMYFUNCTION("""COMPUTED_VALUE"""),2275.35)</f>
        <v>2275.35</v>
      </c>
    </row>
    <row r="2337">
      <c r="A2337" s="2">
        <f>IFERROR(__xludf.DUMMYFUNCTION("""COMPUTED_VALUE"""),39189.666666666664)</f>
        <v>39189.66667</v>
      </c>
      <c r="B2337" s="1">
        <f>IFERROR(__xludf.DUMMYFUNCTION("""COMPUTED_VALUE"""),2280.01)</f>
        <v>2280.01</v>
      </c>
    </row>
    <row r="2338">
      <c r="A2338" s="2">
        <f>IFERROR(__xludf.DUMMYFUNCTION("""COMPUTED_VALUE"""),39190.666666666664)</f>
        <v>39190.66667</v>
      </c>
      <c r="B2338" s="1">
        <f>IFERROR(__xludf.DUMMYFUNCTION("""COMPUTED_VALUE"""),2281.61)</f>
        <v>2281.61</v>
      </c>
    </row>
    <row r="2339">
      <c r="A2339" s="2">
        <f>IFERROR(__xludf.DUMMYFUNCTION("""COMPUTED_VALUE"""),39191.666666666664)</f>
        <v>39191.66667</v>
      </c>
      <c r="B2339" s="1">
        <f>IFERROR(__xludf.DUMMYFUNCTION("""COMPUTED_VALUE"""),2278.91)</f>
        <v>2278.91</v>
      </c>
    </row>
    <row r="2340">
      <c r="A2340" s="2">
        <f>IFERROR(__xludf.DUMMYFUNCTION("""COMPUTED_VALUE"""),39192.666666666664)</f>
        <v>39192.66667</v>
      </c>
      <c r="B2340" s="1">
        <f>IFERROR(__xludf.DUMMYFUNCTION("""COMPUTED_VALUE"""),2300.08)</f>
        <v>2300.08</v>
      </c>
    </row>
    <row r="2341">
      <c r="A2341" s="2">
        <f>IFERROR(__xludf.DUMMYFUNCTION("""COMPUTED_VALUE"""),39195.666666666664)</f>
        <v>39195.66667</v>
      </c>
      <c r="B2341" s="1">
        <f>IFERROR(__xludf.DUMMYFUNCTION("""COMPUTED_VALUE"""),2294.82)</f>
        <v>2294.82</v>
      </c>
    </row>
    <row r="2342">
      <c r="A2342" s="2">
        <f>IFERROR(__xludf.DUMMYFUNCTION("""COMPUTED_VALUE"""),39196.666666666664)</f>
        <v>39196.66667</v>
      </c>
      <c r="B2342" s="1">
        <f>IFERROR(__xludf.DUMMYFUNCTION("""COMPUTED_VALUE"""),2294.02)</f>
        <v>2294.02</v>
      </c>
    </row>
    <row r="2343">
      <c r="A2343" s="2">
        <f>IFERROR(__xludf.DUMMYFUNCTION("""COMPUTED_VALUE"""),39197.666666666664)</f>
        <v>39197.66667</v>
      </c>
      <c r="B2343" s="1">
        <f>IFERROR(__xludf.DUMMYFUNCTION("""COMPUTED_VALUE"""),2317.5)</f>
        <v>2317.5</v>
      </c>
    </row>
    <row r="2344">
      <c r="A2344" s="2">
        <f>IFERROR(__xludf.DUMMYFUNCTION("""COMPUTED_VALUE"""),39198.666666666664)</f>
        <v>39198.66667</v>
      </c>
      <c r="B2344" s="1">
        <f>IFERROR(__xludf.DUMMYFUNCTION("""COMPUTED_VALUE"""),2315.91)</f>
        <v>2315.91</v>
      </c>
    </row>
    <row r="2345">
      <c r="A2345" s="2">
        <f>IFERROR(__xludf.DUMMYFUNCTION("""COMPUTED_VALUE"""),39199.666666666664)</f>
        <v>39199.66667</v>
      </c>
      <c r="B2345" s="1">
        <f>IFERROR(__xludf.DUMMYFUNCTION("""COMPUTED_VALUE"""),2315.7)</f>
        <v>2315.7</v>
      </c>
    </row>
    <row r="2346">
      <c r="A2346" s="2">
        <f>IFERROR(__xludf.DUMMYFUNCTION("""COMPUTED_VALUE"""),39202.666666666664)</f>
        <v>39202.66667</v>
      </c>
      <c r="B2346" s="1">
        <f>IFERROR(__xludf.DUMMYFUNCTION("""COMPUTED_VALUE"""),2297.57)</f>
        <v>2297.57</v>
      </c>
    </row>
    <row r="2347">
      <c r="A2347" s="2">
        <f>IFERROR(__xludf.DUMMYFUNCTION("""COMPUTED_VALUE"""),39203.666666666664)</f>
        <v>39203.66667</v>
      </c>
      <c r="B2347" s="1">
        <f>IFERROR(__xludf.DUMMYFUNCTION("""COMPUTED_VALUE"""),2303.68)</f>
        <v>2303.68</v>
      </c>
    </row>
    <row r="2348">
      <c r="A2348" s="2">
        <f>IFERROR(__xludf.DUMMYFUNCTION("""COMPUTED_VALUE"""),39204.666666666664)</f>
        <v>39204.66667</v>
      </c>
      <c r="B2348" s="1">
        <f>IFERROR(__xludf.DUMMYFUNCTION("""COMPUTED_VALUE"""),2318.84)</f>
        <v>2318.84</v>
      </c>
    </row>
    <row r="2349">
      <c r="A2349" s="2">
        <f>IFERROR(__xludf.DUMMYFUNCTION("""COMPUTED_VALUE"""),39205.666666666664)</f>
        <v>39205.66667</v>
      </c>
      <c r="B2349" s="1">
        <f>IFERROR(__xludf.DUMMYFUNCTION("""COMPUTED_VALUE"""),2329.54)</f>
        <v>2329.54</v>
      </c>
    </row>
    <row r="2350">
      <c r="A2350" s="2">
        <f>IFERROR(__xludf.DUMMYFUNCTION("""COMPUTED_VALUE"""),39206.666666666664)</f>
        <v>39206.66667</v>
      </c>
      <c r="B2350" s="1">
        <f>IFERROR(__xludf.DUMMYFUNCTION("""COMPUTED_VALUE"""),2334.61)</f>
        <v>2334.61</v>
      </c>
    </row>
    <row r="2351">
      <c r="A2351" s="2">
        <f>IFERROR(__xludf.DUMMYFUNCTION("""COMPUTED_VALUE"""),39209.666666666664)</f>
        <v>39209.66667</v>
      </c>
      <c r="B2351" s="1">
        <f>IFERROR(__xludf.DUMMYFUNCTION("""COMPUTED_VALUE"""),2340.68)</f>
        <v>2340.68</v>
      </c>
    </row>
    <row r="2352">
      <c r="A2352" s="2">
        <f>IFERROR(__xludf.DUMMYFUNCTION("""COMPUTED_VALUE"""),39210.666666666664)</f>
        <v>39210.66667</v>
      </c>
      <c r="B2352" s="1">
        <f>IFERROR(__xludf.DUMMYFUNCTION("""COMPUTED_VALUE"""),2338.14)</f>
        <v>2338.14</v>
      </c>
    </row>
    <row r="2353">
      <c r="A2353" s="2">
        <f>IFERROR(__xludf.DUMMYFUNCTION("""COMPUTED_VALUE"""),39211.666666666664)</f>
        <v>39211.66667</v>
      </c>
      <c r="B2353" s="1">
        <f>IFERROR(__xludf.DUMMYFUNCTION("""COMPUTED_VALUE"""),2346.3)</f>
        <v>2346.3</v>
      </c>
    </row>
    <row r="2354">
      <c r="A2354" s="2">
        <f>IFERROR(__xludf.DUMMYFUNCTION("""COMPUTED_VALUE"""),39212.666666666664)</f>
        <v>39212.66667</v>
      </c>
      <c r="B2354" s="1">
        <f>IFERROR(__xludf.DUMMYFUNCTION("""COMPUTED_VALUE"""),2313.94)</f>
        <v>2313.94</v>
      </c>
    </row>
    <row r="2355">
      <c r="A2355" s="2">
        <f>IFERROR(__xludf.DUMMYFUNCTION("""COMPUTED_VALUE"""),39213.666666666664)</f>
        <v>39213.66667</v>
      </c>
      <c r="B2355" s="1">
        <f>IFERROR(__xludf.DUMMYFUNCTION("""COMPUTED_VALUE"""),2336.48)</f>
        <v>2336.48</v>
      </c>
    </row>
    <row r="2356">
      <c r="A2356" s="2">
        <f>IFERROR(__xludf.DUMMYFUNCTION("""COMPUTED_VALUE"""),39216.666666666664)</f>
        <v>39216.66667</v>
      </c>
      <c r="B2356" s="1">
        <f>IFERROR(__xludf.DUMMYFUNCTION("""COMPUTED_VALUE"""),2332.43)</f>
        <v>2332.43</v>
      </c>
    </row>
    <row r="2357">
      <c r="A2357" s="2">
        <f>IFERROR(__xludf.DUMMYFUNCTION("""COMPUTED_VALUE"""),39217.666666666664)</f>
        <v>39217.66667</v>
      </c>
      <c r="B2357" s="1">
        <f>IFERROR(__xludf.DUMMYFUNCTION("""COMPUTED_VALUE"""),2329.61)</f>
        <v>2329.61</v>
      </c>
    </row>
    <row r="2358">
      <c r="A2358" s="2">
        <f>IFERROR(__xludf.DUMMYFUNCTION("""COMPUTED_VALUE"""),39218.666666666664)</f>
        <v>39218.66667</v>
      </c>
      <c r="B2358" s="1">
        <f>IFERROR(__xludf.DUMMYFUNCTION("""COMPUTED_VALUE"""),2350.4)</f>
        <v>2350.4</v>
      </c>
    </row>
    <row r="2359">
      <c r="A2359" s="2">
        <f>IFERROR(__xludf.DUMMYFUNCTION("""COMPUTED_VALUE"""),39219.666666666664)</f>
        <v>39219.66667</v>
      </c>
      <c r="B2359" s="1">
        <f>IFERROR(__xludf.DUMMYFUNCTION("""COMPUTED_VALUE"""),2348.44)</f>
        <v>2348.44</v>
      </c>
    </row>
    <row r="2360">
      <c r="A2360" s="2">
        <f>IFERROR(__xludf.DUMMYFUNCTION("""COMPUTED_VALUE"""),39220.666666666664)</f>
        <v>39220.66667</v>
      </c>
      <c r="B2360" s="1">
        <f>IFERROR(__xludf.DUMMYFUNCTION("""COMPUTED_VALUE"""),2363.97)</f>
        <v>2363.97</v>
      </c>
    </row>
    <row r="2361">
      <c r="A2361" s="2">
        <f>IFERROR(__xludf.DUMMYFUNCTION("""COMPUTED_VALUE"""),39223.666666666664)</f>
        <v>39223.66667</v>
      </c>
      <c r="B2361" s="1">
        <f>IFERROR(__xludf.DUMMYFUNCTION("""COMPUTED_VALUE"""),2367.63)</f>
        <v>2367.63</v>
      </c>
    </row>
    <row r="2362">
      <c r="A2362" s="2">
        <f>IFERROR(__xludf.DUMMYFUNCTION("""COMPUTED_VALUE"""),39224.666666666664)</f>
        <v>39224.66667</v>
      </c>
      <c r="B2362" s="1">
        <f>IFERROR(__xludf.DUMMYFUNCTION("""COMPUTED_VALUE"""),2366.1)</f>
        <v>2366.1</v>
      </c>
    </row>
    <row r="2363">
      <c r="A2363" s="2">
        <f>IFERROR(__xludf.DUMMYFUNCTION("""COMPUTED_VALUE"""),39225.666666666664)</f>
        <v>39225.66667</v>
      </c>
      <c r="B2363" s="1">
        <f>IFERROR(__xludf.DUMMYFUNCTION("""COMPUTED_VALUE"""),2363.29)</f>
        <v>2363.29</v>
      </c>
    </row>
    <row r="2364">
      <c r="A2364" s="2">
        <f>IFERROR(__xludf.DUMMYFUNCTION("""COMPUTED_VALUE"""),39226.666666666664)</f>
        <v>39226.66667</v>
      </c>
      <c r="B2364" s="1">
        <f>IFERROR(__xludf.DUMMYFUNCTION("""COMPUTED_VALUE"""),2340.64)</f>
        <v>2340.64</v>
      </c>
    </row>
    <row r="2365">
      <c r="A2365" s="2">
        <f>IFERROR(__xludf.DUMMYFUNCTION("""COMPUTED_VALUE"""),39227.666666666664)</f>
        <v>39227.66667</v>
      </c>
      <c r="B2365" s="1">
        <f>IFERROR(__xludf.DUMMYFUNCTION("""COMPUTED_VALUE"""),2353.42)</f>
        <v>2353.42</v>
      </c>
    </row>
    <row r="2366">
      <c r="A2366" s="2">
        <f>IFERROR(__xludf.DUMMYFUNCTION("""COMPUTED_VALUE"""),39231.666666666664)</f>
        <v>39231.66667</v>
      </c>
      <c r="B2366" s="1">
        <f>IFERROR(__xludf.DUMMYFUNCTION("""COMPUTED_VALUE"""),2357.39)</f>
        <v>2357.39</v>
      </c>
    </row>
    <row r="2367">
      <c r="A2367" s="2">
        <f>IFERROR(__xludf.DUMMYFUNCTION("""COMPUTED_VALUE"""),39232.666666666664)</f>
        <v>39232.66667</v>
      </c>
      <c r="B2367" s="1">
        <f>IFERROR(__xludf.DUMMYFUNCTION("""COMPUTED_VALUE"""),2377.09)</f>
        <v>2377.09</v>
      </c>
    </row>
    <row r="2368">
      <c r="A2368" s="2">
        <f>IFERROR(__xludf.DUMMYFUNCTION("""COMPUTED_VALUE"""),39233.666666666664)</f>
        <v>39233.66667</v>
      </c>
      <c r="B2368" s="1">
        <f>IFERROR(__xludf.DUMMYFUNCTION("""COMPUTED_VALUE"""),2377.75)</f>
        <v>2377.75</v>
      </c>
    </row>
    <row r="2369">
      <c r="A2369" s="2">
        <f>IFERROR(__xludf.DUMMYFUNCTION("""COMPUTED_VALUE"""),39234.666666666664)</f>
        <v>39234.66667</v>
      </c>
      <c r="B2369" s="1">
        <f>IFERROR(__xludf.DUMMYFUNCTION("""COMPUTED_VALUE"""),2386.63)</f>
        <v>2386.63</v>
      </c>
    </row>
    <row r="2370">
      <c r="A2370" s="2">
        <f>IFERROR(__xludf.DUMMYFUNCTION("""COMPUTED_VALUE"""),39237.666666666664)</f>
        <v>39237.66667</v>
      </c>
      <c r="B2370" s="1">
        <f>IFERROR(__xludf.DUMMYFUNCTION("""COMPUTED_VALUE"""),2391.13)</f>
        <v>2391.13</v>
      </c>
    </row>
    <row r="2371">
      <c r="A2371" s="2">
        <f>IFERROR(__xludf.DUMMYFUNCTION("""COMPUTED_VALUE"""),39238.666666666664)</f>
        <v>39238.66667</v>
      </c>
      <c r="B2371" s="1">
        <f>IFERROR(__xludf.DUMMYFUNCTION("""COMPUTED_VALUE"""),2378.44)</f>
        <v>2378.44</v>
      </c>
    </row>
    <row r="2372">
      <c r="A2372" s="2">
        <f>IFERROR(__xludf.DUMMYFUNCTION("""COMPUTED_VALUE"""),39239.666666666664)</f>
        <v>39239.66667</v>
      </c>
      <c r="B2372" s="1">
        <f>IFERROR(__xludf.DUMMYFUNCTION("""COMPUTED_VALUE"""),2357.95)</f>
        <v>2357.95</v>
      </c>
    </row>
    <row r="2373">
      <c r="A2373" s="2">
        <f>IFERROR(__xludf.DUMMYFUNCTION("""COMPUTED_VALUE"""),39240.666666666664)</f>
        <v>39240.66667</v>
      </c>
      <c r="B2373" s="1">
        <f>IFERROR(__xludf.DUMMYFUNCTION("""COMPUTED_VALUE"""),2316.63)</f>
        <v>2316.63</v>
      </c>
    </row>
    <row r="2374">
      <c r="A2374" s="2">
        <f>IFERROR(__xludf.DUMMYFUNCTION("""COMPUTED_VALUE"""),39241.666666666664)</f>
        <v>39241.66667</v>
      </c>
      <c r="B2374" s="1">
        <f>IFERROR(__xludf.DUMMYFUNCTION("""COMPUTED_VALUE"""),2342.98)</f>
        <v>2342.98</v>
      </c>
    </row>
    <row r="2375">
      <c r="A2375" s="2">
        <f>IFERROR(__xludf.DUMMYFUNCTION("""COMPUTED_VALUE"""),39244.666666666664)</f>
        <v>39244.66667</v>
      </c>
      <c r="B2375" s="1">
        <f>IFERROR(__xludf.DUMMYFUNCTION("""COMPUTED_VALUE"""),2345.27)</f>
        <v>2345.27</v>
      </c>
    </row>
    <row r="2376">
      <c r="A2376" s="2">
        <f>IFERROR(__xludf.DUMMYFUNCTION("""COMPUTED_VALUE"""),39245.666666666664)</f>
        <v>39245.66667</v>
      </c>
      <c r="B2376" s="1">
        <f>IFERROR(__xludf.DUMMYFUNCTION("""COMPUTED_VALUE"""),2320.22)</f>
        <v>2320.22</v>
      </c>
    </row>
    <row r="2377">
      <c r="A2377" s="2">
        <f>IFERROR(__xludf.DUMMYFUNCTION("""COMPUTED_VALUE"""),39246.666666666664)</f>
        <v>39246.66667</v>
      </c>
      <c r="B2377" s="1">
        <f>IFERROR(__xludf.DUMMYFUNCTION("""COMPUTED_VALUE"""),2356.02)</f>
        <v>2356.02</v>
      </c>
    </row>
    <row r="2378">
      <c r="A2378" s="2">
        <f>IFERROR(__xludf.DUMMYFUNCTION("""COMPUTED_VALUE"""),39247.666666666664)</f>
        <v>39247.66667</v>
      </c>
      <c r="B2378" s="1">
        <f>IFERROR(__xludf.DUMMYFUNCTION("""COMPUTED_VALUE"""),2367.52)</f>
        <v>2367.52</v>
      </c>
    </row>
    <row r="2379">
      <c r="A2379" s="2">
        <f>IFERROR(__xludf.DUMMYFUNCTION("""COMPUTED_VALUE"""),39248.666666666664)</f>
        <v>39248.66667</v>
      </c>
      <c r="B2379" s="1">
        <f>IFERROR(__xludf.DUMMYFUNCTION("""COMPUTED_VALUE"""),2382.97)</f>
        <v>2382.97</v>
      </c>
    </row>
    <row r="2380">
      <c r="A2380" s="2">
        <f>IFERROR(__xludf.DUMMYFUNCTION("""COMPUTED_VALUE"""),39251.666666666664)</f>
        <v>39251.66667</v>
      </c>
      <c r="B2380" s="1">
        <f>IFERROR(__xludf.DUMMYFUNCTION("""COMPUTED_VALUE"""),2380.09)</f>
        <v>2380.09</v>
      </c>
    </row>
    <row r="2381">
      <c r="A2381" s="2">
        <f>IFERROR(__xludf.DUMMYFUNCTION("""COMPUTED_VALUE"""),39252.666666666664)</f>
        <v>39252.66667</v>
      </c>
      <c r="B2381" s="1">
        <f>IFERROR(__xludf.DUMMYFUNCTION("""COMPUTED_VALUE"""),2384.26)</f>
        <v>2384.26</v>
      </c>
    </row>
    <row r="2382">
      <c r="A2382" s="2">
        <f>IFERROR(__xludf.DUMMYFUNCTION("""COMPUTED_VALUE"""),39253.666666666664)</f>
        <v>39253.66667</v>
      </c>
      <c r="B2382" s="1">
        <f>IFERROR(__xludf.DUMMYFUNCTION("""COMPUTED_VALUE"""),2351.87)</f>
        <v>2351.87</v>
      </c>
    </row>
    <row r="2383">
      <c r="A2383" s="2">
        <f>IFERROR(__xludf.DUMMYFUNCTION("""COMPUTED_VALUE"""),39254.666666666664)</f>
        <v>39254.66667</v>
      </c>
      <c r="B2383" s="1">
        <f>IFERROR(__xludf.DUMMYFUNCTION("""COMPUTED_VALUE"""),2366.92)</f>
        <v>2366.92</v>
      </c>
    </row>
    <row r="2384">
      <c r="A2384" s="2">
        <f>IFERROR(__xludf.DUMMYFUNCTION("""COMPUTED_VALUE"""),39255.666666666664)</f>
        <v>39255.66667</v>
      </c>
      <c r="B2384" s="1">
        <f>IFERROR(__xludf.DUMMYFUNCTION("""COMPUTED_VALUE"""),2336.41)</f>
        <v>2336.41</v>
      </c>
    </row>
    <row r="2385">
      <c r="A2385" s="2">
        <f>IFERROR(__xludf.DUMMYFUNCTION("""COMPUTED_VALUE"""),39258.666666666664)</f>
        <v>39258.66667</v>
      </c>
      <c r="B2385" s="1">
        <f>IFERROR(__xludf.DUMMYFUNCTION("""COMPUTED_VALUE"""),2328.91)</f>
        <v>2328.91</v>
      </c>
    </row>
    <row r="2386">
      <c r="A2386" s="2">
        <f>IFERROR(__xludf.DUMMYFUNCTION("""COMPUTED_VALUE"""),39259.666666666664)</f>
        <v>39259.66667</v>
      </c>
      <c r="B2386" s="1">
        <f>IFERROR(__xludf.DUMMYFUNCTION("""COMPUTED_VALUE"""),2321.46)</f>
        <v>2321.46</v>
      </c>
    </row>
    <row r="2387">
      <c r="A2387" s="2">
        <f>IFERROR(__xludf.DUMMYFUNCTION("""COMPUTED_VALUE"""),39260.666666666664)</f>
        <v>39260.66667</v>
      </c>
      <c r="B2387" s="1">
        <f>IFERROR(__xludf.DUMMYFUNCTION("""COMPUTED_VALUE"""),2342.84)</f>
        <v>2342.84</v>
      </c>
    </row>
    <row r="2388">
      <c r="A2388" s="2">
        <f>IFERROR(__xludf.DUMMYFUNCTION("""COMPUTED_VALUE"""),39261.666666666664)</f>
        <v>39261.66667</v>
      </c>
      <c r="B2388" s="1">
        <f>IFERROR(__xludf.DUMMYFUNCTION("""COMPUTED_VALUE"""),2341.9)</f>
        <v>2341.9</v>
      </c>
    </row>
    <row r="2389">
      <c r="A2389" s="2">
        <f>IFERROR(__xludf.DUMMYFUNCTION("""COMPUTED_VALUE"""),39262.666666666664)</f>
        <v>39262.66667</v>
      </c>
      <c r="B2389" s="1">
        <f>IFERROR(__xludf.DUMMYFUNCTION("""COMPUTED_VALUE"""),2338.25)</f>
        <v>2338.25</v>
      </c>
    </row>
    <row r="2390">
      <c r="A2390" s="2">
        <f>IFERROR(__xludf.DUMMYFUNCTION("""COMPUTED_VALUE"""),39265.666666666664)</f>
        <v>39265.66667</v>
      </c>
      <c r="B2390" s="1">
        <f>IFERROR(__xludf.DUMMYFUNCTION("""COMPUTED_VALUE"""),2363.28)</f>
        <v>2363.28</v>
      </c>
    </row>
    <row r="2391">
      <c r="A2391" s="2">
        <f>IFERROR(__xludf.DUMMYFUNCTION("""COMPUTED_VALUE"""),39266.666666666664)</f>
        <v>39266.66667</v>
      </c>
      <c r="B2391" s="1">
        <f>IFERROR(__xludf.DUMMYFUNCTION("""COMPUTED_VALUE"""),2372.22)</f>
        <v>2372.22</v>
      </c>
    </row>
    <row r="2392">
      <c r="A2392" s="2">
        <f>IFERROR(__xludf.DUMMYFUNCTION("""COMPUTED_VALUE"""),39268.666666666664)</f>
        <v>39268.66667</v>
      </c>
      <c r="B2392" s="1">
        <f>IFERROR(__xludf.DUMMYFUNCTION("""COMPUTED_VALUE"""),2373.07)</f>
        <v>2373.07</v>
      </c>
    </row>
    <row r="2393">
      <c r="A2393" s="2">
        <f>IFERROR(__xludf.DUMMYFUNCTION("""COMPUTED_VALUE"""),39269.666666666664)</f>
        <v>39269.66667</v>
      </c>
      <c r="B2393" s="1">
        <f>IFERROR(__xludf.DUMMYFUNCTION("""COMPUTED_VALUE"""),2381.59)</f>
        <v>2381.59</v>
      </c>
    </row>
    <row r="2394">
      <c r="A2394" s="2">
        <f>IFERROR(__xludf.DUMMYFUNCTION("""COMPUTED_VALUE"""),39272.666666666664)</f>
        <v>39272.66667</v>
      </c>
      <c r="B2394" s="1">
        <f>IFERROR(__xludf.DUMMYFUNCTION("""COMPUTED_VALUE"""),2383.8)</f>
        <v>2383.8</v>
      </c>
    </row>
    <row r="2395">
      <c r="A2395" s="2">
        <f>IFERROR(__xludf.DUMMYFUNCTION("""COMPUTED_VALUE"""),39273.666666666664)</f>
        <v>39273.66667</v>
      </c>
      <c r="B2395" s="1">
        <f>IFERROR(__xludf.DUMMYFUNCTION("""COMPUTED_VALUE"""),2349.98)</f>
        <v>2349.98</v>
      </c>
    </row>
    <row r="2396">
      <c r="A2396" s="2">
        <f>IFERROR(__xludf.DUMMYFUNCTION("""COMPUTED_VALUE"""),39274.666666666664)</f>
        <v>39274.66667</v>
      </c>
      <c r="B2396" s="1">
        <f>IFERROR(__xludf.DUMMYFUNCTION("""COMPUTED_VALUE"""),2363.72)</f>
        <v>2363.72</v>
      </c>
    </row>
    <row r="2397">
      <c r="A2397" s="2">
        <f>IFERROR(__xludf.DUMMYFUNCTION("""COMPUTED_VALUE"""),39275.666666666664)</f>
        <v>39275.66667</v>
      </c>
      <c r="B2397" s="1">
        <f>IFERROR(__xludf.DUMMYFUNCTION("""COMPUTED_VALUE"""),2408.79)</f>
        <v>2408.79</v>
      </c>
    </row>
    <row r="2398">
      <c r="A2398" s="2">
        <f>IFERROR(__xludf.DUMMYFUNCTION("""COMPUTED_VALUE"""),39276.666666666664)</f>
        <v>39276.66667</v>
      </c>
      <c r="B2398" s="1">
        <f>IFERROR(__xludf.DUMMYFUNCTION("""COMPUTED_VALUE"""),2416.28)</f>
        <v>2416.28</v>
      </c>
    </row>
    <row r="2399">
      <c r="A2399" s="2">
        <f>IFERROR(__xludf.DUMMYFUNCTION("""COMPUTED_VALUE"""),39279.666666666664)</f>
        <v>39279.66667</v>
      </c>
      <c r="B2399" s="1">
        <f>IFERROR(__xludf.DUMMYFUNCTION("""COMPUTED_VALUE"""),2411.65)</f>
        <v>2411.65</v>
      </c>
    </row>
    <row r="2400">
      <c r="A2400" s="2">
        <f>IFERROR(__xludf.DUMMYFUNCTION("""COMPUTED_VALUE"""),39280.666666666664)</f>
        <v>39280.66667</v>
      </c>
      <c r="B2400" s="1">
        <f>IFERROR(__xludf.DUMMYFUNCTION("""COMPUTED_VALUE"""),2411.41)</f>
        <v>2411.41</v>
      </c>
    </row>
    <row r="2401">
      <c r="A2401" s="2">
        <f>IFERROR(__xludf.DUMMYFUNCTION("""COMPUTED_VALUE"""),39281.666666666664)</f>
        <v>39281.66667</v>
      </c>
      <c r="B2401" s="1">
        <f>IFERROR(__xludf.DUMMYFUNCTION("""COMPUTED_VALUE"""),2406.69)</f>
        <v>2406.69</v>
      </c>
    </row>
    <row r="2402">
      <c r="A2402" s="2">
        <f>IFERROR(__xludf.DUMMYFUNCTION("""COMPUTED_VALUE"""),39282.666666666664)</f>
        <v>39282.66667</v>
      </c>
      <c r="B2402" s="1">
        <f>IFERROR(__xludf.DUMMYFUNCTION("""COMPUTED_VALUE"""),2417.5)</f>
        <v>2417.5</v>
      </c>
    </row>
    <row r="2403">
      <c r="A2403" s="2">
        <f>IFERROR(__xludf.DUMMYFUNCTION("""COMPUTED_VALUE"""),39283.666666666664)</f>
        <v>39283.66667</v>
      </c>
      <c r="B2403" s="1">
        <f>IFERROR(__xludf.DUMMYFUNCTION("""COMPUTED_VALUE"""),2387.96)</f>
        <v>2387.96</v>
      </c>
    </row>
    <row r="2404">
      <c r="A2404" s="2">
        <f>IFERROR(__xludf.DUMMYFUNCTION("""COMPUTED_VALUE"""),39286.666666666664)</f>
        <v>39286.66667</v>
      </c>
      <c r="B2404" s="1">
        <f>IFERROR(__xludf.DUMMYFUNCTION("""COMPUTED_VALUE"""),2399.64)</f>
        <v>2399.64</v>
      </c>
    </row>
    <row r="2405">
      <c r="A2405" s="2">
        <f>IFERROR(__xludf.DUMMYFUNCTION("""COMPUTED_VALUE"""),39287.666666666664)</f>
        <v>39287.66667</v>
      </c>
      <c r="B2405" s="1">
        <f>IFERROR(__xludf.DUMMYFUNCTION("""COMPUTED_VALUE"""),2352.12)</f>
        <v>2352.12</v>
      </c>
    </row>
    <row r="2406">
      <c r="A2406" s="2">
        <f>IFERROR(__xludf.DUMMYFUNCTION("""COMPUTED_VALUE"""),39288.666666666664)</f>
        <v>39288.66667</v>
      </c>
      <c r="B2406" s="1">
        <f>IFERROR(__xludf.DUMMYFUNCTION("""COMPUTED_VALUE"""),2363.12)</f>
        <v>2363.12</v>
      </c>
    </row>
    <row r="2407">
      <c r="A2407" s="2">
        <f>IFERROR(__xludf.DUMMYFUNCTION("""COMPUTED_VALUE"""),39289.666666666664)</f>
        <v>39289.66667</v>
      </c>
      <c r="B2407" s="1">
        <f>IFERROR(__xludf.DUMMYFUNCTION("""COMPUTED_VALUE"""),2307.98)</f>
        <v>2307.98</v>
      </c>
    </row>
    <row r="2408">
      <c r="A2408" s="2">
        <f>IFERROR(__xludf.DUMMYFUNCTION("""COMPUTED_VALUE"""),39290.666666666664)</f>
        <v>39290.66667</v>
      </c>
      <c r="B2408" s="1">
        <f>IFERROR(__xludf.DUMMYFUNCTION("""COMPUTED_VALUE"""),2271.41)</f>
        <v>2271.41</v>
      </c>
    </row>
    <row r="2409">
      <c r="A2409" s="2">
        <f>IFERROR(__xludf.DUMMYFUNCTION("""COMPUTED_VALUE"""),39293.666666666664)</f>
        <v>39293.66667</v>
      </c>
      <c r="B2409" s="1">
        <f>IFERROR(__xludf.DUMMYFUNCTION("""COMPUTED_VALUE"""),2294.75)</f>
        <v>2294.75</v>
      </c>
    </row>
    <row r="2410">
      <c r="A2410" s="2">
        <f>IFERROR(__xludf.DUMMYFUNCTION("""COMPUTED_VALUE"""),39294.666666666664)</f>
        <v>39294.66667</v>
      </c>
      <c r="B2410" s="1">
        <f>IFERROR(__xludf.DUMMYFUNCTION("""COMPUTED_VALUE"""),2265.75)</f>
        <v>2265.75</v>
      </c>
    </row>
    <row r="2411">
      <c r="A2411" s="2">
        <f>IFERROR(__xludf.DUMMYFUNCTION("""COMPUTED_VALUE"""),39295.666666666664)</f>
        <v>39295.66667</v>
      </c>
      <c r="B2411" s="1">
        <f>IFERROR(__xludf.DUMMYFUNCTION("""COMPUTED_VALUE"""),2282.3)</f>
        <v>2282.3</v>
      </c>
    </row>
    <row r="2412">
      <c r="A2412" s="2">
        <f>IFERROR(__xludf.DUMMYFUNCTION("""COMPUTED_VALUE"""),39296.666666666664)</f>
        <v>39296.66667</v>
      </c>
      <c r="B2412" s="1">
        <f>IFERROR(__xludf.DUMMYFUNCTION("""COMPUTED_VALUE"""),2292.79)</f>
        <v>2292.79</v>
      </c>
    </row>
    <row r="2413">
      <c r="A2413" s="2">
        <f>IFERROR(__xludf.DUMMYFUNCTION("""COMPUTED_VALUE"""),39297.666666666664)</f>
        <v>39297.66667</v>
      </c>
      <c r="B2413" s="1">
        <f>IFERROR(__xludf.DUMMYFUNCTION("""COMPUTED_VALUE"""),2231.98)</f>
        <v>2231.98</v>
      </c>
    </row>
    <row r="2414">
      <c r="A2414" s="2">
        <f>IFERROR(__xludf.DUMMYFUNCTION("""COMPUTED_VALUE"""),39300.666666666664)</f>
        <v>39300.66667</v>
      </c>
      <c r="B2414" s="1">
        <f>IFERROR(__xludf.DUMMYFUNCTION("""COMPUTED_VALUE"""),2285.93)</f>
        <v>2285.93</v>
      </c>
    </row>
    <row r="2415">
      <c r="A2415" s="2">
        <f>IFERROR(__xludf.DUMMYFUNCTION("""COMPUTED_VALUE"""),39301.666666666664)</f>
        <v>39301.66667</v>
      </c>
      <c r="B2415" s="1">
        <f>IFERROR(__xludf.DUMMYFUNCTION("""COMPUTED_VALUE"""),2300.09)</f>
        <v>2300.09</v>
      </c>
    </row>
    <row r="2416">
      <c r="A2416" s="2">
        <f>IFERROR(__xludf.DUMMYFUNCTION("""COMPUTED_VALUE"""),39302.666666666664)</f>
        <v>39302.66667</v>
      </c>
      <c r="B2416" s="1">
        <f>IFERROR(__xludf.DUMMYFUNCTION("""COMPUTED_VALUE"""),2333.24)</f>
        <v>2333.24</v>
      </c>
    </row>
    <row r="2417">
      <c r="A2417" s="2">
        <f>IFERROR(__xludf.DUMMYFUNCTION("""COMPUTED_VALUE"""),39303.666666666664)</f>
        <v>39303.66667</v>
      </c>
      <c r="B2417" s="1">
        <f>IFERROR(__xludf.DUMMYFUNCTION("""COMPUTED_VALUE"""),2264.5)</f>
        <v>2264.5</v>
      </c>
    </row>
    <row r="2418">
      <c r="A2418" s="2">
        <f>IFERROR(__xludf.DUMMYFUNCTION("""COMPUTED_VALUE"""),39304.666666666664)</f>
        <v>39304.66667</v>
      </c>
      <c r="B2418" s="1">
        <f>IFERROR(__xludf.DUMMYFUNCTION("""COMPUTED_VALUE"""),2265.36)</f>
        <v>2265.36</v>
      </c>
    </row>
    <row r="2419">
      <c r="A2419" s="2">
        <f>IFERROR(__xludf.DUMMYFUNCTION("""COMPUTED_VALUE"""),39307.666666666664)</f>
        <v>39307.66667</v>
      </c>
      <c r="B2419" s="1">
        <f>IFERROR(__xludf.DUMMYFUNCTION("""COMPUTED_VALUE"""),2264.57)</f>
        <v>2264.57</v>
      </c>
    </row>
    <row r="2420">
      <c r="A2420" s="2">
        <f>IFERROR(__xludf.DUMMYFUNCTION("""COMPUTED_VALUE"""),39308.666666666664)</f>
        <v>39308.66667</v>
      </c>
      <c r="B2420" s="1">
        <f>IFERROR(__xludf.DUMMYFUNCTION("""COMPUTED_VALUE"""),2223.71)</f>
        <v>2223.71</v>
      </c>
    </row>
    <row r="2421">
      <c r="A2421" s="2">
        <f>IFERROR(__xludf.DUMMYFUNCTION("""COMPUTED_VALUE"""),39309.666666666664)</f>
        <v>39309.66667</v>
      </c>
      <c r="B2421" s="1">
        <f>IFERROR(__xludf.DUMMYFUNCTION("""COMPUTED_VALUE"""),2193.4)</f>
        <v>2193.4</v>
      </c>
    </row>
    <row r="2422">
      <c r="A2422" s="2">
        <f>IFERROR(__xludf.DUMMYFUNCTION("""COMPUTED_VALUE"""),39310.666666666664)</f>
        <v>39310.66667</v>
      </c>
      <c r="B2422" s="1">
        <f>IFERROR(__xludf.DUMMYFUNCTION("""COMPUTED_VALUE"""),2200.61)</f>
        <v>2200.61</v>
      </c>
    </row>
    <row r="2423">
      <c r="A2423" s="2">
        <f>IFERROR(__xludf.DUMMYFUNCTION("""COMPUTED_VALUE"""),39311.666666666664)</f>
        <v>39311.66667</v>
      </c>
      <c r="B2423" s="1">
        <f>IFERROR(__xludf.DUMMYFUNCTION("""COMPUTED_VALUE"""),2254.68)</f>
        <v>2254.68</v>
      </c>
    </row>
    <row r="2424">
      <c r="A2424" s="2">
        <f>IFERROR(__xludf.DUMMYFUNCTION("""COMPUTED_VALUE"""),39314.666666666664)</f>
        <v>39314.66667</v>
      </c>
      <c r="B2424" s="1">
        <f>IFERROR(__xludf.DUMMYFUNCTION("""COMPUTED_VALUE"""),2254.07)</f>
        <v>2254.07</v>
      </c>
    </row>
    <row r="2425">
      <c r="A2425" s="2">
        <f>IFERROR(__xludf.DUMMYFUNCTION("""COMPUTED_VALUE"""),39315.666666666664)</f>
        <v>39315.66667</v>
      </c>
      <c r="B2425" s="1">
        <f>IFERROR(__xludf.DUMMYFUNCTION("""COMPUTED_VALUE"""),2256.53)</f>
        <v>2256.53</v>
      </c>
    </row>
    <row r="2426">
      <c r="A2426" s="2">
        <f>IFERROR(__xludf.DUMMYFUNCTION("""COMPUTED_VALUE"""),39316.666666666664)</f>
        <v>39316.66667</v>
      </c>
      <c r="B2426" s="1">
        <f>IFERROR(__xludf.DUMMYFUNCTION("""COMPUTED_VALUE"""),2283.09)</f>
        <v>2283.09</v>
      </c>
    </row>
    <row r="2427">
      <c r="A2427" s="2">
        <f>IFERROR(__xludf.DUMMYFUNCTION("""COMPUTED_VALUE"""),39317.666666666664)</f>
        <v>39317.66667</v>
      </c>
      <c r="B2427" s="1">
        <f>IFERROR(__xludf.DUMMYFUNCTION("""COMPUTED_VALUE"""),2280.68)</f>
        <v>2280.68</v>
      </c>
    </row>
    <row r="2428">
      <c r="A2428" s="2">
        <f>IFERROR(__xludf.DUMMYFUNCTION("""COMPUTED_VALUE"""),39318.666666666664)</f>
        <v>39318.66667</v>
      </c>
      <c r="B2428" s="1">
        <f>IFERROR(__xludf.DUMMYFUNCTION("""COMPUTED_VALUE"""),2307.22)</f>
        <v>2307.22</v>
      </c>
    </row>
    <row r="2429">
      <c r="A2429" s="2">
        <f>IFERROR(__xludf.DUMMYFUNCTION("""COMPUTED_VALUE"""),39321.666666666664)</f>
        <v>39321.66667</v>
      </c>
      <c r="B2429" s="1">
        <f>IFERROR(__xludf.DUMMYFUNCTION("""COMPUTED_VALUE"""),2287.62)</f>
        <v>2287.62</v>
      </c>
    </row>
    <row r="2430">
      <c r="A2430" s="2">
        <f>IFERROR(__xludf.DUMMYFUNCTION("""COMPUTED_VALUE"""),39322.666666666664)</f>
        <v>39322.66667</v>
      </c>
      <c r="B2430" s="1">
        <f>IFERROR(__xludf.DUMMYFUNCTION("""COMPUTED_VALUE"""),2234.03)</f>
        <v>2234.03</v>
      </c>
    </row>
    <row r="2431">
      <c r="A2431" s="2">
        <f>IFERROR(__xludf.DUMMYFUNCTION("""COMPUTED_VALUE"""),39323.666666666664)</f>
        <v>39323.66667</v>
      </c>
      <c r="B2431" s="1">
        <f>IFERROR(__xludf.DUMMYFUNCTION("""COMPUTED_VALUE"""),2283.58)</f>
        <v>2283.58</v>
      </c>
    </row>
    <row r="2432">
      <c r="A2432" s="2">
        <f>IFERROR(__xludf.DUMMYFUNCTION("""COMPUTED_VALUE"""),39324.666666666664)</f>
        <v>39324.66667</v>
      </c>
      <c r="B2432" s="1">
        <f>IFERROR(__xludf.DUMMYFUNCTION("""COMPUTED_VALUE"""),2274.16)</f>
        <v>2274.16</v>
      </c>
    </row>
    <row r="2433">
      <c r="A2433" s="2">
        <f>IFERROR(__xludf.DUMMYFUNCTION("""COMPUTED_VALUE"""),39325.666666666664)</f>
        <v>39325.66667</v>
      </c>
      <c r="B2433" s="1">
        <f>IFERROR(__xludf.DUMMYFUNCTION("""COMPUTED_VALUE"""),2299.71)</f>
        <v>2299.71</v>
      </c>
    </row>
    <row r="2434">
      <c r="A2434" s="2">
        <f>IFERROR(__xludf.DUMMYFUNCTION("""COMPUTED_VALUE"""),39329.666666666664)</f>
        <v>39329.66667</v>
      </c>
      <c r="B2434" s="1">
        <f>IFERROR(__xludf.DUMMYFUNCTION("""COMPUTED_VALUE"""),2323.82)</f>
        <v>2323.82</v>
      </c>
    </row>
    <row r="2435">
      <c r="A2435" s="2">
        <f>IFERROR(__xludf.DUMMYFUNCTION("""COMPUTED_VALUE"""),39330.666666666664)</f>
        <v>39330.66667</v>
      </c>
      <c r="B2435" s="1">
        <f>IFERROR(__xludf.DUMMYFUNCTION("""COMPUTED_VALUE"""),2298.16)</f>
        <v>2298.16</v>
      </c>
    </row>
    <row r="2436">
      <c r="A2436" s="2">
        <f>IFERROR(__xludf.DUMMYFUNCTION("""COMPUTED_VALUE"""),39331.666666666664)</f>
        <v>39331.66667</v>
      </c>
      <c r="B2436" s="1">
        <f>IFERROR(__xludf.DUMMYFUNCTION("""COMPUTED_VALUE"""),2308.34)</f>
        <v>2308.34</v>
      </c>
    </row>
    <row r="2437">
      <c r="A2437" s="2">
        <f>IFERROR(__xludf.DUMMYFUNCTION("""COMPUTED_VALUE"""),39332.666666666664)</f>
        <v>39332.66667</v>
      </c>
      <c r="B2437" s="1">
        <f>IFERROR(__xludf.DUMMYFUNCTION("""COMPUTED_VALUE"""),2269.32)</f>
        <v>2269.32</v>
      </c>
    </row>
    <row r="2438">
      <c r="A2438" s="2">
        <f>IFERROR(__xludf.DUMMYFUNCTION("""COMPUTED_VALUE"""),39335.666666666664)</f>
        <v>39335.66667</v>
      </c>
      <c r="B2438" s="1">
        <f>IFERROR(__xludf.DUMMYFUNCTION("""COMPUTED_VALUE"""),2266.51)</f>
        <v>2266.51</v>
      </c>
    </row>
    <row r="2439">
      <c r="A2439" s="2">
        <f>IFERROR(__xludf.DUMMYFUNCTION("""COMPUTED_VALUE"""),39336.666666666664)</f>
        <v>39336.66667</v>
      </c>
      <c r="B2439" s="1">
        <f>IFERROR(__xludf.DUMMYFUNCTION("""COMPUTED_VALUE"""),2297.41)</f>
        <v>2297.41</v>
      </c>
    </row>
    <row r="2440">
      <c r="A2440" s="2">
        <f>IFERROR(__xludf.DUMMYFUNCTION("""COMPUTED_VALUE"""),39337.666666666664)</f>
        <v>39337.66667</v>
      </c>
      <c r="B2440" s="1">
        <f>IFERROR(__xludf.DUMMYFUNCTION("""COMPUTED_VALUE"""),2298.14)</f>
        <v>2298.14</v>
      </c>
    </row>
    <row r="2441">
      <c r="A2441" s="2">
        <f>IFERROR(__xludf.DUMMYFUNCTION("""COMPUTED_VALUE"""),39338.666666666664)</f>
        <v>39338.66667</v>
      </c>
      <c r="B2441" s="1">
        <f>IFERROR(__xludf.DUMMYFUNCTION("""COMPUTED_VALUE"""),2317.63)</f>
        <v>2317.63</v>
      </c>
    </row>
    <row r="2442">
      <c r="A2442" s="2">
        <f>IFERROR(__xludf.DUMMYFUNCTION("""COMPUTED_VALUE"""),39339.666666666664)</f>
        <v>39339.66667</v>
      </c>
      <c r="B2442" s="1">
        <f>IFERROR(__xludf.DUMMYFUNCTION("""COMPUTED_VALUE"""),2318.11)</f>
        <v>2318.11</v>
      </c>
    </row>
    <row r="2443">
      <c r="A2443" s="2">
        <f>IFERROR(__xludf.DUMMYFUNCTION("""COMPUTED_VALUE"""),39342.666666666664)</f>
        <v>39342.66667</v>
      </c>
      <c r="B2443" s="1">
        <f>IFERROR(__xludf.DUMMYFUNCTION("""COMPUTED_VALUE"""),2306.25)</f>
        <v>2306.25</v>
      </c>
    </row>
    <row r="2444">
      <c r="A2444" s="2">
        <f>IFERROR(__xludf.DUMMYFUNCTION("""COMPUTED_VALUE"""),39343.666666666664)</f>
        <v>39343.66667</v>
      </c>
      <c r="B2444" s="1">
        <f>IFERROR(__xludf.DUMMYFUNCTION("""COMPUTED_VALUE"""),2373.63)</f>
        <v>2373.63</v>
      </c>
    </row>
    <row r="2445">
      <c r="A2445" s="2">
        <f>IFERROR(__xludf.DUMMYFUNCTION("""COMPUTED_VALUE"""),39344.666666666664)</f>
        <v>39344.66667</v>
      </c>
      <c r="B2445" s="1">
        <f>IFERROR(__xludf.DUMMYFUNCTION("""COMPUTED_VALUE"""),2388.15)</f>
        <v>2388.15</v>
      </c>
    </row>
    <row r="2446">
      <c r="A2446" s="2">
        <f>IFERROR(__xludf.DUMMYFUNCTION("""COMPUTED_VALUE"""),39345.666666666664)</f>
        <v>39345.66667</v>
      </c>
      <c r="B2446" s="1">
        <f>IFERROR(__xludf.DUMMYFUNCTION("""COMPUTED_VALUE"""),2372.61)</f>
        <v>2372.61</v>
      </c>
    </row>
    <row r="2447">
      <c r="A2447" s="2">
        <f>IFERROR(__xludf.DUMMYFUNCTION("""COMPUTED_VALUE"""),39346.666666666664)</f>
        <v>39346.66667</v>
      </c>
      <c r="B2447" s="1">
        <f>IFERROR(__xludf.DUMMYFUNCTION("""COMPUTED_VALUE"""),2383.55)</f>
        <v>2383.55</v>
      </c>
    </row>
    <row r="2448">
      <c r="A2448" s="2">
        <f>IFERROR(__xludf.DUMMYFUNCTION("""COMPUTED_VALUE"""),39349.666666666664)</f>
        <v>39349.66667</v>
      </c>
      <c r="B2448" s="1">
        <f>IFERROR(__xludf.DUMMYFUNCTION("""COMPUTED_VALUE"""),2371.03)</f>
        <v>2371.03</v>
      </c>
    </row>
    <row r="2449">
      <c r="A2449" s="2">
        <f>IFERROR(__xludf.DUMMYFUNCTION("""COMPUTED_VALUE"""),39350.666666666664)</f>
        <v>39350.66667</v>
      </c>
      <c r="B2449" s="1">
        <f>IFERROR(__xludf.DUMMYFUNCTION("""COMPUTED_VALUE"""),2370.27)</f>
        <v>2370.27</v>
      </c>
    </row>
    <row r="2450">
      <c r="A2450" s="2">
        <f>IFERROR(__xludf.DUMMYFUNCTION("""COMPUTED_VALUE"""),39351.666666666664)</f>
        <v>39351.66667</v>
      </c>
      <c r="B2450" s="1">
        <f>IFERROR(__xludf.DUMMYFUNCTION("""COMPUTED_VALUE"""),2383.53)</f>
        <v>2383.53</v>
      </c>
    </row>
    <row r="2451">
      <c r="A2451" s="2">
        <f>IFERROR(__xludf.DUMMYFUNCTION("""COMPUTED_VALUE"""),39352.666666666664)</f>
        <v>39352.66667</v>
      </c>
      <c r="B2451" s="1">
        <f>IFERROR(__xludf.DUMMYFUNCTION("""COMPUTED_VALUE"""),2392.92)</f>
        <v>2392.92</v>
      </c>
    </row>
    <row r="2452">
      <c r="A2452" s="2">
        <f>IFERROR(__xludf.DUMMYFUNCTION("""COMPUTED_VALUE"""),39353.666666666664)</f>
        <v>39353.66667</v>
      </c>
      <c r="B2452" s="1">
        <f>IFERROR(__xludf.DUMMYFUNCTION("""COMPUTED_VALUE"""),2385.72)</f>
        <v>2385.72</v>
      </c>
    </row>
    <row r="2453">
      <c r="A2453" s="2">
        <f>IFERROR(__xludf.DUMMYFUNCTION("""COMPUTED_VALUE"""),39356.666666666664)</f>
        <v>39356.66667</v>
      </c>
      <c r="B2453" s="1">
        <f>IFERROR(__xludf.DUMMYFUNCTION("""COMPUTED_VALUE"""),2417.44)</f>
        <v>2417.44</v>
      </c>
    </row>
    <row r="2454">
      <c r="A2454" s="2">
        <f>IFERROR(__xludf.DUMMYFUNCTION("""COMPUTED_VALUE"""),39357.666666666664)</f>
        <v>39357.66667</v>
      </c>
      <c r="B2454" s="1">
        <f>IFERROR(__xludf.DUMMYFUNCTION("""COMPUTED_VALUE"""),2416.83)</f>
        <v>2416.83</v>
      </c>
    </row>
    <row r="2455">
      <c r="A2455" s="2">
        <f>IFERROR(__xludf.DUMMYFUNCTION("""COMPUTED_VALUE"""),39358.666666666664)</f>
        <v>39358.66667</v>
      </c>
      <c r="B2455" s="1">
        <f>IFERROR(__xludf.DUMMYFUNCTION("""COMPUTED_VALUE"""),2406.3)</f>
        <v>2406.3</v>
      </c>
    </row>
    <row r="2456">
      <c r="A2456" s="2">
        <f>IFERROR(__xludf.DUMMYFUNCTION("""COMPUTED_VALUE"""),39359.666666666664)</f>
        <v>39359.66667</v>
      </c>
      <c r="B2456" s="1">
        <f>IFERROR(__xludf.DUMMYFUNCTION("""COMPUTED_VALUE"""),2411.41)</f>
        <v>2411.41</v>
      </c>
    </row>
    <row r="2457">
      <c r="A2457" s="2">
        <f>IFERROR(__xludf.DUMMYFUNCTION("""COMPUTED_VALUE"""),39360.666666666664)</f>
        <v>39360.66667</v>
      </c>
      <c r="B2457" s="1">
        <f>IFERROR(__xludf.DUMMYFUNCTION("""COMPUTED_VALUE"""),2435.16)</f>
        <v>2435.16</v>
      </c>
    </row>
    <row r="2458">
      <c r="A2458" s="2">
        <f>IFERROR(__xludf.DUMMYFUNCTION("""COMPUTED_VALUE"""),39363.666666666664)</f>
        <v>39363.66667</v>
      </c>
      <c r="B2458" s="1">
        <f>IFERROR(__xludf.DUMMYFUNCTION("""COMPUTED_VALUE"""),2427.33)</f>
        <v>2427.33</v>
      </c>
    </row>
    <row r="2459">
      <c r="A2459" s="2">
        <f>IFERROR(__xludf.DUMMYFUNCTION("""COMPUTED_VALUE"""),39364.666666666664)</f>
        <v>39364.66667</v>
      </c>
      <c r="B2459" s="1">
        <f>IFERROR(__xludf.DUMMYFUNCTION("""COMPUTED_VALUE"""),2447.03)</f>
        <v>2447.03</v>
      </c>
    </row>
    <row r="2460">
      <c r="A2460" s="2">
        <f>IFERROR(__xludf.DUMMYFUNCTION("""COMPUTED_VALUE"""),39365.666666666664)</f>
        <v>39365.66667</v>
      </c>
      <c r="B2460" s="1">
        <f>IFERROR(__xludf.DUMMYFUNCTION("""COMPUTED_VALUE"""),2443.02)</f>
        <v>2443.02</v>
      </c>
    </row>
    <row r="2461">
      <c r="A2461" s="2">
        <f>IFERROR(__xludf.DUMMYFUNCTION("""COMPUTED_VALUE"""),39366.666666666664)</f>
        <v>39366.66667</v>
      </c>
      <c r="B2461" s="1">
        <f>IFERROR(__xludf.DUMMYFUNCTION("""COMPUTED_VALUE"""),2430.55)</f>
        <v>2430.55</v>
      </c>
    </row>
    <row r="2462">
      <c r="A2462" s="2">
        <f>IFERROR(__xludf.DUMMYFUNCTION("""COMPUTED_VALUE"""),39367.666666666664)</f>
        <v>39367.66667</v>
      </c>
      <c r="B2462" s="1">
        <f>IFERROR(__xludf.DUMMYFUNCTION("""COMPUTED_VALUE"""),2442.12)</f>
        <v>2442.12</v>
      </c>
    </row>
    <row r="2463">
      <c r="A2463" s="2">
        <f>IFERROR(__xludf.DUMMYFUNCTION("""COMPUTED_VALUE"""),39370.666666666664)</f>
        <v>39370.66667</v>
      </c>
      <c r="B2463" s="1">
        <f>IFERROR(__xludf.DUMMYFUNCTION("""COMPUTED_VALUE"""),2421.67)</f>
        <v>2421.67</v>
      </c>
    </row>
    <row r="2464">
      <c r="A2464" s="2">
        <f>IFERROR(__xludf.DUMMYFUNCTION("""COMPUTED_VALUE"""),39371.666666666664)</f>
        <v>39371.66667</v>
      </c>
      <c r="B2464" s="1">
        <f>IFERROR(__xludf.DUMMYFUNCTION("""COMPUTED_VALUE"""),2405.76)</f>
        <v>2405.76</v>
      </c>
    </row>
    <row r="2465">
      <c r="A2465" s="2">
        <f>IFERROR(__xludf.DUMMYFUNCTION("""COMPUTED_VALUE"""),39372.666666666664)</f>
        <v>39372.66667</v>
      </c>
      <c r="B2465" s="1">
        <f>IFERROR(__xludf.DUMMYFUNCTION("""COMPUTED_VALUE"""),2410.22)</f>
        <v>2410.22</v>
      </c>
    </row>
    <row r="2466">
      <c r="A2466" s="2">
        <f>IFERROR(__xludf.DUMMYFUNCTION("""COMPUTED_VALUE"""),39373.666666666664)</f>
        <v>39373.66667</v>
      </c>
      <c r="B2466" s="1">
        <f>IFERROR(__xludf.DUMMYFUNCTION("""COMPUTED_VALUE"""),2408.46)</f>
        <v>2408.46</v>
      </c>
    </row>
    <row r="2467">
      <c r="A2467" s="2">
        <f>IFERROR(__xludf.DUMMYFUNCTION("""COMPUTED_VALUE"""),39374.666666666664)</f>
        <v>39374.66667</v>
      </c>
      <c r="B2467" s="1">
        <f>IFERROR(__xludf.DUMMYFUNCTION("""COMPUTED_VALUE"""),2346.78)</f>
        <v>2346.78</v>
      </c>
    </row>
    <row r="2468">
      <c r="A2468" s="2">
        <f>IFERROR(__xludf.DUMMYFUNCTION("""COMPUTED_VALUE"""),39377.666666666664)</f>
        <v>39377.66667</v>
      </c>
      <c r="B2468" s="1">
        <f>IFERROR(__xludf.DUMMYFUNCTION("""COMPUTED_VALUE"""),2355.74)</f>
        <v>2355.74</v>
      </c>
    </row>
    <row r="2469">
      <c r="A2469" s="2">
        <f>IFERROR(__xludf.DUMMYFUNCTION("""COMPUTED_VALUE"""),39378.666666666664)</f>
        <v>39378.66667</v>
      </c>
      <c r="B2469" s="1">
        <f>IFERROR(__xludf.DUMMYFUNCTION("""COMPUTED_VALUE"""),2376.48)</f>
        <v>2376.48</v>
      </c>
    </row>
    <row r="2470">
      <c r="A2470" s="2">
        <f>IFERROR(__xludf.DUMMYFUNCTION("""COMPUTED_VALUE"""),39379.666666666664)</f>
        <v>39379.66667</v>
      </c>
      <c r="B2470" s="1">
        <f>IFERROR(__xludf.DUMMYFUNCTION("""COMPUTED_VALUE"""),2370.71)</f>
        <v>2370.71</v>
      </c>
    </row>
    <row r="2471">
      <c r="A2471" s="2">
        <f>IFERROR(__xludf.DUMMYFUNCTION("""COMPUTED_VALUE"""),39380.666666666664)</f>
        <v>39380.66667</v>
      </c>
      <c r="B2471" s="1">
        <f>IFERROR(__xludf.DUMMYFUNCTION("""COMPUTED_VALUE"""),2368.43)</f>
        <v>2368.43</v>
      </c>
    </row>
    <row r="2472">
      <c r="A2472" s="2">
        <f>IFERROR(__xludf.DUMMYFUNCTION("""COMPUTED_VALUE"""),39381.666666666664)</f>
        <v>39381.66667</v>
      </c>
      <c r="B2472" s="1">
        <f>IFERROR(__xludf.DUMMYFUNCTION("""COMPUTED_VALUE"""),2401.07)</f>
        <v>2401.07</v>
      </c>
    </row>
    <row r="2473">
      <c r="A2473" s="2">
        <f>IFERROR(__xludf.DUMMYFUNCTION("""COMPUTED_VALUE"""),39384.666666666664)</f>
        <v>39384.66667</v>
      </c>
      <c r="B2473" s="1">
        <f>IFERROR(__xludf.DUMMYFUNCTION("""COMPUTED_VALUE"""),2410.33)</f>
        <v>2410.33</v>
      </c>
    </row>
    <row r="2474">
      <c r="A2474" s="2">
        <f>IFERROR(__xludf.DUMMYFUNCTION("""COMPUTED_VALUE"""),39385.666666666664)</f>
        <v>39385.66667</v>
      </c>
      <c r="B2474" s="1">
        <f>IFERROR(__xludf.DUMMYFUNCTION("""COMPUTED_VALUE"""),2394.81)</f>
        <v>2394.81</v>
      </c>
    </row>
    <row r="2475">
      <c r="A2475" s="2">
        <f>IFERROR(__xludf.DUMMYFUNCTION("""COMPUTED_VALUE"""),39386.666666666664)</f>
        <v>39386.66667</v>
      </c>
      <c r="B2475" s="1">
        <f>IFERROR(__xludf.DUMMYFUNCTION("""COMPUTED_VALUE"""),2423.67)</f>
        <v>2423.67</v>
      </c>
    </row>
    <row r="2476">
      <c r="A2476" s="2">
        <f>IFERROR(__xludf.DUMMYFUNCTION("""COMPUTED_VALUE"""),39387.666666666664)</f>
        <v>39387.66667</v>
      </c>
      <c r="B2476" s="1">
        <f>IFERROR(__xludf.DUMMYFUNCTION("""COMPUTED_VALUE"""),2360.21)</f>
        <v>2360.21</v>
      </c>
    </row>
    <row r="2477">
      <c r="A2477" s="2">
        <f>IFERROR(__xludf.DUMMYFUNCTION("""COMPUTED_VALUE"""),39388.666666666664)</f>
        <v>39388.66667</v>
      </c>
      <c r="B2477" s="1">
        <f>IFERROR(__xludf.DUMMYFUNCTION("""COMPUTED_VALUE"""),2362.21)</f>
        <v>2362.21</v>
      </c>
    </row>
    <row r="2478">
      <c r="A2478" s="2">
        <f>IFERROR(__xludf.DUMMYFUNCTION("""COMPUTED_VALUE"""),39391.666666666664)</f>
        <v>39391.66667</v>
      </c>
      <c r="B2478" s="1">
        <f>IFERROR(__xludf.DUMMYFUNCTION("""COMPUTED_VALUE"""),2350.69)</f>
        <v>2350.69</v>
      </c>
    </row>
    <row r="2479">
      <c r="A2479" s="2">
        <f>IFERROR(__xludf.DUMMYFUNCTION("""COMPUTED_VALUE"""),39392.666666666664)</f>
        <v>39392.66667</v>
      </c>
      <c r="B2479" s="1">
        <f>IFERROR(__xludf.DUMMYFUNCTION("""COMPUTED_VALUE"""),2379.05)</f>
        <v>2379.05</v>
      </c>
    </row>
    <row r="2480">
      <c r="A2480" s="2">
        <f>IFERROR(__xludf.DUMMYFUNCTION("""COMPUTED_VALUE"""),39393.666666666664)</f>
        <v>39393.66667</v>
      </c>
      <c r="B2480" s="1">
        <f>IFERROR(__xludf.DUMMYFUNCTION("""COMPUTED_VALUE"""),2310.41)</f>
        <v>2310.41</v>
      </c>
    </row>
    <row r="2481">
      <c r="A2481" s="2">
        <f>IFERROR(__xludf.DUMMYFUNCTION("""COMPUTED_VALUE"""),39394.666666666664)</f>
        <v>39394.66667</v>
      </c>
      <c r="B2481" s="1">
        <f>IFERROR(__xludf.DUMMYFUNCTION("""COMPUTED_VALUE"""),2309.18)</f>
        <v>2309.18</v>
      </c>
    </row>
    <row r="2482">
      <c r="A2482" s="2">
        <f>IFERROR(__xludf.DUMMYFUNCTION("""COMPUTED_VALUE"""),39395.666666666664)</f>
        <v>39395.66667</v>
      </c>
      <c r="B2482" s="1">
        <f>IFERROR(__xludf.DUMMYFUNCTION("""COMPUTED_VALUE"""),2276.26)</f>
        <v>2276.26</v>
      </c>
    </row>
    <row r="2483">
      <c r="A2483" s="2">
        <f>IFERROR(__xludf.DUMMYFUNCTION("""COMPUTED_VALUE"""),39398.666666666664)</f>
        <v>39398.66667</v>
      </c>
      <c r="B2483" s="1">
        <f>IFERROR(__xludf.DUMMYFUNCTION("""COMPUTED_VALUE"""),2253.53)</f>
        <v>2253.53</v>
      </c>
    </row>
    <row r="2484">
      <c r="A2484" s="2">
        <f>IFERROR(__xludf.DUMMYFUNCTION("""COMPUTED_VALUE"""),39399.666666666664)</f>
        <v>39399.66667</v>
      </c>
      <c r="B2484" s="1">
        <f>IFERROR(__xludf.DUMMYFUNCTION("""COMPUTED_VALUE"""),2319.86)</f>
        <v>2319.86</v>
      </c>
    </row>
    <row r="2485">
      <c r="A2485" s="2">
        <f>IFERROR(__xludf.DUMMYFUNCTION("""COMPUTED_VALUE"""),39400.666666666664)</f>
        <v>39400.66667</v>
      </c>
      <c r="B2485" s="1">
        <f>IFERROR(__xludf.DUMMYFUNCTION("""COMPUTED_VALUE"""),2304.06)</f>
        <v>2304.06</v>
      </c>
    </row>
    <row r="2486">
      <c r="A2486" s="2">
        <f>IFERROR(__xludf.DUMMYFUNCTION("""COMPUTED_VALUE"""),39401.666666666664)</f>
        <v>39401.66667</v>
      </c>
      <c r="B2486" s="1">
        <f>IFERROR(__xludf.DUMMYFUNCTION("""COMPUTED_VALUE"""),2273.73)</f>
        <v>2273.73</v>
      </c>
    </row>
    <row r="2487">
      <c r="A2487" s="2">
        <f>IFERROR(__xludf.DUMMYFUNCTION("""COMPUTED_VALUE"""),39402.666666666664)</f>
        <v>39402.66667</v>
      </c>
      <c r="B2487" s="1">
        <f>IFERROR(__xludf.DUMMYFUNCTION("""COMPUTED_VALUE"""),2285.67)</f>
        <v>2285.67</v>
      </c>
    </row>
    <row r="2488">
      <c r="A2488" s="2">
        <f>IFERROR(__xludf.DUMMYFUNCTION("""COMPUTED_VALUE"""),39405.666666666664)</f>
        <v>39405.66667</v>
      </c>
      <c r="B2488" s="1">
        <f>IFERROR(__xludf.DUMMYFUNCTION("""COMPUTED_VALUE"""),2245.81)</f>
        <v>2245.81</v>
      </c>
    </row>
    <row r="2489">
      <c r="A2489" s="2">
        <f>IFERROR(__xludf.DUMMYFUNCTION("""COMPUTED_VALUE"""),39406.666666666664)</f>
        <v>39406.66667</v>
      </c>
      <c r="B2489" s="1">
        <f>IFERROR(__xludf.DUMMYFUNCTION("""COMPUTED_VALUE"""),2256.02)</f>
        <v>2256.02</v>
      </c>
    </row>
    <row r="2490">
      <c r="A2490" s="2">
        <f>IFERROR(__xludf.DUMMYFUNCTION("""COMPUTED_VALUE"""),39407.666666666664)</f>
        <v>39407.66667</v>
      </c>
      <c r="B2490" s="1">
        <f>IFERROR(__xludf.DUMMYFUNCTION("""COMPUTED_VALUE"""),2220.21)</f>
        <v>2220.21</v>
      </c>
    </row>
    <row r="2491">
      <c r="A2491" s="2">
        <f>IFERROR(__xludf.DUMMYFUNCTION("""COMPUTED_VALUE"""),39409.666666666664)</f>
        <v>39409.66667</v>
      </c>
      <c r="B2491" s="1">
        <f>IFERROR(__xludf.DUMMYFUNCTION("""COMPUTED_VALUE"""),2257.95)</f>
        <v>2257.95</v>
      </c>
    </row>
    <row r="2492">
      <c r="A2492" s="2">
        <f>IFERROR(__xludf.DUMMYFUNCTION("""COMPUTED_VALUE"""),39412.666666666664)</f>
        <v>39412.66667</v>
      </c>
      <c r="B2492" s="1">
        <f>IFERROR(__xludf.DUMMYFUNCTION("""COMPUTED_VALUE"""),2205.49)</f>
        <v>2205.49</v>
      </c>
    </row>
    <row r="2493">
      <c r="A2493" s="2">
        <f>IFERROR(__xludf.DUMMYFUNCTION("""COMPUTED_VALUE"""),39413.666666666664)</f>
        <v>39413.66667</v>
      </c>
      <c r="B2493" s="1">
        <f>IFERROR(__xludf.DUMMYFUNCTION("""COMPUTED_VALUE"""),2238.52)</f>
        <v>2238.52</v>
      </c>
    </row>
    <row r="2494">
      <c r="A2494" s="2">
        <f>IFERROR(__xludf.DUMMYFUNCTION("""COMPUTED_VALUE"""),39414.666666666664)</f>
        <v>39414.66667</v>
      </c>
      <c r="B2494" s="1">
        <f>IFERROR(__xludf.DUMMYFUNCTION("""COMPUTED_VALUE"""),2303.17)</f>
        <v>2303.17</v>
      </c>
    </row>
    <row r="2495">
      <c r="A2495" s="2">
        <f>IFERROR(__xludf.DUMMYFUNCTION("""COMPUTED_VALUE"""),39415.666666666664)</f>
        <v>39415.66667</v>
      </c>
      <c r="B2495" s="1">
        <f>IFERROR(__xludf.DUMMYFUNCTION("""COMPUTED_VALUE"""),2304.43)</f>
        <v>2304.43</v>
      </c>
    </row>
    <row r="2496">
      <c r="A2496" s="2">
        <f>IFERROR(__xludf.DUMMYFUNCTION("""COMPUTED_VALUE"""),39416.666666666664)</f>
        <v>39416.66667</v>
      </c>
      <c r="B2496" s="1">
        <f>IFERROR(__xludf.DUMMYFUNCTION("""COMPUTED_VALUE"""),2322.34)</f>
        <v>2322.34</v>
      </c>
    </row>
    <row r="2497">
      <c r="A2497" s="2">
        <f>IFERROR(__xludf.DUMMYFUNCTION("""COMPUTED_VALUE"""),39419.666666666664)</f>
        <v>39419.66667</v>
      </c>
      <c r="B2497" s="1">
        <f>IFERROR(__xludf.DUMMYFUNCTION("""COMPUTED_VALUE"""),2308.74)</f>
        <v>2308.74</v>
      </c>
    </row>
    <row r="2498">
      <c r="A2498" s="2">
        <f>IFERROR(__xludf.DUMMYFUNCTION("""COMPUTED_VALUE"""),39420.666666666664)</f>
        <v>39420.66667</v>
      </c>
      <c r="B2498" s="1">
        <f>IFERROR(__xludf.DUMMYFUNCTION("""COMPUTED_VALUE"""),2293.66)</f>
        <v>2293.66</v>
      </c>
    </row>
    <row r="2499">
      <c r="A2499" s="2">
        <f>IFERROR(__xludf.DUMMYFUNCTION("""COMPUTED_VALUE"""),39421.666666666664)</f>
        <v>39421.66667</v>
      </c>
      <c r="B2499" s="1">
        <f>IFERROR(__xludf.DUMMYFUNCTION("""COMPUTED_VALUE"""),2329.71)</f>
        <v>2329.71</v>
      </c>
    </row>
    <row r="2500">
      <c r="A2500" s="2">
        <f>IFERROR(__xludf.DUMMYFUNCTION("""COMPUTED_VALUE"""),39422.666666666664)</f>
        <v>39422.66667</v>
      </c>
      <c r="B2500" s="1">
        <f>IFERROR(__xludf.DUMMYFUNCTION("""COMPUTED_VALUE"""),2364.97)</f>
        <v>2364.97</v>
      </c>
    </row>
    <row r="2501">
      <c r="A2501" s="2">
        <f>IFERROR(__xludf.DUMMYFUNCTION("""COMPUTED_VALUE"""),39423.666666666664)</f>
        <v>39423.66667</v>
      </c>
      <c r="B2501" s="1">
        <f>IFERROR(__xludf.DUMMYFUNCTION("""COMPUTED_VALUE"""),2360.79)</f>
        <v>2360.79</v>
      </c>
    </row>
    <row r="2502">
      <c r="A2502" s="2">
        <f>IFERROR(__xludf.DUMMYFUNCTION("""COMPUTED_VALUE"""),39426.666666666664)</f>
        <v>39426.66667</v>
      </c>
      <c r="B2502" s="1">
        <f>IFERROR(__xludf.DUMMYFUNCTION("""COMPUTED_VALUE"""),2378.6)</f>
        <v>2378.6</v>
      </c>
    </row>
    <row r="2503">
      <c r="A2503" s="2">
        <f>IFERROR(__xludf.DUMMYFUNCTION("""COMPUTED_VALUE"""),39427.666666666664)</f>
        <v>39427.66667</v>
      </c>
      <c r="B2503" s="1">
        <f>IFERROR(__xludf.DUMMYFUNCTION("""COMPUTED_VALUE"""),2318.52)</f>
        <v>2318.52</v>
      </c>
    </row>
    <row r="2504">
      <c r="A2504" s="2">
        <f>IFERROR(__xludf.DUMMYFUNCTION("""COMPUTED_VALUE"""),39428.666666666664)</f>
        <v>39428.66667</v>
      </c>
      <c r="B2504" s="1">
        <f>IFERROR(__xludf.DUMMYFUNCTION("""COMPUTED_VALUE"""),2332.85)</f>
        <v>2332.85</v>
      </c>
    </row>
    <row r="2505">
      <c r="A2505" s="2">
        <f>IFERROR(__xludf.DUMMYFUNCTION("""COMPUTED_VALUE"""),39429.666666666664)</f>
        <v>39429.66667</v>
      </c>
      <c r="B2505" s="1">
        <f>IFERROR(__xludf.DUMMYFUNCTION("""COMPUTED_VALUE"""),2335.79)</f>
        <v>2335.79</v>
      </c>
    </row>
    <row r="2506">
      <c r="A2506" s="2">
        <f>IFERROR(__xludf.DUMMYFUNCTION("""COMPUTED_VALUE"""),39430.666666666664)</f>
        <v>39430.66667</v>
      </c>
      <c r="B2506" s="1">
        <f>IFERROR(__xludf.DUMMYFUNCTION("""COMPUTED_VALUE"""),2303.79)</f>
        <v>2303.79</v>
      </c>
    </row>
    <row r="2507">
      <c r="A2507" s="2">
        <f>IFERROR(__xludf.DUMMYFUNCTION("""COMPUTED_VALUE"""),39433.666666666664)</f>
        <v>39433.66667</v>
      </c>
      <c r="B2507" s="1">
        <f>IFERROR(__xludf.DUMMYFUNCTION("""COMPUTED_VALUE"""),2269.24)</f>
        <v>2269.24</v>
      </c>
    </row>
    <row r="2508">
      <c r="A2508" s="2">
        <f>IFERROR(__xludf.DUMMYFUNCTION("""COMPUTED_VALUE"""),39434.666666666664)</f>
        <v>39434.66667</v>
      </c>
      <c r="B2508" s="1">
        <f>IFERROR(__xludf.DUMMYFUNCTION("""COMPUTED_VALUE"""),2283.5)</f>
        <v>2283.5</v>
      </c>
    </row>
    <row r="2509">
      <c r="A2509" s="2">
        <f>IFERROR(__xludf.DUMMYFUNCTION("""COMPUTED_VALUE"""),39435.666666666664)</f>
        <v>39435.66667</v>
      </c>
      <c r="B2509" s="1">
        <f>IFERROR(__xludf.DUMMYFUNCTION("""COMPUTED_VALUE"""),2280.47)</f>
        <v>2280.47</v>
      </c>
    </row>
    <row r="2510">
      <c r="A2510" s="2">
        <f>IFERROR(__xludf.DUMMYFUNCTION("""COMPUTED_VALUE"""),39436.666666666664)</f>
        <v>39436.66667</v>
      </c>
      <c r="B2510" s="1">
        <f>IFERROR(__xludf.DUMMYFUNCTION("""COMPUTED_VALUE"""),2292.23)</f>
        <v>2292.23</v>
      </c>
    </row>
    <row r="2511">
      <c r="A2511" s="2">
        <f>IFERROR(__xludf.DUMMYFUNCTION("""COMPUTED_VALUE"""),39437.666666666664)</f>
        <v>39437.66667</v>
      </c>
      <c r="B2511" s="1">
        <f>IFERROR(__xludf.DUMMYFUNCTION("""COMPUTED_VALUE"""),2330.81)</f>
        <v>2330.81</v>
      </c>
    </row>
    <row r="2512">
      <c r="A2512" s="2">
        <f>IFERROR(__xludf.DUMMYFUNCTION("""COMPUTED_VALUE"""),39440.666666666664)</f>
        <v>39440.66667</v>
      </c>
      <c r="B2512" s="1">
        <f>IFERROR(__xludf.DUMMYFUNCTION("""COMPUTED_VALUE"""),2349.66)</f>
        <v>2349.66</v>
      </c>
    </row>
    <row r="2513">
      <c r="A2513" s="2">
        <f>IFERROR(__xludf.DUMMYFUNCTION("""COMPUTED_VALUE"""),39442.666666666664)</f>
        <v>39442.66667</v>
      </c>
      <c r="B2513" s="1">
        <f>IFERROR(__xludf.DUMMYFUNCTION("""COMPUTED_VALUE"""),2351.6)</f>
        <v>2351.6</v>
      </c>
    </row>
    <row r="2514">
      <c r="A2514" s="2">
        <f>IFERROR(__xludf.DUMMYFUNCTION("""COMPUTED_VALUE"""),39443.666666666664)</f>
        <v>39443.66667</v>
      </c>
      <c r="B2514" s="1">
        <f>IFERROR(__xludf.DUMMYFUNCTION("""COMPUTED_VALUE"""),2318.72)</f>
        <v>2318.72</v>
      </c>
    </row>
    <row r="2515">
      <c r="A2515" s="2">
        <f>IFERROR(__xludf.DUMMYFUNCTION("""COMPUTED_VALUE"""),39444.666666666664)</f>
        <v>39444.66667</v>
      </c>
      <c r="B2515" s="1">
        <f>IFERROR(__xludf.DUMMYFUNCTION("""COMPUTED_VALUE"""),2322.11)</f>
        <v>2322.11</v>
      </c>
    </row>
    <row r="2516">
      <c r="A2516" s="2">
        <f>IFERROR(__xludf.DUMMYFUNCTION("""COMPUTED_VALUE"""),39447.666666666664)</f>
        <v>39447.66667</v>
      </c>
      <c r="B2516" s="1">
        <f>IFERROR(__xludf.DUMMYFUNCTION("""COMPUTED_VALUE"""),2306.23)</f>
        <v>2306.23</v>
      </c>
    </row>
    <row r="2517">
      <c r="A2517" s="2">
        <f>IFERROR(__xludf.DUMMYFUNCTION("""COMPUTED_VALUE"""),39449.666666666664)</f>
        <v>39449.66667</v>
      </c>
      <c r="B2517" s="1">
        <f>IFERROR(__xludf.DUMMYFUNCTION("""COMPUTED_VALUE"""),2273.41)</f>
        <v>2273.41</v>
      </c>
    </row>
    <row r="2518">
      <c r="A2518" s="2">
        <f>IFERROR(__xludf.DUMMYFUNCTION("""COMPUTED_VALUE"""),39450.666666666664)</f>
        <v>39450.66667</v>
      </c>
      <c r="B2518" s="1">
        <f>IFERROR(__xludf.DUMMYFUNCTION("""COMPUTED_VALUE"""),2273.41)</f>
        <v>2273.41</v>
      </c>
    </row>
    <row r="2519">
      <c r="A2519" s="2">
        <f>IFERROR(__xludf.DUMMYFUNCTION("""COMPUTED_VALUE"""),39451.666666666664)</f>
        <v>39451.66667</v>
      </c>
      <c r="B2519" s="1">
        <f>IFERROR(__xludf.DUMMYFUNCTION("""COMPUTED_VALUE"""),2217.59)</f>
        <v>2217.59</v>
      </c>
    </row>
    <row r="2520">
      <c r="A2520" s="2">
        <f>IFERROR(__xludf.DUMMYFUNCTION("""COMPUTED_VALUE"""),39454.666666666664)</f>
        <v>39454.66667</v>
      </c>
      <c r="B2520" s="1">
        <f>IFERROR(__xludf.DUMMYFUNCTION("""COMPUTED_VALUE"""),2224.76)</f>
        <v>2224.76</v>
      </c>
    </row>
    <row r="2521">
      <c r="A2521" s="2">
        <f>IFERROR(__xludf.DUMMYFUNCTION("""COMPUTED_VALUE"""),39455.666666666664)</f>
        <v>39455.66667</v>
      </c>
      <c r="B2521" s="1">
        <f>IFERROR(__xludf.DUMMYFUNCTION("""COMPUTED_VALUE"""),2184.67)</f>
        <v>2184.67</v>
      </c>
    </row>
    <row r="2522">
      <c r="A2522" s="2">
        <f>IFERROR(__xludf.DUMMYFUNCTION("""COMPUTED_VALUE"""),39456.666666666664)</f>
        <v>39456.66667</v>
      </c>
      <c r="B2522" s="1">
        <f>IFERROR(__xludf.DUMMYFUNCTION("""COMPUTED_VALUE"""),2214.6)</f>
        <v>2214.6</v>
      </c>
    </row>
    <row r="2523">
      <c r="A2523" s="2">
        <f>IFERROR(__xludf.DUMMYFUNCTION("""COMPUTED_VALUE"""),39457.666666666664)</f>
        <v>39457.66667</v>
      </c>
      <c r="B2523" s="1">
        <f>IFERROR(__xludf.DUMMYFUNCTION("""COMPUTED_VALUE"""),2232.25)</f>
        <v>2232.25</v>
      </c>
    </row>
    <row r="2524">
      <c r="A2524" s="2">
        <f>IFERROR(__xludf.DUMMYFUNCTION("""COMPUTED_VALUE"""),39458.666666666664)</f>
        <v>39458.66667</v>
      </c>
      <c r="B2524" s="1">
        <f>IFERROR(__xludf.DUMMYFUNCTION("""COMPUTED_VALUE"""),2202.03)</f>
        <v>2202.03</v>
      </c>
    </row>
    <row r="2525">
      <c r="A2525" s="2">
        <f>IFERROR(__xludf.DUMMYFUNCTION("""COMPUTED_VALUE"""),39461.666666666664)</f>
        <v>39461.66667</v>
      </c>
      <c r="B2525" s="1">
        <f>IFERROR(__xludf.DUMMYFUNCTION("""COMPUTED_VALUE"""),2225.98)</f>
        <v>2225.98</v>
      </c>
    </row>
    <row r="2526">
      <c r="A2526" s="2">
        <f>IFERROR(__xludf.DUMMYFUNCTION("""COMPUTED_VALUE"""),39462.666666666664)</f>
        <v>39462.66667</v>
      </c>
      <c r="B2526" s="1">
        <f>IFERROR(__xludf.DUMMYFUNCTION("""COMPUTED_VALUE"""),2170.51)</f>
        <v>2170.51</v>
      </c>
    </row>
    <row r="2527">
      <c r="A2527" s="2">
        <f>IFERROR(__xludf.DUMMYFUNCTION("""COMPUTED_VALUE"""),39463.666666666664)</f>
        <v>39463.66667</v>
      </c>
      <c r="B2527" s="1">
        <f>IFERROR(__xludf.DUMMYFUNCTION("""COMPUTED_VALUE"""),2158.57)</f>
        <v>2158.57</v>
      </c>
    </row>
    <row r="2528">
      <c r="A2528" s="2">
        <f>IFERROR(__xludf.DUMMYFUNCTION("""COMPUTED_VALUE"""),39464.666666666664)</f>
        <v>39464.66667</v>
      </c>
      <c r="B2528" s="1">
        <f>IFERROR(__xludf.DUMMYFUNCTION("""COMPUTED_VALUE"""),2095.86)</f>
        <v>2095.86</v>
      </c>
    </row>
    <row r="2529">
      <c r="A2529" s="2">
        <f>IFERROR(__xludf.DUMMYFUNCTION("""COMPUTED_VALUE"""),39465.666666666664)</f>
        <v>39465.66667</v>
      </c>
      <c r="B2529" s="1">
        <f>IFERROR(__xludf.DUMMYFUNCTION("""COMPUTED_VALUE"""),2083.24)</f>
        <v>2083.24</v>
      </c>
    </row>
    <row r="2530">
      <c r="A2530" s="2">
        <f>IFERROR(__xludf.DUMMYFUNCTION("""COMPUTED_VALUE"""),39469.666666666664)</f>
        <v>39469.66667</v>
      </c>
      <c r="B2530" s="1">
        <f>IFERROR(__xludf.DUMMYFUNCTION("""COMPUTED_VALUE"""),2060.15)</f>
        <v>2060.15</v>
      </c>
    </row>
    <row r="2531">
      <c r="A2531" s="2">
        <f>IFERROR(__xludf.DUMMYFUNCTION("""COMPUTED_VALUE"""),39470.666666666664)</f>
        <v>39470.66667</v>
      </c>
      <c r="B2531" s="1">
        <f>IFERROR(__xludf.DUMMYFUNCTION("""COMPUTED_VALUE"""),2104.37)</f>
        <v>2104.37</v>
      </c>
    </row>
    <row r="2532">
      <c r="A2532" s="2">
        <f>IFERROR(__xludf.DUMMYFUNCTION("""COMPUTED_VALUE"""),39471.666666666664)</f>
        <v>39471.66667</v>
      </c>
      <c r="B2532" s="1">
        <f>IFERROR(__xludf.DUMMYFUNCTION("""COMPUTED_VALUE"""),2125.61)</f>
        <v>2125.61</v>
      </c>
    </row>
    <row r="2533">
      <c r="A2533" s="2">
        <f>IFERROR(__xludf.DUMMYFUNCTION("""COMPUTED_VALUE"""),39472.666666666664)</f>
        <v>39472.66667</v>
      </c>
      <c r="B2533" s="1">
        <f>IFERROR(__xludf.DUMMYFUNCTION("""COMPUTED_VALUE"""),2091.88)</f>
        <v>2091.88</v>
      </c>
    </row>
    <row r="2534">
      <c r="A2534" s="2">
        <f>IFERROR(__xludf.DUMMYFUNCTION("""COMPUTED_VALUE"""),39475.666666666664)</f>
        <v>39475.66667</v>
      </c>
      <c r="B2534" s="1">
        <f>IFERROR(__xludf.DUMMYFUNCTION("""COMPUTED_VALUE"""),2128.64)</f>
        <v>2128.64</v>
      </c>
    </row>
    <row r="2535">
      <c r="A2535" s="2">
        <f>IFERROR(__xludf.DUMMYFUNCTION("""COMPUTED_VALUE"""),39476.666666666664)</f>
        <v>39476.66667</v>
      </c>
      <c r="B2535" s="1">
        <f>IFERROR(__xludf.DUMMYFUNCTION("""COMPUTED_VALUE"""),2141.85)</f>
        <v>2141.85</v>
      </c>
    </row>
    <row r="2536">
      <c r="A2536" s="2">
        <f>IFERROR(__xludf.DUMMYFUNCTION("""COMPUTED_VALUE"""),39477.666666666664)</f>
        <v>39477.66667</v>
      </c>
      <c r="B2536" s="1">
        <f>IFERROR(__xludf.DUMMYFUNCTION("""COMPUTED_VALUE"""),2131.79)</f>
        <v>2131.79</v>
      </c>
    </row>
    <row r="2537">
      <c r="A2537" s="2">
        <f>IFERROR(__xludf.DUMMYFUNCTION("""COMPUTED_VALUE"""),39478.666666666664)</f>
        <v>39478.66667</v>
      </c>
      <c r="B2537" s="1">
        <f>IFERROR(__xludf.DUMMYFUNCTION("""COMPUTED_VALUE"""),2167.9)</f>
        <v>2167.9</v>
      </c>
    </row>
    <row r="2538">
      <c r="A2538" s="2">
        <f>IFERROR(__xludf.DUMMYFUNCTION("""COMPUTED_VALUE"""),39479.666666666664)</f>
        <v>39479.66667</v>
      </c>
      <c r="B2538" s="1">
        <f>IFERROR(__xludf.DUMMYFUNCTION("""COMPUTED_VALUE"""),2194.43)</f>
        <v>2194.43</v>
      </c>
    </row>
    <row r="2539">
      <c r="A2539" s="2">
        <f>IFERROR(__xludf.DUMMYFUNCTION("""COMPUTED_VALUE"""),39482.666666666664)</f>
        <v>39482.66667</v>
      </c>
      <c r="B2539" s="1">
        <f>IFERROR(__xludf.DUMMYFUNCTION("""COMPUTED_VALUE"""),2171.51)</f>
        <v>2171.51</v>
      </c>
    </row>
    <row r="2540">
      <c r="A2540" s="2">
        <f>IFERROR(__xludf.DUMMYFUNCTION("""COMPUTED_VALUE"""),39483.666666666664)</f>
        <v>39483.66667</v>
      </c>
      <c r="B2540" s="1">
        <f>IFERROR(__xludf.DUMMYFUNCTION("""COMPUTED_VALUE"""),2102.23)</f>
        <v>2102.23</v>
      </c>
    </row>
    <row r="2541">
      <c r="A2541" s="2">
        <f>IFERROR(__xludf.DUMMYFUNCTION("""COMPUTED_VALUE"""),39484.666666666664)</f>
        <v>39484.66667</v>
      </c>
      <c r="B2541" s="1">
        <f>IFERROR(__xludf.DUMMYFUNCTION("""COMPUTED_VALUE"""),2087.05)</f>
        <v>2087.05</v>
      </c>
    </row>
    <row r="2542">
      <c r="A2542" s="2">
        <f>IFERROR(__xludf.DUMMYFUNCTION("""COMPUTED_VALUE"""),39485.666666666664)</f>
        <v>39485.66667</v>
      </c>
      <c r="B2542" s="1">
        <f>IFERROR(__xludf.DUMMYFUNCTION("""COMPUTED_VALUE"""),2104.02)</f>
        <v>2104.02</v>
      </c>
    </row>
    <row r="2543">
      <c r="A2543" s="2">
        <f>IFERROR(__xludf.DUMMYFUNCTION("""COMPUTED_VALUE"""),39486.666666666664)</f>
        <v>39486.66667</v>
      </c>
      <c r="B2543" s="1">
        <f>IFERROR(__xludf.DUMMYFUNCTION("""COMPUTED_VALUE"""),2095.21)</f>
        <v>2095.21</v>
      </c>
    </row>
    <row r="2544">
      <c r="A2544" s="2">
        <f>IFERROR(__xludf.DUMMYFUNCTION("""COMPUTED_VALUE"""),39489.666666666664)</f>
        <v>39489.66667</v>
      </c>
      <c r="B2544" s="1">
        <f>IFERROR(__xludf.DUMMYFUNCTION("""COMPUTED_VALUE"""),2107.65)</f>
        <v>2107.65</v>
      </c>
    </row>
    <row r="2545">
      <c r="A2545" s="2">
        <f>IFERROR(__xludf.DUMMYFUNCTION("""COMPUTED_VALUE"""),39490.666666666664)</f>
        <v>39490.66667</v>
      </c>
      <c r="B2545" s="1">
        <f>IFERROR(__xludf.DUMMYFUNCTION("""COMPUTED_VALUE"""),2123.06)</f>
        <v>2123.06</v>
      </c>
    </row>
    <row r="2546">
      <c r="A2546" s="2">
        <f>IFERROR(__xludf.DUMMYFUNCTION("""COMPUTED_VALUE"""),39491.666666666664)</f>
        <v>39491.66667</v>
      </c>
      <c r="B2546" s="1">
        <f>IFERROR(__xludf.DUMMYFUNCTION("""COMPUTED_VALUE"""),2152.76)</f>
        <v>2152.76</v>
      </c>
    </row>
    <row r="2547">
      <c r="A2547" s="2">
        <f>IFERROR(__xludf.DUMMYFUNCTION("""COMPUTED_VALUE"""),39492.666666666664)</f>
        <v>39492.66667</v>
      </c>
      <c r="B2547" s="1">
        <f>IFERROR(__xludf.DUMMYFUNCTION("""COMPUTED_VALUE"""),2123.94)</f>
        <v>2123.94</v>
      </c>
    </row>
    <row r="2548">
      <c r="A2548" s="2">
        <f>IFERROR(__xludf.DUMMYFUNCTION("""COMPUTED_VALUE"""),39493.666666666664)</f>
        <v>39493.66667</v>
      </c>
      <c r="B2548" s="1">
        <f>IFERROR(__xludf.DUMMYFUNCTION("""COMPUTED_VALUE"""),2125.85)</f>
        <v>2125.85</v>
      </c>
    </row>
    <row r="2549">
      <c r="A2549" s="2">
        <f>IFERROR(__xludf.DUMMYFUNCTION("""COMPUTED_VALUE"""),39497.666666666664)</f>
        <v>39497.66667</v>
      </c>
      <c r="B2549" s="1">
        <f>IFERROR(__xludf.DUMMYFUNCTION("""COMPUTED_VALUE"""),2124.12)</f>
        <v>2124.12</v>
      </c>
    </row>
    <row r="2550">
      <c r="A2550" s="2">
        <f>IFERROR(__xludf.DUMMYFUNCTION("""COMPUTED_VALUE"""),39498.666666666664)</f>
        <v>39498.66667</v>
      </c>
      <c r="B2550" s="1">
        <f>IFERROR(__xludf.DUMMYFUNCTION("""COMPUTED_VALUE"""),2141.95)</f>
        <v>2141.95</v>
      </c>
    </row>
    <row r="2551">
      <c r="A2551" s="2">
        <f>IFERROR(__xludf.DUMMYFUNCTION("""COMPUTED_VALUE"""),39499.666666666664)</f>
        <v>39499.66667</v>
      </c>
      <c r="B2551" s="1">
        <f>IFERROR(__xludf.DUMMYFUNCTION("""COMPUTED_VALUE"""),2115.13)</f>
        <v>2115.13</v>
      </c>
    </row>
    <row r="2552">
      <c r="A2552" s="2">
        <f>IFERROR(__xludf.DUMMYFUNCTION("""COMPUTED_VALUE"""),39500.666666666664)</f>
        <v>39500.66667</v>
      </c>
      <c r="B2552" s="1">
        <f>IFERROR(__xludf.DUMMYFUNCTION("""COMPUTED_VALUE"""),2132.02)</f>
        <v>2132.02</v>
      </c>
    </row>
    <row r="2553">
      <c r="A2553" s="2">
        <f>IFERROR(__xludf.DUMMYFUNCTION("""COMPUTED_VALUE"""),39503.666666666664)</f>
        <v>39503.66667</v>
      </c>
      <c r="B2553" s="1">
        <f>IFERROR(__xludf.DUMMYFUNCTION("""COMPUTED_VALUE"""),2161.51)</f>
        <v>2161.51</v>
      </c>
    </row>
    <row r="2554">
      <c r="A2554" s="2">
        <f>IFERROR(__xludf.DUMMYFUNCTION("""COMPUTED_VALUE"""),39504.666666666664)</f>
        <v>39504.66667</v>
      </c>
      <c r="B2554" s="1">
        <f>IFERROR(__xludf.DUMMYFUNCTION("""COMPUTED_VALUE"""),2176.48)</f>
        <v>2176.48</v>
      </c>
    </row>
    <row r="2555">
      <c r="A2555" s="2">
        <f>IFERROR(__xludf.DUMMYFUNCTION("""COMPUTED_VALUE"""),39505.666666666664)</f>
        <v>39505.66667</v>
      </c>
      <c r="B2555" s="1">
        <f>IFERROR(__xludf.DUMMYFUNCTION("""COMPUTED_VALUE"""),2175.0)</f>
        <v>2175</v>
      </c>
    </row>
    <row r="2556">
      <c r="A2556" s="2">
        <f>IFERROR(__xludf.DUMMYFUNCTION("""COMPUTED_VALUE"""),39506.666666666664)</f>
        <v>39506.66667</v>
      </c>
      <c r="B2556" s="1">
        <f>IFERROR(__xludf.DUMMYFUNCTION("""COMPUTED_VALUE"""),2155.8)</f>
        <v>2155.8</v>
      </c>
    </row>
    <row r="2557">
      <c r="A2557" s="2">
        <f>IFERROR(__xludf.DUMMYFUNCTION("""COMPUTED_VALUE"""),39507.666666666664)</f>
        <v>39507.66667</v>
      </c>
      <c r="B2557" s="1">
        <f>IFERROR(__xludf.DUMMYFUNCTION("""COMPUTED_VALUE"""),2097.48)</f>
        <v>2097.48</v>
      </c>
    </row>
    <row r="2558">
      <c r="A2558" s="2">
        <f>IFERROR(__xludf.DUMMYFUNCTION("""COMPUTED_VALUE"""),39510.666666666664)</f>
        <v>39510.66667</v>
      </c>
      <c r="B2558" s="1">
        <f>IFERROR(__xludf.DUMMYFUNCTION("""COMPUTED_VALUE"""),2098.64)</f>
        <v>2098.64</v>
      </c>
    </row>
    <row r="2559">
      <c r="A2559" s="2">
        <f>IFERROR(__xludf.DUMMYFUNCTION("""COMPUTED_VALUE"""),39511.666666666664)</f>
        <v>39511.66667</v>
      </c>
      <c r="B2559" s="1">
        <f>IFERROR(__xludf.DUMMYFUNCTION("""COMPUTED_VALUE"""),2091.42)</f>
        <v>2091.42</v>
      </c>
    </row>
    <row r="2560">
      <c r="A2560" s="2">
        <f>IFERROR(__xludf.DUMMYFUNCTION("""COMPUTED_VALUE"""),39512.666666666664)</f>
        <v>39512.66667</v>
      </c>
      <c r="B2560" s="1">
        <f>IFERROR(__xludf.DUMMYFUNCTION("""COMPUTED_VALUE"""),2103.42)</f>
        <v>2103.42</v>
      </c>
    </row>
    <row r="2561">
      <c r="A2561" s="2">
        <f>IFERROR(__xludf.DUMMYFUNCTION("""COMPUTED_VALUE"""),39513.666666666664)</f>
        <v>39513.66667</v>
      </c>
      <c r="B2561" s="1">
        <f>IFERROR(__xludf.DUMMYFUNCTION("""COMPUTED_VALUE"""),2057.44)</f>
        <v>2057.44</v>
      </c>
    </row>
    <row r="2562">
      <c r="A2562" s="2">
        <f>IFERROR(__xludf.DUMMYFUNCTION("""COMPUTED_VALUE"""),39514.666666666664)</f>
        <v>39514.66667</v>
      </c>
      <c r="B2562" s="1">
        <f>IFERROR(__xludf.DUMMYFUNCTION("""COMPUTED_VALUE"""),2040.17)</f>
        <v>2040.17</v>
      </c>
    </row>
    <row r="2563">
      <c r="A2563" s="2">
        <f>IFERROR(__xludf.DUMMYFUNCTION("""COMPUTED_VALUE"""),39517.666666666664)</f>
        <v>39517.66667</v>
      </c>
      <c r="B2563" s="1">
        <f>IFERROR(__xludf.DUMMYFUNCTION("""COMPUTED_VALUE"""),2008.71)</f>
        <v>2008.71</v>
      </c>
    </row>
    <row r="2564">
      <c r="A2564" s="2">
        <f>IFERROR(__xludf.DUMMYFUNCTION("""COMPUTED_VALUE"""),39518.666666666664)</f>
        <v>39518.66667</v>
      </c>
      <c r="B2564" s="1">
        <f>IFERROR(__xludf.DUMMYFUNCTION("""COMPUTED_VALUE"""),2083.36)</f>
        <v>2083.36</v>
      </c>
    </row>
    <row r="2565">
      <c r="A2565" s="2">
        <f>IFERROR(__xludf.DUMMYFUNCTION("""COMPUTED_VALUE"""),39519.666666666664)</f>
        <v>39519.66667</v>
      </c>
      <c r="B2565" s="1">
        <f>IFERROR(__xludf.DUMMYFUNCTION("""COMPUTED_VALUE"""),2065.21)</f>
        <v>2065.21</v>
      </c>
    </row>
    <row r="2566">
      <c r="A2566" s="2">
        <f>IFERROR(__xludf.DUMMYFUNCTION("""COMPUTED_VALUE"""),39520.666666666664)</f>
        <v>39520.66667</v>
      </c>
      <c r="B2566" s="1">
        <f>IFERROR(__xludf.DUMMYFUNCTION("""COMPUTED_VALUE"""),2075.88)</f>
        <v>2075.88</v>
      </c>
    </row>
    <row r="2567">
      <c r="A2567" s="2">
        <f>IFERROR(__xludf.DUMMYFUNCTION("""COMPUTED_VALUE"""),39521.666666666664)</f>
        <v>39521.66667</v>
      </c>
      <c r="B2567" s="1">
        <f>IFERROR(__xludf.DUMMYFUNCTION("""COMPUTED_VALUE"""),2032.79)</f>
        <v>2032.79</v>
      </c>
    </row>
    <row r="2568">
      <c r="A2568" s="2">
        <f>IFERROR(__xludf.DUMMYFUNCTION("""COMPUTED_VALUE"""),39524.666666666664)</f>
        <v>39524.66667</v>
      </c>
      <c r="B2568" s="1">
        <f>IFERROR(__xludf.DUMMYFUNCTION("""COMPUTED_VALUE"""),2014.88)</f>
        <v>2014.88</v>
      </c>
    </row>
    <row r="2569">
      <c r="A2569" s="2">
        <f>IFERROR(__xludf.DUMMYFUNCTION("""COMPUTED_VALUE"""),39525.666666666664)</f>
        <v>39525.66667</v>
      </c>
      <c r="B2569" s="1">
        <f>IFERROR(__xludf.DUMMYFUNCTION("""COMPUTED_VALUE"""),2100.38)</f>
        <v>2100.38</v>
      </c>
    </row>
    <row r="2570">
      <c r="A2570" s="2">
        <f>IFERROR(__xludf.DUMMYFUNCTION("""COMPUTED_VALUE"""),39526.666666666664)</f>
        <v>39526.66667</v>
      </c>
      <c r="B2570" s="1">
        <f>IFERROR(__xludf.DUMMYFUNCTION("""COMPUTED_VALUE"""),2049.4)</f>
        <v>2049.4</v>
      </c>
    </row>
    <row r="2571">
      <c r="A2571" s="2">
        <f>IFERROR(__xludf.DUMMYFUNCTION("""COMPUTED_VALUE"""),39527.666666666664)</f>
        <v>39527.66667</v>
      </c>
      <c r="B2571" s="1">
        <f>IFERROR(__xludf.DUMMYFUNCTION("""COMPUTED_VALUE"""),2098.46)</f>
        <v>2098.46</v>
      </c>
    </row>
    <row r="2572">
      <c r="A2572" s="2">
        <f>IFERROR(__xludf.DUMMYFUNCTION("""COMPUTED_VALUE"""),39531.666666666664)</f>
        <v>39531.66667</v>
      </c>
      <c r="B2572" s="1">
        <f>IFERROR(__xludf.DUMMYFUNCTION("""COMPUTED_VALUE"""),2130.62)</f>
        <v>2130.62</v>
      </c>
    </row>
    <row r="2573">
      <c r="A2573" s="2">
        <f>IFERROR(__xludf.DUMMYFUNCTION("""COMPUTED_VALUE"""),39532.666666666664)</f>
        <v>39532.66667</v>
      </c>
      <c r="B2573" s="1">
        <f>IFERROR(__xludf.DUMMYFUNCTION("""COMPUTED_VALUE"""),2135.54)</f>
        <v>2135.54</v>
      </c>
    </row>
    <row r="2574">
      <c r="A2574" s="2">
        <f>IFERROR(__xludf.DUMMYFUNCTION("""COMPUTED_VALUE"""),39533.666666666664)</f>
        <v>39533.66667</v>
      </c>
      <c r="B2574" s="1">
        <f>IFERROR(__xludf.DUMMYFUNCTION("""COMPUTED_VALUE"""),2116.93)</f>
        <v>2116.93</v>
      </c>
    </row>
    <row r="2575">
      <c r="A2575" s="2">
        <f>IFERROR(__xludf.DUMMYFUNCTION("""COMPUTED_VALUE"""),39534.666666666664)</f>
        <v>39534.66667</v>
      </c>
      <c r="B2575" s="1">
        <f>IFERROR(__xludf.DUMMYFUNCTION("""COMPUTED_VALUE"""),2093.11)</f>
        <v>2093.11</v>
      </c>
    </row>
    <row r="2576">
      <c r="A2576" s="2">
        <f>IFERROR(__xludf.DUMMYFUNCTION("""COMPUTED_VALUE"""),39535.666666666664)</f>
        <v>39535.66667</v>
      </c>
      <c r="B2576" s="1">
        <f>IFERROR(__xludf.DUMMYFUNCTION("""COMPUTED_VALUE"""),2076.56)</f>
        <v>2076.56</v>
      </c>
    </row>
    <row r="2577">
      <c r="A2577" s="2">
        <f>IFERROR(__xludf.DUMMYFUNCTION("""COMPUTED_VALUE"""),39538.666666666664)</f>
        <v>39538.66667</v>
      </c>
      <c r="B2577" s="1">
        <f>IFERROR(__xludf.DUMMYFUNCTION("""COMPUTED_VALUE"""),2088.42)</f>
        <v>2088.42</v>
      </c>
    </row>
    <row r="2578">
      <c r="A2578" s="2">
        <f>IFERROR(__xludf.DUMMYFUNCTION("""COMPUTED_VALUE"""),39539.666666666664)</f>
        <v>39539.66667</v>
      </c>
      <c r="B2578" s="1">
        <f>IFERROR(__xludf.DUMMYFUNCTION("""COMPUTED_VALUE"""),2163.38)</f>
        <v>2163.38</v>
      </c>
    </row>
    <row r="2579">
      <c r="A2579" s="2">
        <f>IFERROR(__xludf.DUMMYFUNCTION("""COMPUTED_VALUE"""),39540.666666666664)</f>
        <v>39540.66667</v>
      </c>
      <c r="B2579" s="1">
        <f>IFERROR(__xludf.DUMMYFUNCTION("""COMPUTED_VALUE"""),2159.63)</f>
        <v>2159.63</v>
      </c>
    </row>
    <row r="2580">
      <c r="A2580" s="2">
        <f>IFERROR(__xludf.DUMMYFUNCTION("""COMPUTED_VALUE"""),39541.666666666664)</f>
        <v>39541.66667</v>
      </c>
      <c r="B2580" s="1">
        <f>IFERROR(__xludf.DUMMYFUNCTION("""COMPUTED_VALUE"""),2162.46)</f>
        <v>2162.46</v>
      </c>
    </row>
    <row r="2581">
      <c r="A2581" s="2">
        <f>IFERROR(__xludf.DUMMYFUNCTION("""COMPUTED_VALUE"""),39542.666666666664)</f>
        <v>39542.66667</v>
      </c>
      <c r="B2581" s="1">
        <f>IFERROR(__xludf.DUMMYFUNCTION("""COMPUTED_VALUE"""),2164.21)</f>
        <v>2164.21</v>
      </c>
    </row>
    <row r="2582">
      <c r="A2582" s="2">
        <f>IFERROR(__xludf.DUMMYFUNCTION("""COMPUTED_VALUE"""),39545.666666666664)</f>
        <v>39545.66667</v>
      </c>
      <c r="B2582" s="1">
        <f>IFERROR(__xludf.DUMMYFUNCTION("""COMPUTED_VALUE"""),2167.61)</f>
        <v>2167.61</v>
      </c>
    </row>
    <row r="2583">
      <c r="A2583" s="2">
        <f>IFERROR(__xludf.DUMMYFUNCTION("""COMPUTED_VALUE"""),39546.666666666664)</f>
        <v>39546.66667</v>
      </c>
      <c r="B2583" s="1">
        <f>IFERROR(__xludf.DUMMYFUNCTION("""COMPUTED_VALUE"""),2157.28)</f>
        <v>2157.28</v>
      </c>
    </row>
    <row r="2584">
      <c r="A2584" s="2">
        <f>IFERROR(__xludf.DUMMYFUNCTION("""COMPUTED_VALUE"""),39547.666666666664)</f>
        <v>39547.66667</v>
      </c>
      <c r="B2584" s="1">
        <f>IFERROR(__xludf.DUMMYFUNCTION("""COMPUTED_VALUE"""),2139.99)</f>
        <v>2139.99</v>
      </c>
    </row>
    <row r="2585">
      <c r="A2585" s="2">
        <f>IFERROR(__xludf.DUMMYFUNCTION("""COMPUTED_VALUE"""),39548.666666666664)</f>
        <v>39548.66667</v>
      </c>
      <c r="B2585" s="1">
        <f>IFERROR(__xludf.DUMMYFUNCTION("""COMPUTED_VALUE"""),2149.67)</f>
        <v>2149.67</v>
      </c>
    </row>
    <row r="2586">
      <c r="A2586" s="2">
        <f>IFERROR(__xludf.DUMMYFUNCTION("""COMPUTED_VALUE"""),39549.666666666664)</f>
        <v>39549.66667</v>
      </c>
      <c r="B2586" s="1">
        <f>IFERROR(__xludf.DUMMYFUNCTION("""COMPUTED_VALUE"""),2106.01)</f>
        <v>2106.01</v>
      </c>
    </row>
    <row r="2587">
      <c r="A2587" s="2">
        <f>IFERROR(__xludf.DUMMYFUNCTION("""COMPUTED_VALUE"""),39552.666666666664)</f>
        <v>39552.66667</v>
      </c>
      <c r="B2587" s="1">
        <f>IFERROR(__xludf.DUMMYFUNCTION("""COMPUTED_VALUE"""),2098.92)</f>
        <v>2098.92</v>
      </c>
    </row>
    <row r="2588">
      <c r="A2588" s="2">
        <f>IFERROR(__xludf.DUMMYFUNCTION("""COMPUTED_VALUE"""),39553.666666666664)</f>
        <v>39553.66667</v>
      </c>
      <c r="B2588" s="1">
        <f>IFERROR(__xludf.DUMMYFUNCTION("""COMPUTED_VALUE"""),2108.59)</f>
        <v>2108.59</v>
      </c>
    </row>
    <row r="2589">
      <c r="A2589" s="2">
        <f>IFERROR(__xludf.DUMMYFUNCTION("""COMPUTED_VALUE"""),39554.666666666664)</f>
        <v>39554.66667</v>
      </c>
      <c r="B2589" s="1">
        <f>IFERROR(__xludf.DUMMYFUNCTION("""COMPUTED_VALUE"""),2156.67)</f>
        <v>2156.67</v>
      </c>
    </row>
    <row r="2590">
      <c r="A2590" s="2">
        <f>IFERROR(__xludf.DUMMYFUNCTION("""COMPUTED_VALUE"""),39555.666666666664)</f>
        <v>39555.66667</v>
      </c>
      <c r="B2590" s="1">
        <f>IFERROR(__xludf.DUMMYFUNCTION("""COMPUTED_VALUE"""),2158.08)</f>
        <v>2158.08</v>
      </c>
    </row>
    <row r="2591">
      <c r="A2591" s="2">
        <f>IFERROR(__xludf.DUMMYFUNCTION("""COMPUTED_VALUE"""),39556.666666666664)</f>
        <v>39556.66667</v>
      </c>
      <c r="B2591" s="1">
        <f>IFERROR(__xludf.DUMMYFUNCTION("""COMPUTED_VALUE"""),2197.24)</f>
        <v>2197.24</v>
      </c>
    </row>
    <row r="2592">
      <c r="A2592" s="2">
        <f>IFERROR(__xludf.DUMMYFUNCTION("""COMPUTED_VALUE"""),39559.666666666664)</f>
        <v>39559.66667</v>
      </c>
      <c r="B2592" s="1">
        <f>IFERROR(__xludf.DUMMYFUNCTION("""COMPUTED_VALUE"""),2193.87)</f>
        <v>2193.87</v>
      </c>
    </row>
    <row r="2593">
      <c r="A2593" s="2">
        <f>IFERROR(__xludf.DUMMYFUNCTION("""COMPUTED_VALUE"""),39560.666666666664)</f>
        <v>39560.66667</v>
      </c>
      <c r="B2593" s="1">
        <f>IFERROR(__xludf.DUMMYFUNCTION("""COMPUTED_VALUE"""),2174.59)</f>
        <v>2174.59</v>
      </c>
    </row>
    <row r="2594">
      <c r="A2594" s="2">
        <f>IFERROR(__xludf.DUMMYFUNCTION("""COMPUTED_VALUE"""),39561.666666666664)</f>
        <v>39561.66667</v>
      </c>
      <c r="B2594" s="1">
        <f>IFERROR(__xludf.DUMMYFUNCTION("""COMPUTED_VALUE"""),2180.91)</f>
        <v>2180.91</v>
      </c>
    </row>
    <row r="2595">
      <c r="A2595" s="2">
        <f>IFERROR(__xludf.DUMMYFUNCTION("""COMPUTED_VALUE"""),39562.666666666664)</f>
        <v>39562.66667</v>
      </c>
      <c r="B2595" s="1">
        <f>IFERROR(__xludf.DUMMYFUNCTION("""COMPUTED_VALUE"""),2194.96)</f>
        <v>2194.96</v>
      </c>
    </row>
    <row r="2596">
      <c r="A2596" s="2">
        <f>IFERROR(__xludf.DUMMYFUNCTION("""COMPUTED_VALUE"""),39563.666666666664)</f>
        <v>39563.66667</v>
      </c>
      <c r="B2596" s="1">
        <f>IFERROR(__xludf.DUMMYFUNCTION("""COMPUTED_VALUE"""),2209.25)</f>
        <v>2209.25</v>
      </c>
    </row>
    <row r="2597">
      <c r="A2597" s="2">
        <f>IFERROR(__xludf.DUMMYFUNCTION("""COMPUTED_VALUE"""),39566.666666666664)</f>
        <v>39566.66667</v>
      </c>
      <c r="B2597" s="1">
        <f>IFERROR(__xludf.DUMMYFUNCTION("""COMPUTED_VALUE"""),2207.02)</f>
        <v>2207.02</v>
      </c>
    </row>
    <row r="2598">
      <c r="A2598" s="2">
        <f>IFERROR(__xludf.DUMMYFUNCTION("""COMPUTED_VALUE"""),39567.666666666664)</f>
        <v>39567.66667</v>
      </c>
      <c r="B2598" s="1">
        <f>IFERROR(__xludf.DUMMYFUNCTION("""COMPUTED_VALUE"""),2198.5)</f>
        <v>2198.5</v>
      </c>
    </row>
    <row r="2599">
      <c r="A2599" s="2">
        <f>IFERROR(__xludf.DUMMYFUNCTION("""COMPUTED_VALUE"""),39568.666666666664)</f>
        <v>39568.66667</v>
      </c>
      <c r="B2599" s="1">
        <f>IFERROR(__xludf.DUMMYFUNCTION("""COMPUTED_VALUE"""),2190.13)</f>
        <v>2190.13</v>
      </c>
    </row>
    <row r="2600">
      <c r="A2600" s="2">
        <f>IFERROR(__xludf.DUMMYFUNCTION("""COMPUTED_VALUE"""),39569.666666666664)</f>
        <v>39569.66667</v>
      </c>
      <c r="B2600" s="1">
        <f>IFERROR(__xludf.DUMMYFUNCTION("""COMPUTED_VALUE"""),2228.09)</f>
        <v>2228.09</v>
      </c>
    </row>
    <row r="2601">
      <c r="A2601" s="2">
        <f>IFERROR(__xludf.DUMMYFUNCTION("""COMPUTED_VALUE"""),39570.666666666664)</f>
        <v>39570.66667</v>
      </c>
      <c r="B2601" s="1">
        <f>IFERROR(__xludf.DUMMYFUNCTION("""COMPUTED_VALUE"""),2235.3)</f>
        <v>2235.3</v>
      </c>
    </row>
    <row r="2602">
      <c r="A2602" s="2">
        <f>IFERROR(__xludf.DUMMYFUNCTION("""COMPUTED_VALUE"""),39573.666666666664)</f>
        <v>39573.66667</v>
      </c>
      <c r="B2602" s="1">
        <f>IFERROR(__xludf.DUMMYFUNCTION("""COMPUTED_VALUE"""),2225.37)</f>
        <v>2225.37</v>
      </c>
    </row>
    <row r="2603">
      <c r="A2603" s="2">
        <f>IFERROR(__xludf.DUMMYFUNCTION("""COMPUTED_VALUE"""),39574.666666666664)</f>
        <v>39574.66667</v>
      </c>
      <c r="B2603" s="1">
        <f>IFERROR(__xludf.DUMMYFUNCTION("""COMPUTED_VALUE"""),2242.47)</f>
        <v>2242.47</v>
      </c>
    </row>
    <row r="2604">
      <c r="A2604" s="2">
        <f>IFERROR(__xludf.DUMMYFUNCTION("""COMPUTED_VALUE"""),39575.666666666664)</f>
        <v>39575.66667</v>
      </c>
      <c r="B2604" s="1">
        <f>IFERROR(__xludf.DUMMYFUNCTION("""COMPUTED_VALUE"""),2202.77)</f>
        <v>2202.77</v>
      </c>
    </row>
    <row r="2605">
      <c r="A2605" s="2">
        <f>IFERROR(__xludf.DUMMYFUNCTION("""COMPUTED_VALUE"""),39576.666666666664)</f>
        <v>39576.66667</v>
      </c>
      <c r="B2605" s="1">
        <f>IFERROR(__xludf.DUMMYFUNCTION("""COMPUTED_VALUE"""),2210.95)</f>
        <v>2210.95</v>
      </c>
    </row>
    <row r="2606">
      <c r="A2606" s="2">
        <f>IFERROR(__xludf.DUMMYFUNCTION("""COMPUTED_VALUE"""),39577.666666666664)</f>
        <v>39577.66667</v>
      </c>
      <c r="B2606" s="1">
        <f>IFERROR(__xludf.DUMMYFUNCTION("""COMPUTED_VALUE"""),2196.54)</f>
        <v>2196.54</v>
      </c>
    </row>
    <row r="2607">
      <c r="A2607" s="2">
        <f>IFERROR(__xludf.DUMMYFUNCTION("""COMPUTED_VALUE"""),39580.666666666664)</f>
        <v>39580.66667</v>
      </c>
      <c r="B2607" s="1">
        <f>IFERROR(__xludf.DUMMYFUNCTION("""COMPUTED_VALUE"""),2220.81)</f>
        <v>2220.81</v>
      </c>
    </row>
    <row r="2608">
      <c r="A2608" s="2">
        <f>IFERROR(__xludf.DUMMYFUNCTION("""COMPUTED_VALUE"""),39581.666666666664)</f>
        <v>39581.66667</v>
      </c>
      <c r="B2608" s="1">
        <f>IFERROR(__xludf.DUMMYFUNCTION("""COMPUTED_VALUE"""),2220.46)</f>
        <v>2220.46</v>
      </c>
    </row>
    <row r="2609">
      <c r="A2609" s="2">
        <f>IFERROR(__xludf.DUMMYFUNCTION("""COMPUTED_VALUE"""),39582.666666666664)</f>
        <v>39582.66667</v>
      </c>
      <c r="B2609" s="1">
        <f>IFERROR(__xludf.DUMMYFUNCTION("""COMPUTED_VALUE"""),2229.74)</f>
        <v>2229.74</v>
      </c>
    </row>
    <row r="2610">
      <c r="A2610" s="2">
        <f>IFERROR(__xludf.DUMMYFUNCTION("""COMPUTED_VALUE"""),39583.666666666664)</f>
        <v>39583.66667</v>
      </c>
      <c r="B2610" s="1">
        <f>IFERROR(__xludf.DUMMYFUNCTION("""COMPUTED_VALUE"""),2253.76)</f>
        <v>2253.76</v>
      </c>
    </row>
    <row r="2611">
      <c r="A2611" s="2">
        <f>IFERROR(__xludf.DUMMYFUNCTION("""COMPUTED_VALUE"""),39584.666666666664)</f>
        <v>39584.66667</v>
      </c>
      <c r="B2611" s="1">
        <f>IFERROR(__xludf.DUMMYFUNCTION("""COMPUTED_VALUE"""),2256.64)</f>
        <v>2256.64</v>
      </c>
    </row>
    <row r="2612">
      <c r="A2612" s="2">
        <f>IFERROR(__xludf.DUMMYFUNCTION("""COMPUTED_VALUE"""),39587.666666666664)</f>
        <v>39587.66667</v>
      </c>
      <c r="B2612" s="1">
        <f>IFERROR(__xludf.DUMMYFUNCTION("""COMPUTED_VALUE"""),2258.74)</f>
        <v>2258.74</v>
      </c>
    </row>
    <row r="2613">
      <c r="A2613" s="2">
        <f>IFERROR(__xludf.DUMMYFUNCTION("""COMPUTED_VALUE"""),39588.666666666664)</f>
        <v>39588.66667</v>
      </c>
      <c r="B2613" s="1">
        <f>IFERROR(__xludf.DUMMYFUNCTION("""COMPUTED_VALUE"""),2237.79)</f>
        <v>2237.79</v>
      </c>
    </row>
    <row r="2614">
      <c r="A2614" s="2">
        <f>IFERROR(__xludf.DUMMYFUNCTION("""COMPUTED_VALUE"""),39589.666666666664)</f>
        <v>39589.66667</v>
      </c>
      <c r="B2614" s="1">
        <f>IFERROR(__xludf.DUMMYFUNCTION("""COMPUTED_VALUE"""),2202.02)</f>
        <v>2202.02</v>
      </c>
    </row>
    <row r="2615">
      <c r="A2615" s="2">
        <f>IFERROR(__xludf.DUMMYFUNCTION("""COMPUTED_VALUE"""),39590.666666666664)</f>
        <v>39590.66667</v>
      </c>
      <c r="B2615" s="1">
        <f>IFERROR(__xludf.DUMMYFUNCTION("""COMPUTED_VALUE"""),2208.2)</f>
        <v>2208.2</v>
      </c>
    </row>
    <row r="2616">
      <c r="A2616" s="2">
        <f>IFERROR(__xludf.DUMMYFUNCTION("""COMPUTED_VALUE"""),39591.666666666664)</f>
        <v>39591.66667</v>
      </c>
      <c r="B2616" s="1">
        <f>IFERROR(__xludf.DUMMYFUNCTION("""COMPUTED_VALUE"""),2179.05)</f>
        <v>2179.05</v>
      </c>
    </row>
    <row r="2617">
      <c r="A2617" s="2">
        <f>IFERROR(__xludf.DUMMYFUNCTION("""COMPUTED_VALUE"""),39595.666666666664)</f>
        <v>39595.66667</v>
      </c>
      <c r="B2617" s="1">
        <f>IFERROR(__xludf.DUMMYFUNCTION("""COMPUTED_VALUE"""),2193.98)</f>
        <v>2193.98</v>
      </c>
    </row>
    <row r="2618">
      <c r="A2618" s="2">
        <f>IFERROR(__xludf.DUMMYFUNCTION("""COMPUTED_VALUE"""),39596.666666666664)</f>
        <v>39596.66667</v>
      </c>
      <c r="B2618" s="1">
        <f>IFERROR(__xludf.DUMMYFUNCTION("""COMPUTED_VALUE"""),2203.1)</f>
        <v>2203.1</v>
      </c>
    </row>
    <row r="2619">
      <c r="A2619" s="2">
        <f>IFERROR(__xludf.DUMMYFUNCTION("""COMPUTED_VALUE"""),39597.666666666664)</f>
        <v>39597.66667</v>
      </c>
      <c r="B2619" s="1">
        <f>IFERROR(__xludf.DUMMYFUNCTION("""COMPUTED_VALUE"""),2215.12)</f>
        <v>2215.12</v>
      </c>
    </row>
    <row r="2620">
      <c r="A2620" s="2">
        <f>IFERROR(__xludf.DUMMYFUNCTION("""COMPUTED_VALUE"""),39598.666666666664)</f>
        <v>39598.66667</v>
      </c>
      <c r="B2620" s="1">
        <f>IFERROR(__xludf.DUMMYFUNCTION("""COMPUTED_VALUE"""),2218.5)</f>
        <v>2218.5</v>
      </c>
    </row>
    <row r="2621">
      <c r="A2621" s="2">
        <f>IFERROR(__xludf.DUMMYFUNCTION("""COMPUTED_VALUE"""),39601.666666666664)</f>
        <v>39601.66667</v>
      </c>
      <c r="B2621" s="1">
        <f>IFERROR(__xludf.DUMMYFUNCTION("""COMPUTED_VALUE"""),2195.27)</f>
        <v>2195.27</v>
      </c>
    </row>
    <row r="2622">
      <c r="A2622" s="2">
        <f>IFERROR(__xludf.DUMMYFUNCTION("""COMPUTED_VALUE"""),39602.666666666664)</f>
        <v>39602.66667</v>
      </c>
      <c r="B2622" s="1">
        <f>IFERROR(__xludf.DUMMYFUNCTION("""COMPUTED_VALUE"""),2182.65)</f>
        <v>2182.65</v>
      </c>
    </row>
    <row r="2623">
      <c r="A2623" s="2">
        <f>IFERROR(__xludf.DUMMYFUNCTION("""COMPUTED_VALUE"""),39603.666666666664)</f>
        <v>39603.66667</v>
      </c>
      <c r="B2623" s="1">
        <f>IFERROR(__xludf.DUMMYFUNCTION("""COMPUTED_VALUE"""),2183.01)</f>
        <v>2183.01</v>
      </c>
    </row>
    <row r="2624">
      <c r="A2624" s="2">
        <f>IFERROR(__xludf.DUMMYFUNCTION("""COMPUTED_VALUE"""),39604.666666666664)</f>
        <v>39604.66667</v>
      </c>
      <c r="B2624" s="1">
        <f>IFERROR(__xludf.DUMMYFUNCTION("""COMPUTED_VALUE"""),2225.74)</f>
        <v>2225.74</v>
      </c>
    </row>
    <row r="2625">
      <c r="A2625" s="2">
        <f>IFERROR(__xludf.DUMMYFUNCTION("""COMPUTED_VALUE"""),39605.666666666664)</f>
        <v>39605.66667</v>
      </c>
      <c r="B2625" s="1">
        <f>IFERROR(__xludf.DUMMYFUNCTION("""COMPUTED_VALUE"""),2157.24)</f>
        <v>2157.24</v>
      </c>
    </row>
    <row r="2626">
      <c r="A2626" s="2">
        <f>IFERROR(__xludf.DUMMYFUNCTION("""COMPUTED_VALUE"""),39608.666666666664)</f>
        <v>39608.66667</v>
      </c>
      <c r="B2626" s="1">
        <f>IFERROR(__xludf.DUMMYFUNCTION("""COMPUTED_VALUE"""),2159.03)</f>
        <v>2159.03</v>
      </c>
    </row>
    <row r="2627">
      <c r="A2627" s="2">
        <f>IFERROR(__xludf.DUMMYFUNCTION("""COMPUTED_VALUE"""),39609.666666666664)</f>
        <v>39609.66667</v>
      </c>
      <c r="B2627" s="1">
        <f>IFERROR(__xludf.DUMMYFUNCTION("""COMPUTED_VALUE"""),2153.77)</f>
        <v>2153.77</v>
      </c>
    </row>
    <row r="2628">
      <c r="A2628" s="2">
        <f>IFERROR(__xludf.DUMMYFUNCTION("""COMPUTED_VALUE"""),39610.666666666664)</f>
        <v>39610.66667</v>
      </c>
      <c r="B2628" s="1">
        <f>IFERROR(__xludf.DUMMYFUNCTION("""COMPUTED_VALUE"""),2117.84)</f>
        <v>2117.84</v>
      </c>
    </row>
    <row r="2629">
      <c r="A2629" s="2">
        <f>IFERROR(__xludf.DUMMYFUNCTION("""COMPUTED_VALUE"""),39611.666666666664)</f>
        <v>39611.66667</v>
      </c>
      <c r="B2629" s="1">
        <f>IFERROR(__xludf.DUMMYFUNCTION("""COMPUTED_VALUE"""),2124.94)</f>
        <v>2124.94</v>
      </c>
    </row>
    <row r="2630">
      <c r="A2630" s="2">
        <f>IFERROR(__xludf.DUMMYFUNCTION("""COMPUTED_VALUE"""),39612.666666666664)</f>
        <v>39612.66667</v>
      </c>
      <c r="B2630" s="1">
        <f>IFERROR(__xludf.DUMMYFUNCTION("""COMPUTED_VALUE"""),2156.96)</f>
        <v>2156.96</v>
      </c>
    </row>
    <row r="2631">
      <c r="A2631" s="2">
        <f>IFERROR(__xludf.DUMMYFUNCTION("""COMPUTED_VALUE"""),39615.666666666664)</f>
        <v>39615.66667</v>
      </c>
      <c r="B2631" s="1">
        <f>IFERROR(__xludf.DUMMYFUNCTION("""COMPUTED_VALUE"""),2157.14)</f>
        <v>2157.14</v>
      </c>
    </row>
    <row r="2632">
      <c r="A2632" s="2">
        <f>IFERROR(__xludf.DUMMYFUNCTION("""COMPUTED_VALUE"""),39616.666666666664)</f>
        <v>39616.66667</v>
      </c>
      <c r="B2632" s="1">
        <f>IFERROR(__xludf.DUMMYFUNCTION("""COMPUTED_VALUE"""),2142.55)</f>
        <v>2142.55</v>
      </c>
    </row>
    <row r="2633">
      <c r="A2633" s="2">
        <f>IFERROR(__xludf.DUMMYFUNCTION("""COMPUTED_VALUE"""),39617.666666666664)</f>
        <v>39617.66667</v>
      </c>
      <c r="B2633" s="1">
        <f>IFERROR(__xludf.DUMMYFUNCTION("""COMPUTED_VALUE"""),2121.78)</f>
        <v>2121.78</v>
      </c>
    </row>
    <row r="2634">
      <c r="A2634" s="2">
        <f>IFERROR(__xludf.DUMMYFUNCTION("""COMPUTED_VALUE"""),39618.666666666664)</f>
        <v>39618.66667</v>
      </c>
      <c r="B2634" s="1">
        <f>IFERROR(__xludf.DUMMYFUNCTION("""COMPUTED_VALUE"""),2130.3)</f>
        <v>2130.3</v>
      </c>
    </row>
    <row r="2635">
      <c r="A2635" s="2">
        <f>IFERROR(__xludf.DUMMYFUNCTION("""COMPUTED_VALUE"""),39619.666666666664)</f>
        <v>39619.66667</v>
      </c>
      <c r="B2635" s="1">
        <f>IFERROR(__xludf.DUMMYFUNCTION("""COMPUTED_VALUE"""),2090.82)</f>
        <v>2090.82</v>
      </c>
    </row>
    <row r="2636">
      <c r="A2636" s="2">
        <f>IFERROR(__xludf.DUMMYFUNCTION("""COMPUTED_VALUE"""),39622.666666666664)</f>
        <v>39622.66667</v>
      </c>
      <c r="B2636" s="1">
        <f>IFERROR(__xludf.DUMMYFUNCTION("""COMPUTED_VALUE"""),2090.94)</f>
        <v>2090.94</v>
      </c>
    </row>
    <row r="2637">
      <c r="A2637" s="2">
        <f>IFERROR(__xludf.DUMMYFUNCTION("""COMPUTED_VALUE"""),39623.666666666664)</f>
        <v>39623.66667</v>
      </c>
      <c r="B2637" s="1">
        <f>IFERROR(__xludf.DUMMYFUNCTION("""COMPUTED_VALUE"""),2085.08)</f>
        <v>2085.08</v>
      </c>
    </row>
    <row r="2638">
      <c r="A2638" s="2">
        <f>IFERROR(__xludf.DUMMYFUNCTION("""COMPUTED_VALUE"""),39624.666666666664)</f>
        <v>39624.66667</v>
      </c>
      <c r="B2638" s="1">
        <f>IFERROR(__xludf.DUMMYFUNCTION("""COMPUTED_VALUE"""),2097.36)</f>
        <v>2097.36</v>
      </c>
    </row>
    <row r="2639">
      <c r="A2639" s="2">
        <f>IFERROR(__xludf.DUMMYFUNCTION("""COMPUTED_VALUE"""),39625.666666666664)</f>
        <v>39625.66667</v>
      </c>
      <c r="B2639" s="1">
        <f>IFERROR(__xludf.DUMMYFUNCTION("""COMPUTED_VALUE"""),2036.4)</f>
        <v>2036.4</v>
      </c>
    </row>
    <row r="2640">
      <c r="A2640" s="2">
        <f>IFERROR(__xludf.DUMMYFUNCTION("""COMPUTED_VALUE"""),39626.666666666664)</f>
        <v>39626.66667</v>
      </c>
      <c r="B2640" s="1">
        <f>IFERROR(__xludf.DUMMYFUNCTION("""COMPUTED_VALUE"""),2028.89)</f>
        <v>2028.89</v>
      </c>
    </row>
    <row r="2641">
      <c r="A2641" s="2">
        <f>IFERROR(__xludf.DUMMYFUNCTION("""COMPUTED_VALUE"""),39629.666666666664)</f>
        <v>39629.66667</v>
      </c>
      <c r="B2641" s="1">
        <f>IFERROR(__xludf.DUMMYFUNCTION("""COMPUTED_VALUE"""),2031.47)</f>
        <v>2031.47</v>
      </c>
    </row>
    <row r="2642">
      <c r="A2642" s="2">
        <f>IFERROR(__xludf.DUMMYFUNCTION("""COMPUTED_VALUE"""),39630.666666666664)</f>
        <v>39630.66667</v>
      </c>
      <c r="B2642" s="1">
        <f>IFERROR(__xludf.DUMMYFUNCTION("""COMPUTED_VALUE"""),2039.66)</f>
        <v>2039.66</v>
      </c>
    </row>
    <row r="2643">
      <c r="A2643" s="2">
        <f>IFERROR(__xludf.DUMMYFUNCTION("""COMPUTED_VALUE"""),39631.666666666664)</f>
        <v>39631.66667</v>
      </c>
      <c r="B2643" s="1">
        <f>IFERROR(__xludf.DUMMYFUNCTION("""COMPUTED_VALUE"""),2002.64)</f>
        <v>2002.64</v>
      </c>
    </row>
    <row r="2644">
      <c r="A2644" s="2">
        <f>IFERROR(__xludf.DUMMYFUNCTION("""COMPUTED_VALUE"""),39632.666666666664)</f>
        <v>39632.66667</v>
      </c>
      <c r="B2644" s="1">
        <f>IFERROR(__xludf.DUMMYFUNCTION("""COMPUTED_VALUE"""),2004.87)</f>
        <v>2004.87</v>
      </c>
    </row>
    <row r="2645">
      <c r="A2645" s="2">
        <f>IFERROR(__xludf.DUMMYFUNCTION("""COMPUTED_VALUE"""),39636.666666666664)</f>
        <v>39636.66667</v>
      </c>
      <c r="B2645" s="1">
        <f>IFERROR(__xludf.DUMMYFUNCTION("""COMPUTED_VALUE"""),1988.09)</f>
        <v>1988.09</v>
      </c>
    </row>
    <row r="2646">
      <c r="A2646" s="2">
        <f>IFERROR(__xludf.DUMMYFUNCTION("""COMPUTED_VALUE"""),39637.666666666664)</f>
        <v>39637.66667</v>
      </c>
      <c r="B2646" s="1">
        <f>IFERROR(__xludf.DUMMYFUNCTION("""COMPUTED_VALUE"""),2022.83)</f>
        <v>2022.83</v>
      </c>
    </row>
    <row r="2647">
      <c r="A2647" s="2">
        <f>IFERROR(__xludf.DUMMYFUNCTION("""COMPUTED_VALUE"""),39638.666666666664)</f>
        <v>39638.66667</v>
      </c>
      <c r="B2647" s="1">
        <f>IFERROR(__xludf.DUMMYFUNCTION("""COMPUTED_VALUE"""),1976.97)</f>
        <v>1976.97</v>
      </c>
    </row>
    <row r="2648">
      <c r="A2648" s="2">
        <f>IFERROR(__xludf.DUMMYFUNCTION("""COMPUTED_VALUE"""),39639.666666666664)</f>
        <v>39639.66667</v>
      </c>
      <c r="B2648" s="1">
        <f>IFERROR(__xludf.DUMMYFUNCTION("""COMPUTED_VALUE"""),1990.78)</f>
        <v>1990.78</v>
      </c>
    </row>
    <row r="2649">
      <c r="A2649" s="2">
        <f>IFERROR(__xludf.DUMMYFUNCTION("""COMPUTED_VALUE"""),39640.666666666664)</f>
        <v>39640.66667</v>
      </c>
      <c r="B2649" s="1">
        <f>IFERROR(__xludf.DUMMYFUNCTION("""COMPUTED_VALUE"""),1968.86)</f>
        <v>1968.86</v>
      </c>
    </row>
    <row r="2650">
      <c r="A2650" s="2">
        <f>IFERROR(__xludf.DUMMYFUNCTION("""COMPUTED_VALUE"""),39643.666666666664)</f>
        <v>39643.66667</v>
      </c>
      <c r="B2650" s="1">
        <f>IFERROR(__xludf.DUMMYFUNCTION("""COMPUTED_VALUE"""),1951.08)</f>
        <v>1951.08</v>
      </c>
    </row>
    <row r="2651">
      <c r="A2651" s="2">
        <f>IFERROR(__xludf.DUMMYFUNCTION("""COMPUTED_VALUE"""),39644.666666666664)</f>
        <v>39644.66667</v>
      </c>
      <c r="B2651" s="1">
        <f>IFERROR(__xludf.DUMMYFUNCTION("""COMPUTED_VALUE"""),1929.85)</f>
        <v>1929.85</v>
      </c>
    </row>
    <row r="2652">
      <c r="A2652" s="2">
        <f>IFERROR(__xludf.DUMMYFUNCTION("""COMPUTED_VALUE"""),39645.666666666664)</f>
        <v>39645.66667</v>
      </c>
      <c r="B2652" s="1">
        <f>IFERROR(__xludf.DUMMYFUNCTION("""COMPUTED_VALUE"""),1978.47)</f>
        <v>1978.47</v>
      </c>
    </row>
    <row r="2653">
      <c r="A2653" s="2">
        <f>IFERROR(__xludf.DUMMYFUNCTION("""COMPUTED_VALUE"""),39646.666666666664)</f>
        <v>39646.66667</v>
      </c>
      <c r="B2653" s="1">
        <f>IFERROR(__xludf.DUMMYFUNCTION("""COMPUTED_VALUE"""),2002.3)</f>
        <v>2002.3</v>
      </c>
    </row>
    <row r="2654">
      <c r="A2654" s="2">
        <f>IFERROR(__xludf.DUMMYFUNCTION("""COMPUTED_VALUE"""),39647.666666666664)</f>
        <v>39647.66667</v>
      </c>
      <c r="B2654" s="1">
        <f>IFERROR(__xludf.DUMMYFUNCTION("""COMPUTED_VALUE"""),2002.88)</f>
        <v>2002.88</v>
      </c>
    </row>
    <row r="2655">
      <c r="A2655" s="2">
        <f>IFERROR(__xludf.DUMMYFUNCTION("""COMPUTED_VALUE"""),39650.666666666664)</f>
        <v>39650.66667</v>
      </c>
      <c r="B2655" s="1">
        <f>IFERROR(__xludf.DUMMYFUNCTION("""COMPUTED_VALUE"""),2001.86)</f>
        <v>2001.86</v>
      </c>
    </row>
    <row r="2656">
      <c r="A2656" s="2">
        <f>IFERROR(__xludf.DUMMYFUNCTION("""COMPUTED_VALUE"""),39651.666666666664)</f>
        <v>39651.66667</v>
      </c>
      <c r="B2656" s="1">
        <f>IFERROR(__xludf.DUMMYFUNCTION("""COMPUTED_VALUE"""),2028.91)</f>
        <v>2028.91</v>
      </c>
    </row>
    <row r="2657">
      <c r="A2657" s="2">
        <f>IFERROR(__xludf.DUMMYFUNCTION("""COMPUTED_VALUE"""),39652.666666666664)</f>
        <v>39652.66667</v>
      </c>
      <c r="B2657" s="1">
        <f>IFERROR(__xludf.DUMMYFUNCTION("""COMPUTED_VALUE"""),2037.15)</f>
        <v>2037.15</v>
      </c>
    </row>
    <row r="2658">
      <c r="A2658" s="2">
        <f>IFERROR(__xludf.DUMMYFUNCTION("""COMPUTED_VALUE"""),39653.666666666664)</f>
        <v>39653.66667</v>
      </c>
      <c r="B2658" s="1">
        <f>IFERROR(__xludf.DUMMYFUNCTION("""COMPUTED_VALUE"""),1990.09)</f>
        <v>1990.09</v>
      </c>
    </row>
    <row r="2659">
      <c r="A2659" s="2">
        <f>IFERROR(__xludf.DUMMYFUNCTION("""COMPUTED_VALUE"""),39654.666666666664)</f>
        <v>39654.66667</v>
      </c>
      <c r="B2659" s="1">
        <f>IFERROR(__xludf.DUMMYFUNCTION("""COMPUTED_VALUE"""),1998.41)</f>
        <v>1998.41</v>
      </c>
    </row>
    <row r="2660">
      <c r="A2660" s="2">
        <f>IFERROR(__xludf.DUMMYFUNCTION("""COMPUTED_VALUE"""),39657.666666666664)</f>
        <v>39657.66667</v>
      </c>
      <c r="B2660" s="1">
        <f>IFERROR(__xludf.DUMMYFUNCTION("""COMPUTED_VALUE"""),1961.23)</f>
        <v>1961.23</v>
      </c>
    </row>
    <row r="2661">
      <c r="A2661" s="2">
        <f>IFERROR(__xludf.DUMMYFUNCTION("""COMPUTED_VALUE"""),39658.666666666664)</f>
        <v>39658.66667</v>
      </c>
      <c r="B2661" s="1">
        <f>IFERROR(__xludf.DUMMYFUNCTION("""COMPUTED_VALUE"""),2007.21)</f>
        <v>2007.21</v>
      </c>
    </row>
    <row r="2662">
      <c r="A2662" s="2">
        <f>IFERROR(__xludf.DUMMYFUNCTION("""COMPUTED_VALUE"""),39659.666666666664)</f>
        <v>39659.66667</v>
      </c>
      <c r="B2662" s="1">
        <f>IFERROR(__xludf.DUMMYFUNCTION("""COMPUTED_VALUE"""),2040.81)</f>
        <v>2040.81</v>
      </c>
    </row>
    <row r="2663">
      <c r="A2663" s="2">
        <f>IFERROR(__xludf.DUMMYFUNCTION("""COMPUTED_VALUE"""),39660.666666666664)</f>
        <v>39660.66667</v>
      </c>
      <c r="B2663" s="1">
        <f>IFERROR(__xludf.DUMMYFUNCTION("""COMPUTED_VALUE"""),2014.39)</f>
        <v>2014.39</v>
      </c>
    </row>
    <row r="2664">
      <c r="A2664" s="2">
        <f>IFERROR(__xludf.DUMMYFUNCTION("""COMPUTED_VALUE"""),39661.666666666664)</f>
        <v>39661.66667</v>
      </c>
      <c r="B2664" s="1">
        <f>IFERROR(__xludf.DUMMYFUNCTION("""COMPUTED_VALUE"""),2003.16)</f>
        <v>2003.16</v>
      </c>
    </row>
    <row r="2665">
      <c r="A2665" s="2">
        <f>IFERROR(__xludf.DUMMYFUNCTION("""COMPUTED_VALUE"""),39664.666666666664)</f>
        <v>39664.66667</v>
      </c>
      <c r="B2665" s="1">
        <f>IFERROR(__xludf.DUMMYFUNCTION("""COMPUTED_VALUE"""),1985.23)</f>
        <v>1985.23</v>
      </c>
    </row>
    <row r="2666">
      <c r="A2666" s="2">
        <f>IFERROR(__xludf.DUMMYFUNCTION("""COMPUTED_VALUE"""),39665.666666666664)</f>
        <v>39665.66667</v>
      </c>
      <c r="B2666" s="1">
        <f>IFERROR(__xludf.DUMMYFUNCTION("""COMPUTED_VALUE"""),2042.44)</f>
        <v>2042.44</v>
      </c>
    </row>
    <row r="2667">
      <c r="A2667" s="2">
        <f>IFERROR(__xludf.DUMMYFUNCTION("""COMPUTED_VALUE"""),39666.666666666664)</f>
        <v>39666.66667</v>
      </c>
      <c r="B2667" s="1">
        <f>IFERROR(__xludf.DUMMYFUNCTION("""COMPUTED_VALUE"""),2050.23)</f>
        <v>2050.23</v>
      </c>
    </row>
    <row r="2668">
      <c r="A2668" s="2">
        <f>IFERROR(__xludf.DUMMYFUNCTION("""COMPUTED_VALUE"""),39667.666666666664)</f>
        <v>39667.66667</v>
      </c>
      <c r="B2668" s="1">
        <f>IFERROR(__xludf.DUMMYFUNCTION("""COMPUTED_VALUE"""),2013.66)</f>
        <v>2013.66</v>
      </c>
    </row>
    <row r="2669">
      <c r="A2669" s="2">
        <f>IFERROR(__xludf.DUMMYFUNCTION("""COMPUTED_VALUE"""),39668.666666666664)</f>
        <v>39668.66667</v>
      </c>
      <c r="B2669" s="1">
        <f>IFERROR(__xludf.DUMMYFUNCTION("""COMPUTED_VALUE"""),2061.77)</f>
        <v>2061.77</v>
      </c>
    </row>
    <row r="2670">
      <c r="A2670" s="2">
        <f>IFERROR(__xludf.DUMMYFUNCTION("""COMPUTED_VALUE"""),39671.666666666664)</f>
        <v>39671.66667</v>
      </c>
      <c r="B2670" s="1">
        <f>IFERROR(__xludf.DUMMYFUNCTION("""COMPUTED_VALUE"""),2076.59)</f>
        <v>2076.59</v>
      </c>
    </row>
    <row r="2671">
      <c r="A2671" s="2">
        <f>IFERROR(__xludf.DUMMYFUNCTION("""COMPUTED_VALUE"""),39672.666666666664)</f>
        <v>39672.66667</v>
      </c>
      <c r="B2671" s="1">
        <f>IFERROR(__xludf.DUMMYFUNCTION("""COMPUTED_VALUE"""),2051.66)</f>
        <v>2051.66</v>
      </c>
    </row>
    <row r="2672">
      <c r="A2672" s="2">
        <f>IFERROR(__xludf.DUMMYFUNCTION("""COMPUTED_VALUE"""),39673.666666666664)</f>
        <v>39673.66667</v>
      </c>
      <c r="B2672" s="1">
        <f>IFERROR(__xludf.DUMMYFUNCTION("""COMPUTED_VALUE"""),2046.35)</f>
        <v>2046.35</v>
      </c>
    </row>
    <row r="2673">
      <c r="A2673" s="2">
        <f>IFERROR(__xludf.DUMMYFUNCTION("""COMPUTED_VALUE"""),39674.666666666664)</f>
        <v>39674.66667</v>
      </c>
      <c r="B2673" s="1">
        <f>IFERROR(__xludf.DUMMYFUNCTION("""COMPUTED_VALUE"""),2057.72)</f>
        <v>2057.72</v>
      </c>
    </row>
    <row r="2674">
      <c r="A2674" s="2">
        <f>IFERROR(__xludf.DUMMYFUNCTION("""COMPUTED_VALUE"""),39675.666666666664)</f>
        <v>39675.66667</v>
      </c>
      <c r="B2674" s="1">
        <f>IFERROR(__xludf.DUMMYFUNCTION("""COMPUTED_VALUE"""),2066.36)</f>
        <v>2066.36</v>
      </c>
    </row>
    <row r="2675">
      <c r="A2675" s="2">
        <f>IFERROR(__xludf.DUMMYFUNCTION("""COMPUTED_VALUE"""),39678.666666666664)</f>
        <v>39678.66667</v>
      </c>
      <c r="B2675" s="1">
        <f>IFERROR(__xludf.DUMMYFUNCTION("""COMPUTED_VALUE"""),2035.3)</f>
        <v>2035.3</v>
      </c>
    </row>
    <row r="2676">
      <c r="A2676" s="2">
        <f>IFERROR(__xludf.DUMMYFUNCTION("""COMPUTED_VALUE"""),39679.666666666664)</f>
        <v>39679.66667</v>
      </c>
      <c r="B2676" s="1">
        <f>IFERROR(__xludf.DUMMYFUNCTION("""COMPUTED_VALUE"""),2016.52)</f>
        <v>2016.52</v>
      </c>
    </row>
    <row r="2677">
      <c r="A2677" s="2">
        <f>IFERROR(__xludf.DUMMYFUNCTION("""COMPUTED_VALUE"""),39680.666666666664)</f>
        <v>39680.66667</v>
      </c>
      <c r="B2677" s="1">
        <f>IFERROR(__xludf.DUMMYFUNCTION("""COMPUTED_VALUE"""),2029.15)</f>
        <v>2029.15</v>
      </c>
    </row>
    <row r="2678">
      <c r="A2678" s="2">
        <f>IFERROR(__xludf.DUMMYFUNCTION("""COMPUTED_VALUE"""),39681.666666666664)</f>
        <v>39681.66667</v>
      </c>
      <c r="B2678" s="1">
        <f>IFERROR(__xludf.DUMMYFUNCTION("""COMPUTED_VALUE"""),2034.35)</f>
        <v>2034.35</v>
      </c>
    </row>
    <row r="2679">
      <c r="A2679" s="2">
        <f>IFERROR(__xludf.DUMMYFUNCTION("""COMPUTED_VALUE"""),39682.666666666664)</f>
        <v>39682.66667</v>
      </c>
      <c r="B2679" s="1">
        <f>IFERROR(__xludf.DUMMYFUNCTION("""COMPUTED_VALUE"""),2057.64)</f>
        <v>2057.64</v>
      </c>
    </row>
    <row r="2680">
      <c r="A2680" s="2">
        <f>IFERROR(__xludf.DUMMYFUNCTION("""COMPUTED_VALUE"""),39685.666666666664)</f>
        <v>39685.66667</v>
      </c>
      <c r="B2680" s="1">
        <f>IFERROR(__xludf.DUMMYFUNCTION("""COMPUTED_VALUE"""),2017.27)</f>
        <v>2017.27</v>
      </c>
    </row>
    <row r="2681">
      <c r="A2681" s="2">
        <f>IFERROR(__xludf.DUMMYFUNCTION("""COMPUTED_VALUE"""),39686.666666666664)</f>
        <v>39686.66667</v>
      </c>
      <c r="B2681" s="1">
        <f>IFERROR(__xludf.DUMMYFUNCTION("""COMPUTED_VALUE"""),2024.72)</f>
        <v>2024.72</v>
      </c>
    </row>
    <row r="2682">
      <c r="A2682" s="2">
        <f>IFERROR(__xludf.DUMMYFUNCTION("""COMPUTED_VALUE"""),39687.666666666664)</f>
        <v>39687.66667</v>
      </c>
      <c r="B2682" s="1">
        <f>IFERROR(__xludf.DUMMYFUNCTION("""COMPUTED_VALUE"""),2041.24)</f>
        <v>2041.24</v>
      </c>
    </row>
    <row r="2683">
      <c r="A2683" s="2">
        <f>IFERROR(__xludf.DUMMYFUNCTION("""COMPUTED_VALUE"""),39688.666666666664)</f>
        <v>39688.66667</v>
      </c>
      <c r="B2683" s="1">
        <f>IFERROR(__xludf.DUMMYFUNCTION("""COMPUTED_VALUE"""),2071.86)</f>
        <v>2071.86</v>
      </c>
    </row>
    <row r="2684">
      <c r="A2684" s="2">
        <f>IFERROR(__xludf.DUMMYFUNCTION("""COMPUTED_VALUE"""),39689.666666666664)</f>
        <v>39689.66667</v>
      </c>
      <c r="B2684" s="1">
        <f>IFERROR(__xludf.DUMMYFUNCTION("""COMPUTED_VALUE"""),2043.53)</f>
        <v>2043.53</v>
      </c>
    </row>
    <row r="2685">
      <c r="A2685" s="2">
        <f>IFERROR(__xludf.DUMMYFUNCTION("""COMPUTED_VALUE"""),39693.666666666664)</f>
        <v>39693.66667</v>
      </c>
      <c r="B2685" s="1">
        <f>IFERROR(__xludf.DUMMYFUNCTION("""COMPUTED_VALUE"""),2035.24)</f>
        <v>2035.24</v>
      </c>
    </row>
    <row r="2686">
      <c r="A2686" s="2">
        <f>IFERROR(__xludf.DUMMYFUNCTION("""COMPUTED_VALUE"""),39694.666666666664)</f>
        <v>39694.66667</v>
      </c>
      <c r="B2686" s="1">
        <f>IFERROR(__xludf.DUMMYFUNCTION("""COMPUTED_VALUE"""),2032.13)</f>
        <v>2032.13</v>
      </c>
    </row>
    <row r="2687">
      <c r="A2687" s="2">
        <f>IFERROR(__xludf.DUMMYFUNCTION("""COMPUTED_VALUE"""),39695.666666666664)</f>
        <v>39695.66667</v>
      </c>
      <c r="B2687" s="1">
        <f>IFERROR(__xludf.DUMMYFUNCTION("""COMPUTED_VALUE"""),1971.37)</f>
        <v>1971.37</v>
      </c>
    </row>
    <row r="2688">
      <c r="A2688" s="2">
        <f>IFERROR(__xludf.DUMMYFUNCTION("""COMPUTED_VALUE"""),39696.666666666664)</f>
        <v>39696.66667</v>
      </c>
      <c r="B2688" s="1">
        <f>IFERROR(__xludf.DUMMYFUNCTION("""COMPUTED_VALUE"""),1980.18)</f>
        <v>1980.18</v>
      </c>
    </row>
    <row r="2689">
      <c r="A2689" s="2">
        <f>IFERROR(__xludf.DUMMYFUNCTION("""COMPUTED_VALUE"""),39699.666666666664)</f>
        <v>39699.66667</v>
      </c>
      <c r="B2689" s="1">
        <f>IFERROR(__xludf.DUMMYFUNCTION("""COMPUTED_VALUE"""),2021.13)</f>
        <v>2021.13</v>
      </c>
    </row>
    <row r="2690">
      <c r="A2690" s="2">
        <f>IFERROR(__xludf.DUMMYFUNCTION("""COMPUTED_VALUE"""),39700.666666666664)</f>
        <v>39700.66667</v>
      </c>
      <c r="B2690" s="1">
        <f>IFERROR(__xludf.DUMMYFUNCTION("""COMPUTED_VALUE"""),1952.14)</f>
        <v>1952.14</v>
      </c>
    </row>
    <row r="2691">
      <c r="A2691" s="2">
        <f>IFERROR(__xludf.DUMMYFUNCTION("""COMPUTED_VALUE"""),39701.666666666664)</f>
        <v>39701.66667</v>
      </c>
      <c r="B2691" s="1">
        <f>IFERROR(__xludf.DUMMYFUNCTION("""COMPUTED_VALUE"""),1964.25)</f>
        <v>1964.25</v>
      </c>
    </row>
    <row r="2692">
      <c r="A2692" s="2">
        <f>IFERROR(__xludf.DUMMYFUNCTION("""COMPUTED_VALUE"""),39702.666666666664)</f>
        <v>39702.66667</v>
      </c>
      <c r="B2692" s="1">
        <f>IFERROR(__xludf.DUMMYFUNCTION("""COMPUTED_VALUE"""),1992.0)</f>
        <v>1992</v>
      </c>
    </row>
    <row r="2693">
      <c r="A2693" s="2">
        <f>IFERROR(__xludf.DUMMYFUNCTION("""COMPUTED_VALUE"""),39703.666666666664)</f>
        <v>39703.66667</v>
      </c>
      <c r="B2693" s="1">
        <f>IFERROR(__xludf.DUMMYFUNCTION("""COMPUTED_VALUE"""),1996.26)</f>
        <v>1996.26</v>
      </c>
    </row>
    <row r="2694">
      <c r="A2694" s="2">
        <f>IFERROR(__xludf.DUMMYFUNCTION("""COMPUTED_VALUE"""),39706.666666666664)</f>
        <v>39706.66667</v>
      </c>
      <c r="B2694" s="1">
        <f>IFERROR(__xludf.DUMMYFUNCTION("""COMPUTED_VALUE"""),1902.17)</f>
        <v>1902.17</v>
      </c>
    </row>
    <row r="2695">
      <c r="A2695" s="2">
        <f>IFERROR(__xludf.DUMMYFUNCTION("""COMPUTED_VALUE"""),39707.666666666664)</f>
        <v>39707.66667</v>
      </c>
      <c r="B2695" s="1">
        <f>IFERROR(__xludf.DUMMYFUNCTION("""COMPUTED_VALUE"""),1935.49)</f>
        <v>1935.49</v>
      </c>
    </row>
    <row r="2696">
      <c r="A2696" s="2">
        <f>IFERROR(__xludf.DUMMYFUNCTION("""COMPUTED_VALUE"""),39708.666666666664)</f>
        <v>39708.66667</v>
      </c>
      <c r="B2696" s="1">
        <f>IFERROR(__xludf.DUMMYFUNCTION("""COMPUTED_VALUE"""),1844.31)</f>
        <v>1844.31</v>
      </c>
    </row>
    <row r="2697">
      <c r="A2697" s="2">
        <f>IFERROR(__xludf.DUMMYFUNCTION("""COMPUTED_VALUE"""),39709.666666666664)</f>
        <v>39709.66667</v>
      </c>
      <c r="B2697" s="1">
        <f>IFERROR(__xludf.DUMMYFUNCTION("""COMPUTED_VALUE"""),1924.85)</f>
        <v>1924.85</v>
      </c>
    </row>
    <row r="2698">
      <c r="A2698" s="2">
        <f>IFERROR(__xludf.DUMMYFUNCTION("""COMPUTED_VALUE"""),39710.666666666664)</f>
        <v>39710.66667</v>
      </c>
      <c r="B2698" s="1">
        <f>IFERROR(__xludf.DUMMYFUNCTION("""COMPUTED_VALUE"""),2002.32)</f>
        <v>2002.32</v>
      </c>
    </row>
    <row r="2699">
      <c r="A2699" s="2">
        <f>IFERROR(__xludf.DUMMYFUNCTION("""COMPUTED_VALUE"""),39713.666666666664)</f>
        <v>39713.66667</v>
      </c>
      <c r="B2699" s="1">
        <f>IFERROR(__xludf.DUMMYFUNCTION("""COMPUTED_VALUE"""),1925.86)</f>
        <v>1925.86</v>
      </c>
    </row>
    <row r="2700">
      <c r="A2700" s="2">
        <f>IFERROR(__xludf.DUMMYFUNCTION("""COMPUTED_VALUE"""),39714.666666666664)</f>
        <v>39714.66667</v>
      </c>
      <c r="B2700" s="1">
        <f>IFERROR(__xludf.DUMMYFUNCTION("""COMPUTED_VALUE"""),1895.78)</f>
        <v>1895.78</v>
      </c>
    </row>
    <row r="2701">
      <c r="A2701" s="2">
        <f>IFERROR(__xludf.DUMMYFUNCTION("""COMPUTED_VALUE"""),39715.666666666664)</f>
        <v>39715.66667</v>
      </c>
      <c r="B2701" s="1">
        <f>IFERROR(__xludf.DUMMYFUNCTION("""COMPUTED_VALUE"""),1892.05)</f>
        <v>1892.05</v>
      </c>
    </row>
    <row r="2702">
      <c r="A2702" s="2">
        <f>IFERROR(__xludf.DUMMYFUNCTION("""COMPUTED_VALUE"""),39716.666666666664)</f>
        <v>39716.66667</v>
      </c>
      <c r="B2702" s="1">
        <f>IFERROR(__xludf.DUMMYFUNCTION("""COMPUTED_VALUE"""),1929.24)</f>
        <v>1929.24</v>
      </c>
    </row>
    <row r="2703">
      <c r="A2703" s="2">
        <f>IFERROR(__xludf.DUMMYFUNCTION("""COMPUTED_VALUE"""),39717.666666666664)</f>
        <v>39717.66667</v>
      </c>
      <c r="B2703" s="1">
        <f>IFERROR(__xludf.DUMMYFUNCTION("""COMPUTED_VALUE"""),1935.79)</f>
        <v>1935.79</v>
      </c>
    </row>
    <row r="2704">
      <c r="A2704" s="2">
        <f>IFERROR(__xludf.DUMMYFUNCTION("""COMPUTED_VALUE"""),39720.666666666664)</f>
        <v>39720.66667</v>
      </c>
      <c r="B2704" s="1">
        <f>IFERROR(__xludf.DUMMYFUNCTION("""COMPUTED_VALUE"""),1765.72)</f>
        <v>1765.72</v>
      </c>
    </row>
    <row r="2705">
      <c r="A2705" s="2">
        <f>IFERROR(__xludf.DUMMYFUNCTION("""COMPUTED_VALUE"""),39721.666666666664)</f>
        <v>39721.66667</v>
      </c>
      <c r="B2705" s="1">
        <f>IFERROR(__xludf.DUMMYFUNCTION("""COMPUTED_VALUE"""),1861.44)</f>
        <v>1861.44</v>
      </c>
    </row>
    <row r="2706">
      <c r="A2706" s="2">
        <f>IFERROR(__xludf.DUMMYFUNCTION("""COMPUTED_VALUE"""),39722.666666666664)</f>
        <v>39722.66667</v>
      </c>
      <c r="B2706" s="1">
        <f>IFERROR(__xludf.DUMMYFUNCTION("""COMPUTED_VALUE"""),1853.26)</f>
        <v>1853.26</v>
      </c>
    </row>
    <row r="2707">
      <c r="A2707" s="2">
        <f>IFERROR(__xludf.DUMMYFUNCTION("""COMPUTED_VALUE"""),39723.666666666664)</f>
        <v>39723.66667</v>
      </c>
      <c r="B2707" s="1">
        <f>IFERROR(__xludf.DUMMYFUNCTION("""COMPUTED_VALUE"""),1778.9)</f>
        <v>1778.9</v>
      </c>
    </row>
    <row r="2708">
      <c r="A2708" s="2">
        <f>IFERROR(__xludf.DUMMYFUNCTION("""COMPUTED_VALUE"""),39724.666666666664)</f>
        <v>39724.66667</v>
      </c>
      <c r="B2708" s="1">
        <f>IFERROR(__xludf.DUMMYFUNCTION("""COMPUTED_VALUE"""),1754.91)</f>
        <v>1754.91</v>
      </c>
    </row>
    <row r="2709">
      <c r="A2709" s="2">
        <f>IFERROR(__xludf.DUMMYFUNCTION("""COMPUTED_VALUE"""),39727.666666666664)</f>
        <v>39727.66667</v>
      </c>
      <c r="B2709" s="1">
        <f>IFERROR(__xludf.DUMMYFUNCTION("""COMPUTED_VALUE"""),1687.34)</f>
        <v>1687.34</v>
      </c>
    </row>
    <row r="2710">
      <c r="A2710" s="2">
        <f>IFERROR(__xludf.DUMMYFUNCTION("""COMPUTED_VALUE"""),39728.666666666664)</f>
        <v>39728.66667</v>
      </c>
      <c r="B2710" s="1">
        <f>IFERROR(__xludf.DUMMYFUNCTION("""COMPUTED_VALUE"""),1590.51)</f>
        <v>1590.51</v>
      </c>
    </row>
    <row r="2711">
      <c r="A2711" s="2">
        <f>IFERROR(__xludf.DUMMYFUNCTION("""COMPUTED_VALUE"""),39729.666666666664)</f>
        <v>39729.66667</v>
      </c>
      <c r="B2711" s="1">
        <f>IFERROR(__xludf.DUMMYFUNCTION("""COMPUTED_VALUE"""),1573.34)</f>
        <v>1573.34</v>
      </c>
    </row>
    <row r="2712">
      <c r="A2712" s="2">
        <f>IFERROR(__xludf.DUMMYFUNCTION("""COMPUTED_VALUE"""),39730.666666666664)</f>
        <v>39730.66667</v>
      </c>
      <c r="B2712" s="1">
        <f>IFERROR(__xludf.DUMMYFUNCTION("""COMPUTED_VALUE"""),1453.52)</f>
        <v>1453.52</v>
      </c>
    </row>
    <row r="2713">
      <c r="A2713" s="2">
        <f>IFERROR(__xludf.DUMMYFUNCTION("""COMPUTED_VALUE"""),39731.666666666664)</f>
        <v>39731.66667</v>
      </c>
      <c r="B2713" s="1">
        <f>IFERROR(__xludf.DUMMYFUNCTION("""COMPUTED_VALUE"""),1436.56)</f>
        <v>1436.56</v>
      </c>
    </row>
    <row r="2714">
      <c r="A2714" s="2">
        <f>IFERROR(__xludf.DUMMYFUNCTION("""COMPUTED_VALUE"""),39734.666666666664)</f>
        <v>39734.66667</v>
      </c>
      <c r="B2714" s="1">
        <f>IFERROR(__xludf.DUMMYFUNCTION("""COMPUTED_VALUE"""),1602.93)</f>
        <v>1602.93</v>
      </c>
    </row>
    <row r="2715">
      <c r="A2715" s="2">
        <f>IFERROR(__xludf.DUMMYFUNCTION("""COMPUTED_VALUE"""),39735.666666666664)</f>
        <v>39735.66667</v>
      </c>
      <c r="B2715" s="1">
        <f>IFERROR(__xludf.DUMMYFUNCTION("""COMPUTED_VALUE"""),1594.41)</f>
        <v>1594.41</v>
      </c>
    </row>
    <row r="2716">
      <c r="A2716" s="2">
        <f>IFERROR(__xludf.DUMMYFUNCTION("""COMPUTED_VALUE"""),39736.666666666664)</f>
        <v>39736.66667</v>
      </c>
      <c r="B2716" s="1">
        <f>IFERROR(__xludf.DUMMYFUNCTION("""COMPUTED_VALUE"""),1450.5)</f>
        <v>1450.5</v>
      </c>
    </row>
    <row r="2717">
      <c r="A2717" s="2">
        <f>IFERROR(__xludf.DUMMYFUNCTION("""COMPUTED_VALUE"""),39737.666666666664)</f>
        <v>39737.66667</v>
      </c>
      <c r="B2717" s="1">
        <f>IFERROR(__xludf.DUMMYFUNCTION("""COMPUTED_VALUE"""),1512.21)</f>
        <v>1512.21</v>
      </c>
    </row>
    <row r="2718">
      <c r="A2718" s="2">
        <f>IFERROR(__xludf.DUMMYFUNCTION("""COMPUTED_VALUE"""),39738.666666666664)</f>
        <v>39738.66667</v>
      </c>
      <c r="B2718" s="1">
        <f>IFERROR(__xludf.DUMMYFUNCTION("""COMPUTED_VALUE"""),1502.84)</f>
        <v>1502.84</v>
      </c>
    </row>
    <row r="2719">
      <c r="A2719" s="2">
        <f>IFERROR(__xludf.DUMMYFUNCTION("""COMPUTED_VALUE"""),39741.666666666664)</f>
        <v>39741.66667</v>
      </c>
      <c r="B2719" s="1">
        <f>IFERROR(__xludf.DUMMYFUNCTION("""COMPUTED_VALUE"""),1574.5)</f>
        <v>1574.5</v>
      </c>
    </row>
    <row r="2720">
      <c r="A2720" s="2">
        <f>IFERROR(__xludf.DUMMYFUNCTION("""COMPUTED_VALUE"""),39742.666666666664)</f>
        <v>39742.66667</v>
      </c>
      <c r="B2720" s="1">
        <f>IFERROR(__xludf.DUMMYFUNCTION("""COMPUTED_VALUE"""),1526.02)</f>
        <v>1526.02</v>
      </c>
    </row>
    <row r="2721">
      <c r="A2721" s="2">
        <f>IFERROR(__xludf.DUMMYFUNCTION("""COMPUTED_VALUE"""),39743.666666666664)</f>
        <v>39743.66667</v>
      </c>
      <c r="B2721" s="1">
        <f>IFERROR(__xludf.DUMMYFUNCTION("""COMPUTED_VALUE"""),1433.22)</f>
        <v>1433.22</v>
      </c>
    </row>
    <row r="2722">
      <c r="A2722" s="2">
        <f>IFERROR(__xludf.DUMMYFUNCTION("""COMPUTED_VALUE"""),39744.666666666664)</f>
        <v>39744.66667</v>
      </c>
      <c r="B2722" s="1">
        <f>IFERROR(__xludf.DUMMYFUNCTION("""COMPUTED_VALUE"""),1451.37)</f>
        <v>1451.37</v>
      </c>
    </row>
    <row r="2723">
      <c r="A2723" s="2">
        <f>IFERROR(__xludf.DUMMYFUNCTION("""COMPUTED_VALUE"""),39745.666666666664)</f>
        <v>39745.66667</v>
      </c>
      <c r="B2723" s="1">
        <f>IFERROR(__xludf.DUMMYFUNCTION("""COMPUTED_VALUE"""),1401.29)</f>
        <v>1401.29</v>
      </c>
    </row>
    <row r="2724">
      <c r="A2724" s="2">
        <f>IFERROR(__xludf.DUMMYFUNCTION("""COMPUTED_VALUE"""),39748.666666666664)</f>
        <v>39748.66667</v>
      </c>
      <c r="B2724" s="1">
        <f>IFERROR(__xludf.DUMMYFUNCTION("""COMPUTED_VALUE"""),1356.78)</f>
        <v>1356.78</v>
      </c>
    </row>
    <row r="2725">
      <c r="A2725" s="2">
        <f>IFERROR(__xludf.DUMMYFUNCTION("""COMPUTED_VALUE"""),39749.666666666664)</f>
        <v>39749.66667</v>
      </c>
      <c r="B2725" s="1">
        <f>IFERROR(__xludf.DUMMYFUNCTION("""COMPUTED_VALUE"""),1503.16)</f>
        <v>1503.16</v>
      </c>
    </row>
    <row r="2726">
      <c r="A2726" s="2">
        <f>IFERROR(__xludf.DUMMYFUNCTION("""COMPUTED_VALUE"""),39750.666666666664)</f>
        <v>39750.66667</v>
      </c>
      <c r="B2726" s="1">
        <f>IFERROR(__xludf.DUMMYFUNCTION("""COMPUTED_VALUE"""),1486.73)</f>
        <v>1486.73</v>
      </c>
    </row>
    <row r="2727">
      <c r="A2727" s="2">
        <f>IFERROR(__xludf.DUMMYFUNCTION("""COMPUTED_VALUE"""),39751.666666666664)</f>
        <v>39751.66667</v>
      </c>
      <c r="B2727" s="1">
        <f>IFERROR(__xludf.DUMMYFUNCTION("""COMPUTED_VALUE"""),1525.37)</f>
        <v>1525.37</v>
      </c>
    </row>
    <row r="2728">
      <c r="A2728" s="2">
        <f>IFERROR(__xludf.DUMMYFUNCTION("""COMPUTED_VALUE"""),39752.666666666664)</f>
        <v>39752.66667</v>
      </c>
      <c r="B2728" s="1">
        <f>IFERROR(__xludf.DUMMYFUNCTION("""COMPUTED_VALUE"""),1548.81)</f>
        <v>1548.81</v>
      </c>
    </row>
    <row r="2729">
      <c r="A2729" s="2">
        <f>IFERROR(__xludf.DUMMYFUNCTION("""COMPUTED_VALUE"""),39755.666666666664)</f>
        <v>39755.66667</v>
      </c>
      <c r="B2729" s="1">
        <f>IFERROR(__xludf.DUMMYFUNCTION("""COMPUTED_VALUE"""),1544.91)</f>
        <v>1544.91</v>
      </c>
    </row>
    <row r="2730">
      <c r="A2730" s="2">
        <f>IFERROR(__xludf.DUMMYFUNCTION("""COMPUTED_VALUE"""),39756.666666666664)</f>
        <v>39756.66667</v>
      </c>
      <c r="B2730" s="1">
        <f>IFERROR(__xludf.DUMMYFUNCTION("""COMPUTED_VALUE"""),1608.0)</f>
        <v>1608</v>
      </c>
    </row>
    <row r="2731">
      <c r="A2731" s="2">
        <f>IFERROR(__xludf.DUMMYFUNCTION("""COMPUTED_VALUE"""),39757.666666666664)</f>
        <v>39757.66667</v>
      </c>
      <c r="B2731" s="1">
        <f>IFERROR(__xludf.DUMMYFUNCTION("""COMPUTED_VALUE"""),1524.21)</f>
        <v>1524.21</v>
      </c>
    </row>
    <row r="2732">
      <c r="A2732" s="2">
        <f>IFERROR(__xludf.DUMMYFUNCTION("""COMPUTED_VALUE"""),39758.666666666664)</f>
        <v>39758.66667</v>
      </c>
      <c r="B2732" s="1">
        <f>IFERROR(__xludf.DUMMYFUNCTION("""COMPUTED_VALUE"""),1448.01)</f>
        <v>1448.01</v>
      </c>
    </row>
    <row r="2733">
      <c r="A2733" s="2">
        <f>IFERROR(__xludf.DUMMYFUNCTION("""COMPUTED_VALUE"""),39759.666666666664)</f>
        <v>39759.66667</v>
      </c>
      <c r="B2733" s="1">
        <f>IFERROR(__xludf.DUMMYFUNCTION("""COMPUTED_VALUE"""),1490.31)</f>
        <v>1490.31</v>
      </c>
    </row>
    <row r="2734">
      <c r="A2734" s="2">
        <f>IFERROR(__xludf.DUMMYFUNCTION("""COMPUTED_VALUE"""),39762.666666666664)</f>
        <v>39762.66667</v>
      </c>
      <c r="B2734" s="1">
        <f>IFERROR(__xludf.DUMMYFUNCTION("""COMPUTED_VALUE"""),1471.64)</f>
        <v>1471.64</v>
      </c>
    </row>
    <row r="2735">
      <c r="A2735" s="2">
        <f>IFERROR(__xludf.DUMMYFUNCTION("""COMPUTED_VALUE"""),39763.666666666664)</f>
        <v>39763.66667</v>
      </c>
      <c r="B2735" s="1">
        <f>IFERROR(__xludf.DUMMYFUNCTION("""COMPUTED_VALUE"""),1439.22)</f>
        <v>1439.22</v>
      </c>
    </row>
    <row r="2736">
      <c r="A2736" s="2">
        <f>IFERROR(__xludf.DUMMYFUNCTION("""COMPUTED_VALUE"""),39764.666666666664)</f>
        <v>39764.66667</v>
      </c>
      <c r="B2736" s="1">
        <f>IFERROR(__xludf.DUMMYFUNCTION("""COMPUTED_VALUE"""),1365.15)</f>
        <v>1365.15</v>
      </c>
    </row>
    <row r="2737">
      <c r="A2737" s="2">
        <f>IFERROR(__xludf.DUMMYFUNCTION("""COMPUTED_VALUE"""),39765.666666666664)</f>
        <v>39765.66667</v>
      </c>
      <c r="B2737" s="1">
        <f>IFERROR(__xludf.DUMMYFUNCTION("""COMPUTED_VALUE"""),1459.82)</f>
        <v>1459.82</v>
      </c>
    </row>
    <row r="2738">
      <c r="A2738" s="2">
        <f>IFERROR(__xludf.DUMMYFUNCTION("""COMPUTED_VALUE"""),39766.666666666664)</f>
        <v>39766.66667</v>
      </c>
      <c r="B2738" s="1">
        <f>IFERROR(__xludf.DUMMYFUNCTION("""COMPUTED_VALUE"""),1399.2)</f>
        <v>1399.2</v>
      </c>
    </row>
    <row r="2739">
      <c r="A2739" s="2">
        <f>IFERROR(__xludf.DUMMYFUNCTION("""COMPUTED_VALUE"""),39769.666666666664)</f>
        <v>39769.66667</v>
      </c>
      <c r="B2739" s="1">
        <f>IFERROR(__xludf.DUMMYFUNCTION("""COMPUTED_VALUE"""),1363.14)</f>
        <v>1363.14</v>
      </c>
    </row>
    <row r="2740">
      <c r="A2740" s="2">
        <f>IFERROR(__xludf.DUMMYFUNCTION("""COMPUTED_VALUE"""),39770.666666666664)</f>
        <v>39770.66667</v>
      </c>
      <c r="B2740" s="1">
        <f>IFERROR(__xludf.DUMMYFUNCTION("""COMPUTED_VALUE"""),1376.82)</f>
        <v>1376.82</v>
      </c>
    </row>
    <row r="2741">
      <c r="A2741" s="2">
        <f>IFERROR(__xludf.DUMMYFUNCTION("""COMPUTED_VALUE"""),39771.666666666664)</f>
        <v>39771.66667</v>
      </c>
      <c r="B2741" s="1">
        <f>IFERROR(__xludf.DUMMYFUNCTION("""COMPUTED_VALUE"""),1292.76)</f>
        <v>1292.76</v>
      </c>
    </row>
    <row r="2742">
      <c r="A2742" s="2">
        <f>IFERROR(__xludf.DUMMYFUNCTION("""COMPUTED_VALUE"""),39772.666666666664)</f>
        <v>39772.66667</v>
      </c>
      <c r="B2742" s="1">
        <f>IFERROR(__xludf.DUMMYFUNCTION("""COMPUTED_VALUE"""),1206.04)</f>
        <v>1206.04</v>
      </c>
    </row>
    <row r="2743">
      <c r="A2743" s="2">
        <f>IFERROR(__xludf.DUMMYFUNCTION("""COMPUTED_VALUE"""),39773.666666666664)</f>
        <v>39773.66667</v>
      </c>
      <c r="B2743" s="1">
        <f>IFERROR(__xludf.DUMMYFUNCTION("""COMPUTED_VALUE"""),1282.59)</f>
        <v>1282.59</v>
      </c>
    </row>
    <row r="2744">
      <c r="A2744" s="2">
        <f>IFERROR(__xludf.DUMMYFUNCTION("""COMPUTED_VALUE"""),39776.666666666664)</f>
        <v>39776.66667</v>
      </c>
      <c r="B2744" s="1">
        <f>IFERROR(__xludf.DUMMYFUNCTION("""COMPUTED_VALUE"""),1365.63)</f>
        <v>1365.63</v>
      </c>
    </row>
    <row r="2745">
      <c r="A2745" s="2">
        <f>IFERROR(__xludf.DUMMYFUNCTION("""COMPUTED_VALUE"""),39777.666666666664)</f>
        <v>39777.66667</v>
      </c>
      <c r="B2745" s="1">
        <f>IFERROR(__xludf.DUMMYFUNCTION("""COMPUTED_VALUE"""),1374.79)</f>
        <v>1374.79</v>
      </c>
    </row>
    <row r="2746">
      <c r="A2746" s="2">
        <f>IFERROR(__xludf.DUMMYFUNCTION("""COMPUTED_VALUE"""),39778.666666666664)</f>
        <v>39778.66667</v>
      </c>
      <c r="B2746" s="1">
        <f>IFERROR(__xludf.DUMMYFUNCTION("""COMPUTED_VALUE"""),1423.9)</f>
        <v>1423.9</v>
      </c>
    </row>
    <row r="2747">
      <c r="A2747" s="2">
        <f>IFERROR(__xludf.DUMMYFUNCTION("""COMPUTED_VALUE"""),39780.666666666664)</f>
        <v>39780.66667</v>
      </c>
      <c r="B2747" s="1">
        <f>IFERROR(__xludf.DUMMYFUNCTION("""COMPUTED_VALUE"""),1437.68)</f>
        <v>1437.68</v>
      </c>
    </row>
    <row r="2748">
      <c r="A2748" s="2">
        <f>IFERROR(__xludf.DUMMYFUNCTION("""COMPUTED_VALUE"""),39783.666666666664)</f>
        <v>39783.66667</v>
      </c>
      <c r="B2748" s="1">
        <f>IFERROR(__xludf.DUMMYFUNCTION("""COMPUTED_VALUE"""),1309.39)</f>
        <v>1309.39</v>
      </c>
    </row>
    <row r="2749">
      <c r="A2749" s="2">
        <f>IFERROR(__xludf.DUMMYFUNCTION("""COMPUTED_VALUE"""),39784.666666666664)</f>
        <v>39784.66667</v>
      </c>
      <c r="B2749" s="1">
        <f>IFERROR(__xludf.DUMMYFUNCTION("""COMPUTED_VALUE"""),1361.79)</f>
        <v>1361.79</v>
      </c>
    </row>
    <row r="2750">
      <c r="A2750" s="2">
        <f>IFERROR(__xludf.DUMMYFUNCTION("""COMPUTED_VALUE"""),39785.666666666664)</f>
        <v>39785.66667</v>
      </c>
      <c r="B2750" s="1">
        <f>IFERROR(__xludf.DUMMYFUNCTION("""COMPUTED_VALUE"""),1397.72)</f>
        <v>1397.72</v>
      </c>
    </row>
    <row r="2751">
      <c r="A2751" s="2">
        <f>IFERROR(__xludf.DUMMYFUNCTION("""COMPUTED_VALUE"""),39786.666666666664)</f>
        <v>39786.66667</v>
      </c>
      <c r="B2751" s="1">
        <f>IFERROR(__xludf.DUMMYFUNCTION("""COMPUTED_VALUE"""),1356.81)</f>
        <v>1356.81</v>
      </c>
    </row>
    <row r="2752">
      <c r="A2752" s="2">
        <f>IFERROR(__xludf.DUMMYFUNCTION("""COMPUTED_VALUE"""),39787.666666666664)</f>
        <v>39787.66667</v>
      </c>
      <c r="B2752" s="1">
        <f>IFERROR(__xludf.DUMMYFUNCTION("""COMPUTED_VALUE"""),1406.36)</f>
        <v>1406.36</v>
      </c>
    </row>
    <row r="2753">
      <c r="A2753" s="2">
        <f>IFERROR(__xludf.DUMMYFUNCTION("""COMPUTED_VALUE"""),39790.666666666664)</f>
        <v>39790.66667</v>
      </c>
      <c r="B2753" s="1">
        <f>IFERROR(__xludf.DUMMYFUNCTION("""COMPUTED_VALUE"""),1460.6)</f>
        <v>1460.6</v>
      </c>
    </row>
    <row r="2754">
      <c r="A2754" s="2">
        <f>IFERROR(__xludf.DUMMYFUNCTION("""COMPUTED_VALUE"""),39791.666666666664)</f>
        <v>39791.66667</v>
      </c>
      <c r="B2754" s="1">
        <f>IFERROR(__xludf.DUMMYFUNCTION("""COMPUTED_VALUE"""),1426.88)</f>
        <v>1426.88</v>
      </c>
    </row>
    <row r="2755">
      <c r="A2755" s="2">
        <f>IFERROR(__xludf.DUMMYFUNCTION("""COMPUTED_VALUE"""),39792.666666666664)</f>
        <v>39792.66667</v>
      </c>
      <c r="B2755" s="1">
        <f>IFERROR(__xludf.DUMMYFUNCTION("""COMPUTED_VALUE"""),1444.0)</f>
        <v>1444</v>
      </c>
    </row>
    <row r="2756">
      <c r="A2756" s="2">
        <f>IFERROR(__xludf.DUMMYFUNCTION("""COMPUTED_VALUE"""),39793.666666666664)</f>
        <v>39793.66667</v>
      </c>
      <c r="B2756" s="1">
        <f>IFERROR(__xludf.DUMMYFUNCTION("""COMPUTED_VALUE"""),1403.2)</f>
        <v>1403.2</v>
      </c>
    </row>
    <row r="2757">
      <c r="A2757" s="2">
        <f>IFERROR(__xludf.DUMMYFUNCTION("""COMPUTED_VALUE"""),39794.666666666664)</f>
        <v>39794.66667</v>
      </c>
      <c r="B2757" s="1">
        <f>IFERROR(__xludf.DUMMYFUNCTION("""COMPUTED_VALUE"""),1413.07)</f>
        <v>1413.07</v>
      </c>
    </row>
    <row r="2758">
      <c r="A2758" s="2">
        <f>IFERROR(__xludf.DUMMYFUNCTION("""COMPUTED_VALUE"""),39797.666666666664)</f>
        <v>39797.66667</v>
      </c>
      <c r="B2758" s="1">
        <f>IFERROR(__xludf.DUMMYFUNCTION("""COMPUTED_VALUE"""),1395.21)</f>
        <v>1395.21</v>
      </c>
    </row>
    <row r="2759">
      <c r="A2759" s="2">
        <f>IFERROR(__xludf.DUMMYFUNCTION("""COMPUTED_VALUE"""),39798.666666666664)</f>
        <v>39798.66667</v>
      </c>
      <c r="B2759" s="1">
        <f>IFERROR(__xludf.DUMMYFUNCTION("""COMPUTED_VALUE"""),1466.87)</f>
        <v>1466.87</v>
      </c>
    </row>
    <row r="2760">
      <c r="A2760" s="2">
        <f>IFERROR(__xludf.DUMMYFUNCTION("""COMPUTED_VALUE"""),39799.666666666664)</f>
        <v>39799.66667</v>
      </c>
      <c r="B2760" s="1">
        <f>IFERROR(__xludf.DUMMYFUNCTION("""COMPUTED_VALUE"""),1452.88)</f>
        <v>1452.88</v>
      </c>
    </row>
    <row r="2761">
      <c r="A2761" s="2">
        <f>IFERROR(__xludf.DUMMYFUNCTION("""COMPUTED_VALUE"""),39800.666666666664)</f>
        <v>39800.66667</v>
      </c>
      <c r="B2761" s="1">
        <f>IFERROR(__xludf.DUMMYFUNCTION("""COMPUTED_VALUE"""),1422.19)</f>
        <v>1422.19</v>
      </c>
    </row>
    <row r="2762">
      <c r="A2762" s="2">
        <f>IFERROR(__xludf.DUMMYFUNCTION("""COMPUTED_VALUE"""),39801.666666666664)</f>
        <v>39801.66667</v>
      </c>
      <c r="B2762" s="1">
        <f>IFERROR(__xludf.DUMMYFUNCTION("""COMPUTED_VALUE"""),1426.39)</f>
        <v>1426.39</v>
      </c>
    </row>
    <row r="2763">
      <c r="A2763" s="2">
        <f>IFERROR(__xludf.DUMMYFUNCTION("""COMPUTED_VALUE"""),39804.666666666664)</f>
        <v>39804.66667</v>
      </c>
      <c r="B2763" s="1">
        <f>IFERROR(__xludf.DUMMYFUNCTION("""COMPUTED_VALUE"""),1400.42)</f>
        <v>1400.42</v>
      </c>
    </row>
    <row r="2764">
      <c r="A2764" s="2">
        <f>IFERROR(__xludf.DUMMYFUNCTION("""COMPUTED_VALUE"""),39805.666666666664)</f>
        <v>39805.66667</v>
      </c>
      <c r="B2764" s="1">
        <f>IFERROR(__xludf.DUMMYFUNCTION("""COMPUTED_VALUE"""),1387.08)</f>
        <v>1387.08</v>
      </c>
    </row>
    <row r="2765">
      <c r="A2765" s="2">
        <f>IFERROR(__xludf.DUMMYFUNCTION("""COMPUTED_VALUE"""),39806.666666666664)</f>
        <v>39806.66667</v>
      </c>
      <c r="B2765" s="1">
        <f>IFERROR(__xludf.DUMMYFUNCTION("""COMPUTED_VALUE"""),1395.76)</f>
        <v>1395.76</v>
      </c>
    </row>
    <row r="2766">
      <c r="A2766" s="2">
        <f>IFERROR(__xludf.DUMMYFUNCTION("""COMPUTED_VALUE"""),39808.666666666664)</f>
        <v>39808.66667</v>
      </c>
      <c r="B2766" s="1">
        <f>IFERROR(__xludf.DUMMYFUNCTION("""COMPUTED_VALUE"""),1403.22)</f>
        <v>1403.22</v>
      </c>
    </row>
    <row r="2767">
      <c r="A2767" s="2">
        <f>IFERROR(__xludf.DUMMYFUNCTION("""COMPUTED_VALUE"""),39811.666666666664)</f>
        <v>39811.66667</v>
      </c>
      <c r="B2767" s="1">
        <f>IFERROR(__xludf.DUMMYFUNCTION("""COMPUTED_VALUE"""),1398.25)</f>
        <v>1398.25</v>
      </c>
    </row>
    <row r="2768">
      <c r="A2768" s="2">
        <f>IFERROR(__xludf.DUMMYFUNCTION("""COMPUTED_VALUE"""),39812.666666666664)</f>
        <v>39812.66667</v>
      </c>
      <c r="B2768" s="1">
        <f>IFERROR(__xludf.DUMMYFUNCTION("""COMPUTED_VALUE"""),1432.65)</f>
        <v>1432.65</v>
      </c>
    </row>
    <row r="2769">
      <c r="A2769" s="2">
        <f>IFERROR(__xludf.DUMMYFUNCTION("""COMPUTED_VALUE"""),39813.666666666664)</f>
        <v>39813.66667</v>
      </c>
      <c r="B2769" s="1">
        <f>IFERROR(__xludf.DUMMYFUNCTION("""COMPUTED_VALUE"""),1452.98)</f>
        <v>1452.98</v>
      </c>
    </row>
    <row r="2770">
      <c r="A2770" s="2">
        <f>IFERROR(__xludf.DUMMYFUNCTION("""COMPUTED_VALUE"""),39815.666666666664)</f>
        <v>39815.66667</v>
      </c>
      <c r="B2770" s="1">
        <f>IFERROR(__xludf.DUMMYFUNCTION("""COMPUTED_VALUE"""),1499.17)</f>
        <v>1499.17</v>
      </c>
    </row>
    <row r="2771">
      <c r="A2771" s="2">
        <f>IFERROR(__xludf.DUMMYFUNCTION("""COMPUTED_VALUE"""),39818.666666666664)</f>
        <v>39818.66667</v>
      </c>
      <c r="B2771" s="1">
        <f>IFERROR(__xludf.DUMMYFUNCTION("""COMPUTED_VALUE"""),1492.21)</f>
        <v>1492.21</v>
      </c>
    </row>
    <row r="2772">
      <c r="A2772" s="2">
        <f>IFERROR(__xludf.DUMMYFUNCTION("""COMPUTED_VALUE"""),39819.666666666664)</f>
        <v>39819.66667</v>
      </c>
      <c r="B2772" s="1">
        <f>IFERROR(__xludf.DUMMYFUNCTION("""COMPUTED_VALUE"""),1503.87)</f>
        <v>1503.87</v>
      </c>
    </row>
    <row r="2773">
      <c r="A2773" s="2">
        <f>IFERROR(__xludf.DUMMYFUNCTION("""COMPUTED_VALUE"""),39820.666666666664)</f>
        <v>39820.66667</v>
      </c>
      <c r="B2773" s="1">
        <f>IFERROR(__xludf.DUMMYFUNCTION("""COMPUTED_VALUE"""),1459.58)</f>
        <v>1459.58</v>
      </c>
    </row>
    <row r="2774">
      <c r="A2774" s="2">
        <f>IFERROR(__xludf.DUMMYFUNCTION("""COMPUTED_VALUE"""),39821.666666666664)</f>
        <v>39821.66667</v>
      </c>
      <c r="B2774" s="1">
        <f>IFERROR(__xludf.DUMMYFUNCTION("""COMPUTED_VALUE"""),1464.6)</f>
        <v>1464.6</v>
      </c>
    </row>
    <row r="2775">
      <c r="A2775" s="2">
        <f>IFERROR(__xludf.DUMMYFUNCTION("""COMPUTED_VALUE"""),39822.666666666664)</f>
        <v>39822.66667</v>
      </c>
      <c r="B2775" s="1">
        <f>IFERROR(__xludf.DUMMYFUNCTION("""COMPUTED_VALUE"""),1433.41)</f>
        <v>1433.41</v>
      </c>
    </row>
    <row r="2776">
      <c r="A2776" s="2">
        <f>IFERROR(__xludf.DUMMYFUNCTION("""COMPUTED_VALUE"""),39825.666666666664)</f>
        <v>39825.66667</v>
      </c>
      <c r="B2776" s="1">
        <f>IFERROR(__xludf.DUMMYFUNCTION("""COMPUTED_VALUE"""),1401.07)</f>
        <v>1401.07</v>
      </c>
    </row>
    <row r="2777">
      <c r="A2777" s="2">
        <f>IFERROR(__xludf.DUMMYFUNCTION("""COMPUTED_VALUE"""),39826.666666666664)</f>
        <v>39826.66667</v>
      </c>
      <c r="B2777" s="1">
        <f>IFERROR(__xludf.DUMMYFUNCTION("""COMPUTED_VALUE"""),1403.63)</f>
        <v>1403.63</v>
      </c>
    </row>
    <row r="2778">
      <c r="A2778" s="2">
        <f>IFERROR(__xludf.DUMMYFUNCTION("""COMPUTED_VALUE"""),39827.666666666664)</f>
        <v>39827.66667</v>
      </c>
      <c r="B2778" s="1">
        <f>IFERROR(__xludf.DUMMYFUNCTION("""COMPUTED_VALUE"""),1356.79)</f>
        <v>1356.79</v>
      </c>
    </row>
    <row r="2779">
      <c r="A2779" s="2">
        <f>IFERROR(__xludf.DUMMYFUNCTION("""COMPUTED_VALUE"""),39828.666666666664)</f>
        <v>39828.66667</v>
      </c>
      <c r="B2779" s="1">
        <f>IFERROR(__xludf.DUMMYFUNCTION("""COMPUTED_VALUE"""),1358.64)</f>
        <v>1358.64</v>
      </c>
    </row>
    <row r="2780">
      <c r="A2780" s="2">
        <f>IFERROR(__xludf.DUMMYFUNCTION("""COMPUTED_VALUE"""),39829.666666666664)</f>
        <v>39829.66667</v>
      </c>
      <c r="B2780" s="1">
        <f>IFERROR(__xludf.DUMMYFUNCTION("""COMPUTED_VALUE"""),1368.92)</f>
        <v>1368.92</v>
      </c>
    </row>
    <row r="2781">
      <c r="A2781" s="2">
        <f>IFERROR(__xludf.DUMMYFUNCTION("""COMPUTED_VALUE"""),39833.666666666664)</f>
        <v>39833.66667</v>
      </c>
      <c r="B2781" s="1">
        <f>IFERROR(__xludf.DUMMYFUNCTION("""COMPUTED_VALUE"""),1296.63)</f>
        <v>1296.63</v>
      </c>
    </row>
    <row r="2782">
      <c r="A2782" s="2">
        <f>IFERROR(__xludf.DUMMYFUNCTION("""COMPUTED_VALUE"""),39834.666666666664)</f>
        <v>39834.66667</v>
      </c>
      <c r="B2782" s="1">
        <f>IFERROR(__xludf.DUMMYFUNCTION("""COMPUTED_VALUE"""),1353.33)</f>
        <v>1353.33</v>
      </c>
    </row>
    <row r="2783">
      <c r="A2783" s="2">
        <f>IFERROR(__xludf.DUMMYFUNCTION("""COMPUTED_VALUE"""),39835.666666666664)</f>
        <v>39835.66667</v>
      </c>
      <c r="B2783" s="1">
        <f>IFERROR(__xludf.DUMMYFUNCTION("""COMPUTED_VALUE"""),1332.84)</f>
        <v>1332.84</v>
      </c>
    </row>
    <row r="2784">
      <c r="A2784" s="2">
        <f>IFERROR(__xludf.DUMMYFUNCTION("""COMPUTED_VALUE"""),39836.666666666664)</f>
        <v>39836.66667</v>
      </c>
      <c r="B2784" s="1">
        <f>IFERROR(__xludf.DUMMYFUNCTION("""COMPUTED_VALUE"""),1340.02)</f>
        <v>1340.02</v>
      </c>
    </row>
    <row r="2785">
      <c r="A2785" s="2">
        <f>IFERROR(__xludf.DUMMYFUNCTION("""COMPUTED_VALUE"""),39839.666666666664)</f>
        <v>39839.66667</v>
      </c>
      <c r="B2785" s="1">
        <f>IFERROR(__xludf.DUMMYFUNCTION("""COMPUTED_VALUE"""),1347.47)</f>
        <v>1347.47</v>
      </c>
    </row>
    <row r="2786">
      <c r="A2786" s="2">
        <f>IFERROR(__xludf.DUMMYFUNCTION("""COMPUTED_VALUE"""),39840.666666666664)</f>
        <v>39840.66667</v>
      </c>
      <c r="B2786" s="1">
        <f>IFERROR(__xludf.DUMMYFUNCTION("""COMPUTED_VALUE"""),1362.18)</f>
        <v>1362.18</v>
      </c>
    </row>
    <row r="2787">
      <c r="A2787" s="2">
        <f>IFERROR(__xludf.DUMMYFUNCTION("""COMPUTED_VALUE"""),39841.666666666664)</f>
        <v>39841.66667</v>
      </c>
      <c r="B2787" s="1">
        <f>IFERROR(__xludf.DUMMYFUNCTION("""COMPUTED_VALUE"""),1408.07)</f>
        <v>1408.07</v>
      </c>
    </row>
    <row r="2788">
      <c r="A2788" s="2">
        <f>IFERROR(__xludf.DUMMYFUNCTION("""COMPUTED_VALUE"""),39842.666666666664)</f>
        <v>39842.66667</v>
      </c>
      <c r="B2788" s="1">
        <f>IFERROR(__xludf.DUMMYFUNCTION("""COMPUTED_VALUE"""),1361.54)</f>
        <v>1361.54</v>
      </c>
    </row>
    <row r="2789">
      <c r="A2789" s="2">
        <f>IFERROR(__xludf.DUMMYFUNCTION("""COMPUTED_VALUE"""),39843.666666666664)</f>
        <v>39843.66667</v>
      </c>
      <c r="B2789" s="1">
        <f>IFERROR(__xludf.DUMMYFUNCTION("""COMPUTED_VALUE"""),1330.51)</f>
        <v>1330.51</v>
      </c>
    </row>
    <row r="2790">
      <c r="A2790" s="2">
        <f>IFERROR(__xludf.DUMMYFUNCTION("""COMPUTED_VALUE"""),39846.666666666664)</f>
        <v>39846.66667</v>
      </c>
      <c r="B2790" s="1">
        <f>IFERROR(__xludf.DUMMYFUNCTION("""COMPUTED_VALUE"""),1329.81)</f>
        <v>1329.81</v>
      </c>
    </row>
    <row r="2791">
      <c r="A2791" s="2">
        <f>IFERROR(__xludf.DUMMYFUNCTION("""COMPUTED_VALUE"""),39847.666666666664)</f>
        <v>39847.66667</v>
      </c>
      <c r="B2791" s="1">
        <f>IFERROR(__xludf.DUMMYFUNCTION("""COMPUTED_VALUE"""),1350.89)</f>
        <v>1350.89</v>
      </c>
    </row>
    <row r="2792">
      <c r="A2792" s="2">
        <f>IFERROR(__xludf.DUMMYFUNCTION("""COMPUTED_VALUE"""),39848.666666666664)</f>
        <v>39848.66667</v>
      </c>
      <c r="B2792" s="1">
        <f>IFERROR(__xludf.DUMMYFUNCTION("""COMPUTED_VALUE"""),1341.77)</f>
        <v>1341.77</v>
      </c>
    </row>
    <row r="2793">
      <c r="A2793" s="2">
        <f>IFERROR(__xludf.DUMMYFUNCTION("""COMPUTED_VALUE"""),39849.666666666664)</f>
        <v>39849.66667</v>
      </c>
      <c r="B2793" s="1">
        <f>IFERROR(__xludf.DUMMYFUNCTION("""COMPUTED_VALUE"""),1363.82)</f>
        <v>1363.82</v>
      </c>
    </row>
    <row r="2794">
      <c r="A2794" s="2">
        <f>IFERROR(__xludf.DUMMYFUNCTION("""COMPUTED_VALUE"""),39850.666666666664)</f>
        <v>39850.66667</v>
      </c>
      <c r="B2794" s="1">
        <f>IFERROR(__xludf.DUMMYFUNCTION("""COMPUTED_VALUE"""),1401.06)</f>
        <v>1401.06</v>
      </c>
    </row>
    <row r="2795">
      <c r="A2795" s="2">
        <f>IFERROR(__xludf.DUMMYFUNCTION("""COMPUTED_VALUE"""),39853.666666666664)</f>
        <v>39853.66667</v>
      </c>
      <c r="B2795" s="1">
        <f>IFERROR(__xludf.DUMMYFUNCTION("""COMPUTED_VALUE"""),1403.19)</f>
        <v>1403.19</v>
      </c>
    </row>
    <row r="2796">
      <c r="A2796" s="2">
        <f>IFERROR(__xludf.DUMMYFUNCTION("""COMPUTED_VALUE"""),39854.666666666664)</f>
        <v>39854.66667</v>
      </c>
      <c r="B2796" s="1">
        <f>IFERROR(__xludf.DUMMYFUNCTION("""COMPUTED_VALUE"""),1334.3)</f>
        <v>1334.3</v>
      </c>
    </row>
    <row r="2797">
      <c r="A2797" s="2">
        <f>IFERROR(__xludf.DUMMYFUNCTION("""COMPUTED_VALUE"""),39855.666666666664)</f>
        <v>39855.66667</v>
      </c>
      <c r="B2797" s="1">
        <f>IFERROR(__xludf.DUMMYFUNCTION("""COMPUTED_VALUE"""),1345.5)</f>
        <v>1345.5</v>
      </c>
    </row>
    <row r="2798">
      <c r="A2798" s="2">
        <f>IFERROR(__xludf.DUMMYFUNCTION("""COMPUTED_VALUE"""),39856.666666666664)</f>
        <v>39856.66667</v>
      </c>
      <c r="B2798" s="1">
        <f>IFERROR(__xludf.DUMMYFUNCTION("""COMPUTED_VALUE"""),1348.15)</f>
        <v>1348.15</v>
      </c>
    </row>
    <row r="2799">
      <c r="A2799" s="2">
        <f>IFERROR(__xludf.DUMMYFUNCTION("""COMPUTED_VALUE"""),39857.666666666664)</f>
        <v>39857.66667</v>
      </c>
      <c r="B2799" s="1">
        <f>IFERROR(__xludf.DUMMYFUNCTION("""COMPUTED_VALUE"""),1334.83)</f>
        <v>1334.83</v>
      </c>
    </row>
    <row r="2800">
      <c r="A2800" s="2">
        <f>IFERROR(__xludf.DUMMYFUNCTION("""COMPUTED_VALUE"""),39861.666666666664)</f>
        <v>39861.66667</v>
      </c>
      <c r="B2800" s="1">
        <f>IFERROR(__xludf.DUMMYFUNCTION("""COMPUTED_VALUE"""),1274.26)</f>
        <v>1274.26</v>
      </c>
    </row>
    <row r="2801">
      <c r="A2801" s="2">
        <f>IFERROR(__xludf.DUMMYFUNCTION("""COMPUTED_VALUE"""),39862.666666666664)</f>
        <v>39862.66667</v>
      </c>
      <c r="B2801" s="1">
        <f>IFERROR(__xludf.DUMMYFUNCTION("""COMPUTED_VALUE"""),1273.29)</f>
        <v>1273.29</v>
      </c>
    </row>
    <row r="2802">
      <c r="A2802" s="2">
        <f>IFERROR(__xludf.DUMMYFUNCTION("""COMPUTED_VALUE"""),39863.666666666664)</f>
        <v>39863.66667</v>
      </c>
      <c r="B2802" s="1">
        <f>IFERROR(__xludf.DUMMYFUNCTION("""COMPUTED_VALUE"""),1258.82)</f>
        <v>1258.82</v>
      </c>
    </row>
    <row r="2803">
      <c r="A2803" s="2">
        <f>IFERROR(__xludf.DUMMYFUNCTION("""COMPUTED_VALUE"""),39864.666666666664)</f>
        <v>39864.66667</v>
      </c>
      <c r="B2803" s="1">
        <f>IFERROR(__xludf.DUMMYFUNCTION("""COMPUTED_VALUE"""),1244.72)</f>
        <v>1244.72</v>
      </c>
    </row>
    <row r="2804">
      <c r="A2804" s="2">
        <f>IFERROR(__xludf.DUMMYFUNCTION("""COMPUTED_VALUE"""),39867.666666666664)</f>
        <v>39867.66667</v>
      </c>
      <c r="B2804" s="1">
        <f>IFERROR(__xludf.DUMMYFUNCTION("""COMPUTED_VALUE"""),1201.56)</f>
        <v>1201.56</v>
      </c>
    </row>
    <row r="2805">
      <c r="A2805" s="2">
        <f>IFERROR(__xludf.DUMMYFUNCTION("""COMPUTED_VALUE"""),39868.666666666664)</f>
        <v>39868.66667</v>
      </c>
      <c r="B2805" s="1">
        <f>IFERROR(__xludf.DUMMYFUNCTION("""COMPUTED_VALUE"""),1249.76)</f>
        <v>1249.76</v>
      </c>
    </row>
    <row r="2806">
      <c r="A2806" s="2">
        <f>IFERROR(__xludf.DUMMYFUNCTION("""COMPUTED_VALUE"""),39869.666666666664)</f>
        <v>39869.66667</v>
      </c>
      <c r="B2806" s="1">
        <f>IFERROR(__xludf.DUMMYFUNCTION("""COMPUTED_VALUE"""),1236.74)</f>
        <v>1236.74</v>
      </c>
    </row>
    <row r="2807">
      <c r="A2807" s="2">
        <f>IFERROR(__xludf.DUMMYFUNCTION("""COMPUTED_VALUE"""),39870.666666666664)</f>
        <v>39870.66667</v>
      </c>
      <c r="B2807" s="1">
        <f>IFERROR(__xludf.DUMMYFUNCTION("""COMPUTED_VALUE"""),1217.49)</f>
        <v>1217.49</v>
      </c>
    </row>
    <row r="2808">
      <c r="A2808" s="2">
        <f>IFERROR(__xludf.DUMMYFUNCTION("""COMPUTED_VALUE"""),39871.666666666664)</f>
        <v>39871.66667</v>
      </c>
      <c r="B2808" s="1">
        <f>IFERROR(__xludf.DUMMYFUNCTION("""COMPUTED_VALUE"""),1188.84)</f>
        <v>1188.84</v>
      </c>
    </row>
    <row r="2809">
      <c r="A2809" s="2">
        <f>IFERROR(__xludf.DUMMYFUNCTION("""COMPUTED_VALUE"""),39874.666666666664)</f>
        <v>39874.66667</v>
      </c>
      <c r="B2809" s="1">
        <f>IFERROR(__xludf.DUMMYFUNCTION("""COMPUTED_VALUE"""),1133.43)</f>
        <v>1133.43</v>
      </c>
    </row>
    <row r="2810">
      <c r="A2810" s="2">
        <f>IFERROR(__xludf.DUMMYFUNCTION("""COMPUTED_VALUE"""),39875.666666666664)</f>
        <v>39875.66667</v>
      </c>
      <c r="B2810" s="1">
        <f>IFERROR(__xludf.DUMMYFUNCTION("""COMPUTED_VALUE"""),1126.18)</f>
        <v>1126.18</v>
      </c>
    </row>
    <row r="2811">
      <c r="A2811" s="2">
        <f>IFERROR(__xludf.DUMMYFUNCTION("""COMPUTED_VALUE"""),39876.666666666664)</f>
        <v>39876.66667</v>
      </c>
      <c r="B2811" s="1">
        <f>IFERROR(__xludf.DUMMYFUNCTION("""COMPUTED_VALUE"""),1153.35)</f>
        <v>1153.35</v>
      </c>
    </row>
    <row r="2812">
      <c r="A2812" s="2">
        <f>IFERROR(__xludf.DUMMYFUNCTION("""COMPUTED_VALUE"""),39877.666666666664)</f>
        <v>39877.66667</v>
      </c>
      <c r="B2812" s="1">
        <f>IFERROR(__xludf.DUMMYFUNCTION("""COMPUTED_VALUE"""),1104.38)</f>
        <v>1104.38</v>
      </c>
    </row>
    <row r="2813">
      <c r="A2813" s="2">
        <f>IFERROR(__xludf.DUMMYFUNCTION("""COMPUTED_VALUE"""),39878.666666666664)</f>
        <v>39878.66667</v>
      </c>
      <c r="B2813" s="1">
        <f>IFERROR(__xludf.DUMMYFUNCTION("""COMPUTED_VALUE"""),1106.0)</f>
        <v>1106</v>
      </c>
    </row>
    <row r="2814">
      <c r="A2814" s="2">
        <f>IFERROR(__xludf.DUMMYFUNCTION("""COMPUTED_VALUE"""),39881.666666666664)</f>
        <v>39881.66667</v>
      </c>
      <c r="B2814" s="1">
        <f>IFERROR(__xludf.DUMMYFUNCTION("""COMPUTED_VALUE"""),1095.04)</f>
        <v>1095.04</v>
      </c>
    </row>
    <row r="2815">
      <c r="A2815" s="2">
        <f>IFERROR(__xludf.DUMMYFUNCTION("""COMPUTED_VALUE"""),39882.666666666664)</f>
        <v>39882.66667</v>
      </c>
      <c r="B2815" s="1">
        <f>IFERROR(__xludf.DUMMYFUNCTION("""COMPUTED_VALUE"""),1164.83)</f>
        <v>1164.83</v>
      </c>
    </row>
    <row r="2816">
      <c r="A2816" s="2">
        <f>IFERROR(__xludf.DUMMYFUNCTION("""COMPUTED_VALUE"""),39883.666666666664)</f>
        <v>39883.66667</v>
      </c>
      <c r="B2816" s="1">
        <f>IFERROR(__xludf.DUMMYFUNCTION("""COMPUTED_VALUE"""),1168.07)</f>
        <v>1168.07</v>
      </c>
    </row>
    <row r="2817">
      <c r="A2817" s="2">
        <f>IFERROR(__xludf.DUMMYFUNCTION("""COMPUTED_VALUE"""),39884.666666666664)</f>
        <v>39884.66667</v>
      </c>
      <c r="B2817" s="1">
        <f>IFERROR(__xludf.DUMMYFUNCTION("""COMPUTED_VALUE"""),1215.87)</f>
        <v>1215.87</v>
      </c>
    </row>
    <row r="2818">
      <c r="A2818" s="2">
        <f>IFERROR(__xludf.DUMMYFUNCTION("""COMPUTED_VALUE"""),39885.666666666664)</f>
        <v>39885.66667</v>
      </c>
      <c r="B2818" s="1">
        <f>IFERROR(__xludf.DUMMYFUNCTION("""COMPUTED_VALUE"""),1225.32)</f>
        <v>1225.32</v>
      </c>
    </row>
    <row r="2819">
      <c r="A2819" s="2">
        <f>IFERROR(__xludf.DUMMYFUNCTION("""COMPUTED_VALUE"""),39888.666666666664)</f>
        <v>39888.66667</v>
      </c>
      <c r="B2819" s="1">
        <f>IFERROR(__xludf.DUMMYFUNCTION("""COMPUTED_VALUE"""),1221.03)</f>
        <v>1221.03</v>
      </c>
    </row>
    <row r="2820">
      <c r="A2820" s="2">
        <f>IFERROR(__xludf.DUMMYFUNCTION("""COMPUTED_VALUE"""),39889.666666666664)</f>
        <v>39889.66667</v>
      </c>
      <c r="B2820" s="1">
        <f>IFERROR(__xludf.DUMMYFUNCTION("""COMPUTED_VALUE"""),1260.29)</f>
        <v>1260.29</v>
      </c>
    </row>
    <row r="2821">
      <c r="A2821" s="2">
        <f>IFERROR(__xludf.DUMMYFUNCTION("""COMPUTED_VALUE"""),39890.666666666664)</f>
        <v>39890.66667</v>
      </c>
      <c r="B2821" s="1">
        <f>IFERROR(__xludf.DUMMYFUNCTION("""COMPUTED_VALUE"""),1286.62)</f>
        <v>1286.62</v>
      </c>
    </row>
    <row r="2822">
      <c r="A2822" s="2">
        <f>IFERROR(__xludf.DUMMYFUNCTION("""COMPUTED_VALUE"""),39891.666666666664)</f>
        <v>39891.66667</v>
      </c>
      <c r="B2822" s="1">
        <f>IFERROR(__xludf.DUMMYFUNCTION("""COMPUTED_VALUE"""),1269.93)</f>
        <v>1269.93</v>
      </c>
    </row>
    <row r="2823">
      <c r="A2823" s="2">
        <f>IFERROR(__xludf.DUMMYFUNCTION("""COMPUTED_VALUE"""),39892.666666666664)</f>
        <v>39892.66667</v>
      </c>
      <c r="B2823" s="1">
        <f>IFERROR(__xludf.DUMMYFUNCTION("""COMPUTED_VALUE"""),1244.86)</f>
        <v>1244.86</v>
      </c>
    </row>
    <row r="2824">
      <c r="A2824" s="2">
        <f>IFERROR(__xludf.DUMMYFUNCTION("""COMPUTED_VALUE"""),39895.666666666664)</f>
        <v>39895.66667</v>
      </c>
      <c r="B2824" s="1">
        <f>IFERROR(__xludf.DUMMYFUNCTION("""COMPUTED_VALUE"""),1333.21)</f>
        <v>1333.21</v>
      </c>
    </row>
    <row r="2825">
      <c r="A2825" s="2">
        <f>IFERROR(__xludf.DUMMYFUNCTION("""COMPUTED_VALUE"""),39896.666666666664)</f>
        <v>39896.66667</v>
      </c>
      <c r="B2825" s="1">
        <f>IFERROR(__xludf.DUMMYFUNCTION("""COMPUTED_VALUE"""),1306.03)</f>
        <v>1306.03</v>
      </c>
    </row>
    <row r="2826">
      <c r="A2826" s="2">
        <f>IFERROR(__xludf.DUMMYFUNCTION("""COMPUTED_VALUE"""),39897.666666666664)</f>
        <v>39897.66667</v>
      </c>
      <c r="B2826" s="1">
        <f>IFERROR(__xludf.DUMMYFUNCTION("""COMPUTED_VALUE"""),1318.61)</f>
        <v>1318.61</v>
      </c>
    </row>
    <row r="2827">
      <c r="A2827" s="2">
        <f>IFERROR(__xludf.DUMMYFUNCTION("""COMPUTED_VALUE"""),39898.666666666664)</f>
        <v>39898.66667</v>
      </c>
      <c r="B2827" s="1">
        <f>IFERROR(__xludf.DUMMYFUNCTION("""COMPUTED_VALUE"""),1349.37)</f>
        <v>1349.37</v>
      </c>
    </row>
    <row r="2828">
      <c r="A2828" s="2">
        <f>IFERROR(__xludf.DUMMYFUNCTION("""COMPUTED_VALUE"""),39899.666666666664)</f>
        <v>39899.66667</v>
      </c>
      <c r="B2828" s="1">
        <f>IFERROR(__xludf.DUMMYFUNCTION("""COMPUTED_VALUE"""),1322.19)</f>
        <v>1322.19</v>
      </c>
    </row>
    <row r="2829">
      <c r="A2829" s="2">
        <f>IFERROR(__xludf.DUMMYFUNCTION("""COMPUTED_VALUE"""),39902.666666666664)</f>
        <v>39902.66667</v>
      </c>
      <c r="B2829" s="1">
        <f>IFERROR(__xludf.DUMMYFUNCTION("""COMPUTED_VALUE"""),1276.22)</f>
        <v>1276.22</v>
      </c>
    </row>
    <row r="2830">
      <c r="A2830" s="2">
        <f>IFERROR(__xludf.DUMMYFUNCTION("""COMPUTED_VALUE"""),39903.666666666664)</f>
        <v>39903.66667</v>
      </c>
      <c r="B2830" s="1">
        <f>IFERROR(__xludf.DUMMYFUNCTION("""COMPUTED_VALUE"""),1292.98)</f>
        <v>1292.98</v>
      </c>
    </row>
    <row r="2831">
      <c r="A2831" s="2">
        <f>IFERROR(__xludf.DUMMYFUNCTION("""COMPUTED_VALUE"""),39904.666666666664)</f>
        <v>39904.66667</v>
      </c>
      <c r="B2831" s="1">
        <f>IFERROR(__xludf.DUMMYFUNCTION("""COMPUTED_VALUE"""),1314.63)</f>
        <v>1314.63</v>
      </c>
    </row>
    <row r="2832">
      <c r="A2832" s="2">
        <f>IFERROR(__xludf.DUMMYFUNCTION("""COMPUTED_VALUE"""),39905.666666666664)</f>
        <v>39905.66667</v>
      </c>
      <c r="B2832" s="1">
        <f>IFERROR(__xludf.DUMMYFUNCTION("""COMPUTED_VALUE"""),1352.47)</f>
        <v>1352.47</v>
      </c>
    </row>
    <row r="2833">
      <c r="A2833" s="2">
        <f>IFERROR(__xludf.DUMMYFUNCTION("""COMPUTED_VALUE"""),39906.666666666664)</f>
        <v>39906.66667</v>
      </c>
      <c r="B2833" s="1">
        <f>IFERROR(__xludf.DUMMYFUNCTION("""COMPUTED_VALUE"""),1365.66)</f>
        <v>1365.66</v>
      </c>
    </row>
    <row r="2834">
      <c r="A2834" s="2">
        <f>IFERROR(__xludf.DUMMYFUNCTION("""COMPUTED_VALUE"""),39909.666666666664)</f>
        <v>39909.66667</v>
      </c>
      <c r="B2834" s="1">
        <f>IFERROR(__xludf.DUMMYFUNCTION("""COMPUTED_VALUE"""),1354.28)</f>
        <v>1354.28</v>
      </c>
    </row>
    <row r="2835">
      <c r="A2835" s="2">
        <f>IFERROR(__xludf.DUMMYFUNCTION("""COMPUTED_VALUE"""),39910.666666666664)</f>
        <v>39910.66667</v>
      </c>
      <c r="B2835" s="1">
        <f>IFERROR(__xludf.DUMMYFUNCTION("""COMPUTED_VALUE"""),1322.91)</f>
        <v>1322.91</v>
      </c>
    </row>
    <row r="2836">
      <c r="A2836" s="2">
        <f>IFERROR(__xludf.DUMMYFUNCTION("""COMPUTED_VALUE"""),39911.666666666664)</f>
        <v>39911.66667</v>
      </c>
      <c r="B2836" s="1">
        <f>IFERROR(__xludf.DUMMYFUNCTION("""COMPUTED_VALUE"""),1338.53)</f>
        <v>1338.53</v>
      </c>
    </row>
    <row r="2837">
      <c r="A2837" s="2">
        <f>IFERROR(__xludf.DUMMYFUNCTION("""COMPUTED_VALUE"""),39912.666666666664)</f>
        <v>39912.66667</v>
      </c>
      <c r="B2837" s="1">
        <f>IFERROR(__xludf.DUMMYFUNCTION("""COMPUTED_VALUE"""),1389.49)</f>
        <v>1389.49</v>
      </c>
    </row>
    <row r="2838">
      <c r="A2838" s="2">
        <f>IFERROR(__xludf.DUMMYFUNCTION("""COMPUTED_VALUE"""),39916.666666666664)</f>
        <v>39916.66667</v>
      </c>
      <c r="B2838" s="1">
        <f>IFERROR(__xludf.DUMMYFUNCTION("""COMPUTED_VALUE"""),1393.01)</f>
        <v>1393.01</v>
      </c>
    </row>
    <row r="2839">
      <c r="A2839" s="2">
        <f>IFERROR(__xludf.DUMMYFUNCTION("""COMPUTED_VALUE"""),39917.666666666664)</f>
        <v>39917.66667</v>
      </c>
      <c r="B2839" s="1">
        <f>IFERROR(__xludf.DUMMYFUNCTION("""COMPUTED_VALUE"""),1365.2)</f>
        <v>1365.2</v>
      </c>
    </row>
    <row r="2840">
      <c r="A2840" s="2">
        <f>IFERROR(__xludf.DUMMYFUNCTION("""COMPUTED_VALUE"""),39918.666666666664)</f>
        <v>39918.66667</v>
      </c>
      <c r="B2840" s="1">
        <f>IFERROR(__xludf.DUMMYFUNCTION("""COMPUTED_VALUE"""),1382.36)</f>
        <v>1382.36</v>
      </c>
    </row>
    <row r="2841">
      <c r="A2841" s="2">
        <f>IFERROR(__xludf.DUMMYFUNCTION("""COMPUTED_VALUE"""),39919.666666666664)</f>
        <v>39919.66667</v>
      </c>
      <c r="B2841" s="1">
        <f>IFERROR(__xludf.DUMMYFUNCTION("""COMPUTED_VALUE"""),1403.89)</f>
        <v>1403.89</v>
      </c>
    </row>
    <row r="2842">
      <c r="A2842" s="2">
        <f>IFERROR(__xludf.DUMMYFUNCTION("""COMPUTED_VALUE"""),39920.666666666664)</f>
        <v>39920.66667</v>
      </c>
      <c r="B2842" s="1">
        <f>IFERROR(__xludf.DUMMYFUNCTION("""COMPUTED_VALUE"""),1410.85)</f>
        <v>1410.85</v>
      </c>
    </row>
    <row r="2843">
      <c r="A2843" s="2">
        <f>IFERROR(__xludf.DUMMYFUNCTION("""COMPUTED_VALUE"""),39923.666666666664)</f>
        <v>39923.66667</v>
      </c>
      <c r="B2843" s="1">
        <f>IFERROR(__xludf.DUMMYFUNCTION("""COMPUTED_VALUE"""),1350.49)</f>
        <v>1350.49</v>
      </c>
    </row>
    <row r="2844">
      <c r="A2844" s="2">
        <f>IFERROR(__xludf.DUMMYFUNCTION("""COMPUTED_VALUE"""),39924.666666666664)</f>
        <v>39924.66667</v>
      </c>
      <c r="B2844" s="1">
        <f>IFERROR(__xludf.DUMMYFUNCTION("""COMPUTED_VALUE"""),1379.22)</f>
        <v>1379.22</v>
      </c>
    </row>
    <row r="2845">
      <c r="A2845" s="2">
        <f>IFERROR(__xludf.DUMMYFUNCTION("""COMPUTED_VALUE"""),39925.666666666664)</f>
        <v>39925.66667</v>
      </c>
      <c r="B2845" s="1">
        <f>IFERROR(__xludf.DUMMYFUNCTION("""COMPUTED_VALUE"""),1368.92)</f>
        <v>1368.92</v>
      </c>
    </row>
    <row r="2846">
      <c r="A2846" s="2">
        <f>IFERROR(__xludf.DUMMYFUNCTION("""COMPUTED_VALUE"""),39926.666666666664)</f>
        <v>39926.66667</v>
      </c>
      <c r="B2846" s="1">
        <f>IFERROR(__xludf.DUMMYFUNCTION("""COMPUTED_VALUE"""),1382.52)</f>
        <v>1382.52</v>
      </c>
    </row>
    <row r="2847">
      <c r="A2847" s="2">
        <f>IFERROR(__xludf.DUMMYFUNCTION("""COMPUTED_VALUE"""),39927.666666666664)</f>
        <v>39927.66667</v>
      </c>
      <c r="B2847" s="1">
        <f>IFERROR(__xludf.DUMMYFUNCTION("""COMPUTED_VALUE"""),1405.74)</f>
        <v>1405.74</v>
      </c>
    </row>
    <row r="2848">
      <c r="A2848" s="2">
        <f>IFERROR(__xludf.DUMMYFUNCTION("""COMPUTED_VALUE"""),39930.666666666664)</f>
        <v>39930.66667</v>
      </c>
      <c r="B2848" s="1">
        <f>IFERROR(__xludf.DUMMYFUNCTION("""COMPUTED_VALUE"""),1391.58)</f>
        <v>1391.58</v>
      </c>
    </row>
    <row r="2849">
      <c r="A2849" s="2">
        <f>IFERROR(__xludf.DUMMYFUNCTION("""COMPUTED_VALUE"""),39931.666666666664)</f>
        <v>39931.66667</v>
      </c>
      <c r="B2849" s="1">
        <f>IFERROR(__xludf.DUMMYFUNCTION("""COMPUTED_VALUE"""),1387.82)</f>
        <v>1387.82</v>
      </c>
    </row>
    <row r="2850">
      <c r="A2850" s="2">
        <f>IFERROR(__xludf.DUMMYFUNCTION("""COMPUTED_VALUE"""),39932.666666666664)</f>
        <v>39932.66667</v>
      </c>
      <c r="B2850" s="1">
        <f>IFERROR(__xludf.DUMMYFUNCTION("""COMPUTED_VALUE"""),1417.99)</f>
        <v>1417.99</v>
      </c>
    </row>
    <row r="2851">
      <c r="A2851" s="2">
        <f>IFERROR(__xludf.DUMMYFUNCTION("""COMPUTED_VALUE"""),39933.666666666664)</f>
        <v>39933.66667</v>
      </c>
      <c r="B2851" s="1">
        <f>IFERROR(__xludf.DUMMYFUNCTION("""COMPUTED_VALUE"""),1416.73)</f>
        <v>1416.73</v>
      </c>
    </row>
    <row r="2852">
      <c r="A2852" s="2">
        <f>IFERROR(__xludf.DUMMYFUNCTION("""COMPUTED_VALUE"""),39934.666666666664)</f>
        <v>39934.66667</v>
      </c>
      <c r="B2852" s="1">
        <f>IFERROR(__xludf.DUMMYFUNCTION("""COMPUTED_VALUE"""),1424.41)</f>
        <v>1424.41</v>
      </c>
    </row>
    <row r="2853">
      <c r="A2853" s="2">
        <f>IFERROR(__xludf.DUMMYFUNCTION("""COMPUTED_VALUE"""),39937.666666666664)</f>
        <v>39937.66667</v>
      </c>
      <c r="B2853" s="1">
        <f>IFERROR(__xludf.DUMMYFUNCTION("""COMPUTED_VALUE"""),1472.64)</f>
        <v>1472.64</v>
      </c>
    </row>
    <row r="2854">
      <c r="A2854" s="2">
        <f>IFERROR(__xludf.DUMMYFUNCTION("""COMPUTED_VALUE"""),39938.666666666664)</f>
        <v>39938.66667</v>
      </c>
      <c r="B2854" s="1">
        <f>IFERROR(__xludf.DUMMYFUNCTION("""COMPUTED_VALUE"""),1467.25)</f>
        <v>1467.25</v>
      </c>
    </row>
    <row r="2855">
      <c r="A2855" s="2">
        <f>IFERROR(__xludf.DUMMYFUNCTION("""COMPUTED_VALUE"""),39939.666666666664)</f>
        <v>39939.66667</v>
      </c>
      <c r="B2855" s="1">
        <f>IFERROR(__xludf.DUMMYFUNCTION("""COMPUTED_VALUE"""),1493.31)</f>
        <v>1493.31</v>
      </c>
    </row>
    <row r="2856">
      <c r="A2856" s="2">
        <f>IFERROR(__xludf.DUMMYFUNCTION("""COMPUTED_VALUE"""),39940.666666666664)</f>
        <v>39940.66667</v>
      </c>
      <c r="B2856" s="1">
        <f>IFERROR(__xludf.DUMMYFUNCTION("""COMPUTED_VALUE"""),1473.66)</f>
        <v>1473.66</v>
      </c>
    </row>
    <row r="2857">
      <c r="A2857" s="2">
        <f>IFERROR(__xludf.DUMMYFUNCTION("""COMPUTED_VALUE"""),39941.666666666664)</f>
        <v>39941.66667</v>
      </c>
      <c r="B2857" s="1">
        <f>IFERROR(__xludf.DUMMYFUNCTION("""COMPUTED_VALUE"""),1509.14)</f>
        <v>1509.14</v>
      </c>
    </row>
    <row r="2858">
      <c r="A2858" s="2">
        <f>IFERROR(__xludf.DUMMYFUNCTION("""COMPUTED_VALUE"""),39944.666666666664)</f>
        <v>39944.66667</v>
      </c>
      <c r="B2858" s="1">
        <f>IFERROR(__xludf.DUMMYFUNCTION("""COMPUTED_VALUE"""),1476.67)</f>
        <v>1476.67</v>
      </c>
    </row>
    <row r="2859">
      <c r="A2859" s="2">
        <f>IFERROR(__xludf.DUMMYFUNCTION("""COMPUTED_VALUE"""),39945.666666666664)</f>
        <v>39945.66667</v>
      </c>
      <c r="B2859" s="1">
        <f>IFERROR(__xludf.DUMMYFUNCTION("""COMPUTED_VALUE"""),1475.82)</f>
        <v>1475.82</v>
      </c>
    </row>
    <row r="2860">
      <c r="A2860" s="2">
        <f>IFERROR(__xludf.DUMMYFUNCTION("""COMPUTED_VALUE"""),39946.666666666664)</f>
        <v>39946.66667</v>
      </c>
      <c r="B2860" s="1">
        <f>IFERROR(__xludf.DUMMYFUNCTION("""COMPUTED_VALUE"""),1436.13)</f>
        <v>1436.13</v>
      </c>
    </row>
    <row r="2861">
      <c r="A2861" s="2">
        <f>IFERROR(__xludf.DUMMYFUNCTION("""COMPUTED_VALUE"""),39947.666666666664)</f>
        <v>39947.66667</v>
      </c>
      <c r="B2861" s="1">
        <f>IFERROR(__xludf.DUMMYFUNCTION("""COMPUTED_VALUE"""),1451.17)</f>
        <v>1451.17</v>
      </c>
    </row>
    <row r="2862">
      <c r="A2862" s="2">
        <f>IFERROR(__xludf.DUMMYFUNCTION("""COMPUTED_VALUE"""),39948.666666666664)</f>
        <v>39948.66667</v>
      </c>
      <c r="B2862" s="1">
        <f>IFERROR(__xludf.DUMMYFUNCTION("""COMPUTED_VALUE"""),1435.48)</f>
        <v>1435.48</v>
      </c>
    </row>
    <row r="2863">
      <c r="A2863" s="2">
        <f>IFERROR(__xludf.DUMMYFUNCTION("""COMPUTED_VALUE"""),39951.666666666664)</f>
        <v>39951.66667</v>
      </c>
      <c r="B2863" s="1">
        <f>IFERROR(__xludf.DUMMYFUNCTION("""COMPUTED_VALUE"""),1479.11)</f>
        <v>1479.11</v>
      </c>
    </row>
    <row r="2864">
      <c r="A2864" s="2">
        <f>IFERROR(__xludf.DUMMYFUNCTION("""COMPUTED_VALUE"""),39952.666666666664)</f>
        <v>39952.66667</v>
      </c>
      <c r="B2864" s="1">
        <f>IFERROR(__xludf.DUMMYFUNCTION("""COMPUTED_VALUE"""),1479.24)</f>
        <v>1479.24</v>
      </c>
    </row>
    <row r="2865">
      <c r="A2865" s="2">
        <f>IFERROR(__xludf.DUMMYFUNCTION("""COMPUTED_VALUE"""),39953.666666666664)</f>
        <v>39953.66667</v>
      </c>
      <c r="B2865" s="1">
        <f>IFERROR(__xludf.DUMMYFUNCTION("""COMPUTED_VALUE"""),1469.47)</f>
        <v>1469.47</v>
      </c>
    </row>
    <row r="2866">
      <c r="A2866" s="2">
        <f>IFERROR(__xludf.DUMMYFUNCTION("""COMPUTED_VALUE"""),39954.666666666664)</f>
        <v>39954.66667</v>
      </c>
      <c r="B2866" s="1">
        <f>IFERROR(__xludf.DUMMYFUNCTION("""COMPUTED_VALUE"""),1445.28)</f>
        <v>1445.28</v>
      </c>
    </row>
    <row r="2867">
      <c r="A2867" s="2">
        <f>IFERROR(__xludf.DUMMYFUNCTION("""COMPUTED_VALUE"""),39955.666666666664)</f>
        <v>39955.66667</v>
      </c>
      <c r="B2867" s="1">
        <f>IFERROR(__xludf.DUMMYFUNCTION("""COMPUTED_VALUE"""),1443.14)</f>
        <v>1443.14</v>
      </c>
    </row>
    <row r="2868">
      <c r="A2868" s="2">
        <f>IFERROR(__xludf.DUMMYFUNCTION("""COMPUTED_VALUE"""),39959.666666666664)</f>
        <v>39959.66667</v>
      </c>
      <c r="B2868" s="1">
        <f>IFERROR(__xludf.DUMMYFUNCTION("""COMPUTED_VALUE"""),1481.1)</f>
        <v>1481.1</v>
      </c>
    </row>
    <row r="2869">
      <c r="A2869" s="2">
        <f>IFERROR(__xludf.DUMMYFUNCTION("""COMPUTED_VALUE"""),39960.666666666664)</f>
        <v>39960.66667</v>
      </c>
      <c r="B2869" s="1">
        <f>IFERROR(__xludf.DUMMYFUNCTION("""COMPUTED_VALUE"""),1453.28)</f>
        <v>1453.28</v>
      </c>
    </row>
    <row r="2870">
      <c r="A2870" s="2">
        <f>IFERROR(__xludf.DUMMYFUNCTION("""COMPUTED_VALUE"""),39961.666666666664)</f>
        <v>39961.66667</v>
      </c>
      <c r="B2870" s="1">
        <f>IFERROR(__xludf.DUMMYFUNCTION("""COMPUTED_VALUE"""),1475.94)</f>
        <v>1475.94</v>
      </c>
    </row>
    <row r="2871">
      <c r="A2871" s="2">
        <f>IFERROR(__xludf.DUMMYFUNCTION("""COMPUTED_VALUE"""),39962.666666666664)</f>
        <v>39962.66667</v>
      </c>
      <c r="B2871" s="1">
        <f>IFERROR(__xludf.DUMMYFUNCTION("""COMPUTED_VALUE"""),1495.97)</f>
        <v>1495.97</v>
      </c>
    </row>
    <row r="2872">
      <c r="A2872" s="2">
        <f>IFERROR(__xludf.DUMMYFUNCTION("""COMPUTED_VALUE"""),39965.666666666664)</f>
        <v>39965.66667</v>
      </c>
      <c r="B2872" s="1">
        <f>IFERROR(__xludf.DUMMYFUNCTION("""COMPUTED_VALUE"""),1534.59)</f>
        <v>1534.59</v>
      </c>
    </row>
    <row r="2873">
      <c r="A2873" s="2">
        <f>IFERROR(__xludf.DUMMYFUNCTION("""COMPUTED_VALUE"""),39966.666666666664)</f>
        <v>39966.66667</v>
      </c>
      <c r="B2873" s="1">
        <f>IFERROR(__xludf.DUMMYFUNCTION("""COMPUTED_VALUE"""),1537.69)</f>
        <v>1537.69</v>
      </c>
    </row>
    <row r="2874">
      <c r="A2874" s="2">
        <f>IFERROR(__xludf.DUMMYFUNCTION("""COMPUTED_VALUE"""),39967.666666666664)</f>
        <v>39967.66667</v>
      </c>
      <c r="B2874" s="1">
        <f>IFERROR(__xludf.DUMMYFUNCTION("""COMPUTED_VALUE"""),1516.87)</f>
        <v>1516.87</v>
      </c>
    </row>
    <row r="2875">
      <c r="A2875" s="2">
        <f>IFERROR(__xludf.DUMMYFUNCTION("""COMPUTED_VALUE"""),39968.666666666664)</f>
        <v>39968.66667</v>
      </c>
      <c r="B2875" s="1">
        <f>IFERROR(__xludf.DUMMYFUNCTION("""COMPUTED_VALUE"""),1534.59)</f>
        <v>1534.59</v>
      </c>
    </row>
    <row r="2876">
      <c r="A2876" s="2">
        <f>IFERROR(__xludf.DUMMYFUNCTION("""COMPUTED_VALUE"""),39969.666666666664)</f>
        <v>39969.66667</v>
      </c>
      <c r="B2876" s="1">
        <f>IFERROR(__xludf.DUMMYFUNCTION("""COMPUTED_VALUE"""),1530.81)</f>
        <v>1530.81</v>
      </c>
    </row>
    <row r="2877">
      <c r="A2877" s="2">
        <f>IFERROR(__xludf.DUMMYFUNCTION("""COMPUTED_VALUE"""),39972.666666666664)</f>
        <v>39972.66667</v>
      </c>
      <c r="B2877" s="1">
        <f>IFERROR(__xludf.DUMMYFUNCTION("""COMPUTED_VALUE"""),1529.26)</f>
        <v>1529.26</v>
      </c>
    </row>
    <row r="2878">
      <c r="A2878" s="2">
        <f>IFERROR(__xludf.DUMMYFUNCTION("""COMPUTED_VALUE"""),39973.666666666664)</f>
        <v>39973.66667</v>
      </c>
      <c r="B2878" s="1">
        <f>IFERROR(__xludf.DUMMYFUNCTION("""COMPUTED_VALUE"""),1535.03)</f>
        <v>1535.03</v>
      </c>
    </row>
    <row r="2879">
      <c r="A2879" s="2">
        <f>IFERROR(__xludf.DUMMYFUNCTION("""COMPUTED_VALUE"""),39974.666666666664)</f>
        <v>39974.66667</v>
      </c>
      <c r="B2879" s="1">
        <f>IFERROR(__xludf.DUMMYFUNCTION("""COMPUTED_VALUE"""),1529.76)</f>
        <v>1529.76</v>
      </c>
    </row>
    <row r="2880">
      <c r="A2880" s="2">
        <f>IFERROR(__xludf.DUMMYFUNCTION("""COMPUTED_VALUE"""),39975.666666666664)</f>
        <v>39975.66667</v>
      </c>
      <c r="B2880" s="1">
        <f>IFERROR(__xludf.DUMMYFUNCTION("""COMPUTED_VALUE"""),1539.5)</f>
        <v>1539.5</v>
      </c>
    </row>
    <row r="2881">
      <c r="A2881" s="2">
        <f>IFERROR(__xludf.DUMMYFUNCTION("""COMPUTED_VALUE"""),39976.666666666664)</f>
        <v>39976.66667</v>
      </c>
      <c r="B2881" s="1">
        <f>IFERROR(__xludf.DUMMYFUNCTION("""COMPUTED_VALUE"""),1541.7)</f>
        <v>1541.7</v>
      </c>
    </row>
    <row r="2882">
      <c r="A2882" s="2">
        <f>IFERROR(__xludf.DUMMYFUNCTION("""COMPUTED_VALUE"""),39979.666666666664)</f>
        <v>39979.66667</v>
      </c>
      <c r="B2882" s="1">
        <f>IFERROR(__xludf.DUMMYFUNCTION("""COMPUTED_VALUE"""),1505.06)</f>
        <v>1505.06</v>
      </c>
    </row>
    <row r="2883">
      <c r="A2883" s="2">
        <f>IFERROR(__xludf.DUMMYFUNCTION("""COMPUTED_VALUE"""),39980.666666666664)</f>
        <v>39980.66667</v>
      </c>
      <c r="B2883" s="1">
        <f>IFERROR(__xludf.DUMMYFUNCTION("""COMPUTED_VALUE"""),1485.92)</f>
        <v>1485.92</v>
      </c>
    </row>
    <row r="2884">
      <c r="A2884" s="2">
        <f>IFERROR(__xludf.DUMMYFUNCTION("""COMPUTED_VALUE"""),39981.666666666664)</f>
        <v>39981.66667</v>
      </c>
      <c r="B2884" s="1">
        <f>IFERROR(__xludf.DUMMYFUNCTION("""COMPUTED_VALUE"""),1483.9)</f>
        <v>1483.9</v>
      </c>
    </row>
    <row r="2885">
      <c r="A2885" s="2">
        <f>IFERROR(__xludf.DUMMYFUNCTION("""COMPUTED_VALUE"""),39982.666666666664)</f>
        <v>39982.66667</v>
      </c>
      <c r="B2885" s="1">
        <f>IFERROR(__xludf.DUMMYFUNCTION("""COMPUTED_VALUE"""),1496.59)</f>
        <v>1496.59</v>
      </c>
    </row>
    <row r="2886">
      <c r="A2886" s="2">
        <f>IFERROR(__xludf.DUMMYFUNCTION("""COMPUTED_VALUE"""),39983.666666666664)</f>
        <v>39983.66667</v>
      </c>
      <c r="B2886" s="1">
        <f>IFERROR(__xludf.DUMMYFUNCTION("""COMPUTED_VALUE"""),1501.24)</f>
        <v>1501.24</v>
      </c>
    </row>
    <row r="2887">
      <c r="A2887" s="2">
        <f>IFERROR(__xludf.DUMMYFUNCTION("""COMPUTED_VALUE"""),39986.666666666664)</f>
        <v>39986.66667</v>
      </c>
      <c r="B2887" s="1">
        <f>IFERROR(__xludf.DUMMYFUNCTION("""COMPUTED_VALUE"""),1455.32)</f>
        <v>1455.32</v>
      </c>
    </row>
    <row r="2888">
      <c r="A2888" s="2">
        <f>IFERROR(__xludf.DUMMYFUNCTION("""COMPUTED_VALUE"""),39987.666666666664)</f>
        <v>39987.66667</v>
      </c>
      <c r="B2888" s="1">
        <f>IFERROR(__xludf.DUMMYFUNCTION("""COMPUTED_VALUE"""),1458.92)</f>
        <v>1458.92</v>
      </c>
    </row>
    <row r="2889">
      <c r="A2889" s="2">
        <f>IFERROR(__xludf.DUMMYFUNCTION("""COMPUTED_VALUE"""),39988.666666666664)</f>
        <v>39988.66667</v>
      </c>
      <c r="B2889" s="1">
        <f>IFERROR(__xludf.DUMMYFUNCTION("""COMPUTED_VALUE"""),1468.48)</f>
        <v>1468.48</v>
      </c>
    </row>
    <row r="2890">
      <c r="A2890" s="2">
        <f>IFERROR(__xludf.DUMMYFUNCTION("""COMPUTED_VALUE"""),39989.666666666664)</f>
        <v>39989.66667</v>
      </c>
      <c r="B2890" s="1">
        <f>IFERROR(__xludf.DUMMYFUNCTION("""COMPUTED_VALUE"""),1499.98)</f>
        <v>1499.98</v>
      </c>
    </row>
    <row r="2891">
      <c r="A2891" s="2">
        <f>IFERROR(__xludf.DUMMYFUNCTION("""COMPUTED_VALUE"""),39990.666666666664)</f>
        <v>39990.66667</v>
      </c>
      <c r="B2891" s="1">
        <f>IFERROR(__xludf.DUMMYFUNCTION("""COMPUTED_VALUE"""),1498.08)</f>
        <v>1498.08</v>
      </c>
    </row>
    <row r="2892">
      <c r="A2892" s="2">
        <f>IFERROR(__xludf.DUMMYFUNCTION("""COMPUTED_VALUE"""),39993.666666666664)</f>
        <v>39993.66667</v>
      </c>
      <c r="B2892" s="1">
        <f>IFERROR(__xludf.DUMMYFUNCTION("""COMPUTED_VALUE"""),1511.65)</f>
        <v>1511.65</v>
      </c>
    </row>
    <row r="2893">
      <c r="A2893" s="2">
        <f>IFERROR(__xludf.DUMMYFUNCTION("""COMPUTED_VALUE"""),39994.666666666664)</f>
        <v>39994.66667</v>
      </c>
      <c r="B2893" s="1">
        <f>IFERROR(__xludf.DUMMYFUNCTION("""COMPUTED_VALUE"""),1498.94)</f>
        <v>1498.94</v>
      </c>
    </row>
    <row r="2894">
      <c r="A2894" s="2">
        <f>IFERROR(__xludf.DUMMYFUNCTION("""COMPUTED_VALUE"""),39995.666666666664)</f>
        <v>39995.66667</v>
      </c>
      <c r="B2894" s="1">
        <f>IFERROR(__xludf.DUMMYFUNCTION("""COMPUTED_VALUE"""),1505.64)</f>
        <v>1505.64</v>
      </c>
    </row>
    <row r="2895">
      <c r="A2895" s="2">
        <f>IFERROR(__xludf.DUMMYFUNCTION("""COMPUTED_VALUE"""),39996.666666666664)</f>
        <v>39996.66667</v>
      </c>
      <c r="B2895" s="1">
        <f>IFERROR(__xludf.DUMMYFUNCTION("""COMPUTED_VALUE"""),1461.8)</f>
        <v>1461.8</v>
      </c>
    </row>
    <row r="2896">
      <c r="A2896" s="2">
        <f>IFERROR(__xludf.DUMMYFUNCTION("""COMPUTED_VALUE"""),40000.666666666664)</f>
        <v>40000.66667</v>
      </c>
      <c r="B2896" s="1">
        <f>IFERROR(__xludf.DUMMYFUNCTION("""COMPUTED_VALUE"""),1465.54)</f>
        <v>1465.54</v>
      </c>
    </row>
    <row r="2897">
      <c r="A2897" s="2">
        <f>IFERROR(__xludf.DUMMYFUNCTION("""COMPUTED_VALUE"""),40001.666666666664)</f>
        <v>40001.66667</v>
      </c>
      <c r="B2897" s="1">
        <f>IFERROR(__xludf.DUMMYFUNCTION("""COMPUTED_VALUE"""),1436.74)</f>
        <v>1436.74</v>
      </c>
    </row>
    <row r="2898">
      <c r="A2898" s="2">
        <f>IFERROR(__xludf.DUMMYFUNCTION("""COMPUTED_VALUE"""),40002.666666666664)</f>
        <v>40002.66667</v>
      </c>
      <c r="B2898" s="1">
        <f>IFERROR(__xludf.DUMMYFUNCTION("""COMPUTED_VALUE"""),1435.2)</f>
        <v>1435.2</v>
      </c>
    </row>
    <row r="2899">
      <c r="A2899" s="2">
        <f>IFERROR(__xludf.DUMMYFUNCTION("""COMPUTED_VALUE"""),40003.666666666664)</f>
        <v>40003.66667</v>
      </c>
      <c r="B2899" s="1">
        <f>IFERROR(__xludf.DUMMYFUNCTION("""COMPUTED_VALUE"""),1440.3)</f>
        <v>1440.3</v>
      </c>
    </row>
    <row r="2900">
      <c r="A2900" s="2">
        <f>IFERROR(__xludf.DUMMYFUNCTION("""COMPUTED_VALUE"""),40004.666666666664)</f>
        <v>40004.66667</v>
      </c>
      <c r="B2900" s="1">
        <f>IFERROR(__xludf.DUMMYFUNCTION("""COMPUTED_VALUE"""),1434.5)</f>
        <v>1434.5</v>
      </c>
    </row>
    <row r="2901">
      <c r="A2901" s="2">
        <f>IFERROR(__xludf.DUMMYFUNCTION("""COMPUTED_VALUE"""),40007.666666666664)</f>
        <v>40007.66667</v>
      </c>
      <c r="B2901" s="1">
        <f>IFERROR(__xludf.DUMMYFUNCTION("""COMPUTED_VALUE"""),1470.28)</f>
        <v>1470.28</v>
      </c>
    </row>
    <row r="2902">
      <c r="A2902" s="2">
        <f>IFERROR(__xludf.DUMMYFUNCTION("""COMPUTED_VALUE"""),40008.666666666664)</f>
        <v>40008.66667</v>
      </c>
      <c r="B2902" s="1">
        <f>IFERROR(__xludf.DUMMYFUNCTION("""COMPUTED_VALUE"""),1478.24)</f>
        <v>1478.24</v>
      </c>
    </row>
    <row r="2903">
      <c r="A2903" s="2">
        <f>IFERROR(__xludf.DUMMYFUNCTION("""COMPUTED_VALUE"""),40009.666666666664)</f>
        <v>40009.66667</v>
      </c>
      <c r="B2903" s="1">
        <f>IFERROR(__xludf.DUMMYFUNCTION("""COMPUTED_VALUE"""),1522.09)</f>
        <v>1522.09</v>
      </c>
    </row>
    <row r="2904">
      <c r="A2904" s="2">
        <f>IFERROR(__xludf.DUMMYFUNCTION("""COMPUTED_VALUE"""),40010.666666666664)</f>
        <v>40010.66667</v>
      </c>
      <c r="B2904" s="1">
        <f>IFERROR(__xludf.DUMMYFUNCTION("""COMPUTED_VALUE"""),1535.31)</f>
        <v>1535.31</v>
      </c>
    </row>
    <row r="2905">
      <c r="A2905" s="2">
        <f>IFERROR(__xludf.DUMMYFUNCTION("""COMPUTED_VALUE"""),40011.666666666664)</f>
        <v>40011.66667</v>
      </c>
      <c r="B2905" s="1">
        <f>IFERROR(__xludf.DUMMYFUNCTION("""COMPUTED_VALUE"""),1534.71)</f>
        <v>1534.71</v>
      </c>
    </row>
    <row r="2906">
      <c r="A2906" s="2">
        <f>IFERROR(__xludf.DUMMYFUNCTION("""COMPUTED_VALUE"""),40014.666666666664)</f>
        <v>40014.66667</v>
      </c>
      <c r="B2906" s="1">
        <f>IFERROR(__xludf.DUMMYFUNCTION("""COMPUTED_VALUE"""),1552.25)</f>
        <v>1552.25</v>
      </c>
    </row>
    <row r="2907">
      <c r="A2907" s="2">
        <f>IFERROR(__xludf.DUMMYFUNCTION("""COMPUTED_VALUE"""),40015.666666666664)</f>
        <v>40015.66667</v>
      </c>
      <c r="B2907" s="1">
        <f>IFERROR(__xludf.DUMMYFUNCTION("""COMPUTED_VALUE"""),1557.91)</f>
        <v>1557.91</v>
      </c>
    </row>
    <row r="2908">
      <c r="A2908" s="2">
        <f>IFERROR(__xludf.DUMMYFUNCTION("""COMPUTED_VALUE"""),40016.666666666664)</f>
        <v>40016.66667</v>
      </c>
      <c r="B2908" s="1">
        <f>IFERROR(__xludf.DUMMYFUNCTION("""COMPUTED_VALUE"""),1557.09)</f>
        <v>1557.09</v>
      </c>
    </row>
    <row r="2909">
      <c r="A2909" s="2">
        <f>IFERROR(__xludf.DUMMYFUNCTION("""COMPUTED_VALUE"""),40017.666666666664)</f>
        <v>40017.66667</v>
      </c>
      <c r="B2909" s="1">
        <f>IFERROR(__xludf.DUMMYFUNCTION("""COMPUTED_VALUE"""),1593.65)</f>
        <v>1593.65</v>
      </c>
    </row>
    <row r="2910">
      <c r="A2910" s="2">
        <f>IFERROR(__xludf.DUMMYFUNCTION("""COMPUTED_VALUE"""),40018.666666666664)</f>
        <v>40018.66667</v>
      </c>
      <c r="B2910" s="1">
        <f>IFERROR(__xludf.DUMMYFUNCTION("""COMPUTED_VALUE"""),1598.5)</f>
        <v>1598.5</v>
      </c>
    </row>
    <row r="2911">
      <c r="A2911" s="2">
        <f>IFERROR(__xludf.DUMMYFUNCTION("""COMPUTED_VALUE"""),40021.666666666664)</f>
        <v>40021.66667</v>
      </c>
      <c r="B2911" s="1">
        <f>IFERROR(__xludf.DUMMYFUNCTION("""COMPUTED_VALUE"""),1603.26)</f>
        <v>1603.26</v>
      </c>
    </row>
    <row r="2912">
      <c r="A2912" s="2">
        <f>IFERROR(__xludf.DUMMYFUNCTION("""COMPUTED_VALUE"""),40022.666666666664)</f>
        <v>40022.66667</v>
      </c>
      <c r="B2912" s="1">
        <f>IFERROR(__xludf.DUMMYFUNCTION("""COMPUTED_VALUE"""),1599.09)</f>
        <v>1599.09</v>
      </c>
    </row>
    <row r="2913">
      <c r="A2913" s="2">
        <f>IFERROR(__xludf.DUMMYFUNCTION("""COMPUTED_VALUE"""),40023.666666666664)</f>
        <v>40023.66667</v>
      </c>
      <c r="B2913" s="1">
        <f>IFERROR(__xludf.DUMMYFUNCTION("""COMPUTED_VALUE"""),1592.0)</f>
        <v>1592</v>
      </c>
    </row>
    <row r="2914">
      <c r="A2914" s="2">
        <f>IFERROR(__xludf.DUMMYFUNCTION("""COMPUTED_VALUE"""),40024.666666666664)</f>
        <v>40024.66667</v>
      </c>
      <c r="B2914" s="1">
        <f>IFERROR(__xludf.DUMMYFUNCTION("""COMPUTED_VALUE"""),1611.14)</f>
        <v>1611.14</v>
      </c>
    </row>
    <row r="2915">
      <c r="A2915" s="2">
        <f>IFERROR(__xludf.DUMMYFUNCTION("""COMPUTED_VALUE"""),40025.666666666664)</f>
        <v>40025.66667</v>
      </c>
      <c r="B2915" s="1">
        <f>IFERROR(__xludf.DUMMYFUNCTION("""COMPUTED_VALUE"""),1612.31)</f>
        <v>1612.31</v>
      </c>
    </row>
    <row r="2916">
      <c r="A2916" s="2">
        <f>IFERROR(__xludf.DUMMYFUNCTION("""COMPUTED_VALUE"""),40028.666666666664)</f>
        <v>40028.66667</v>
      </c>
      <c r="B2916" s="1">
        <f>IFERROR(__xludf.DUMMYFUNCTION("""COMPUTED_VALUE"""),1637.06)</f>
        <v>1637.06</v>
      </c>
    </row>
    <row r="2917">
      <c r="A2917" s="2">
        <f>IFERROR(__xludf.DUMMYFUNCTION("""COMPUTED_VALUE"""),40029.666666666664)</f>
        <v>40029.66667</v>
      </c>
      <c r="B2917" s="1">
        <f>IFERROR(__xludf.DUMMYFUNCTION("""COMPUTED_VALUE"""),1642.03)</f>
        <v>1642.03</v>
      </c>
    </row>
    <row r="2918">
      <c r="A2918" s="2">
        <f>IFERROR(__xludf.DUMMYFUNCTION("""COMPUTED_VALUE"""),40030.666666666664)</f>
        <v>40030.66667</v>
      </c>
      <c r="B2918" s="1">
        <f>IFERROR(__xludf.DUMMYFUNCTION("""COMPUTED_VALUE"""),1637.81)</f>
        <v>1637.81</v>
      </c>
    </row>
    <row r="2919">
      <c r="A2919" s="2">
        <f>IFERROR(__xludf.DUMMYFUNCTION("""COMPUTED_VALUE"""),40031.666666666664)</f>
        <v>40031.66667</v>
      </c>
      <c r="B2919" s="1">
        <f>IFERROR(__xludf.DUMMYFUNCTION("""COMPUTED_VALUE"""),1628.82)</f>
        <v>1628.82</v>
      </c>
    </row>
    <row r="2920">
      <c r="A2920" s="2">
        <f>IFERROR(__xludf.DUMMYFUNCTION("""COMPUTED_VALUE"""),40032.666666666664)</f>
        <v>40032.66667</v>
      </c>
      <c r="B2920" s="1">
        <f>IFERROR(__xludf.DUMMYFUNCTION("""COMPUTED_VALUE"""),1650.73)</f>
        <v>1650.73</v>
      </c>
    </row>
    <row r="2921">
      <c r="A2921" s="2">
        <f>IFERROR(__xludf.DUMMYFUNCTION("""COMPUTED_VALUE"""),40035.666666666664)</f>
        <v>40035.66667</v>
      </c>
      <c r="B2921" s="1">
        <f>IFERROR(__xludf.DUMMYFUNCTION("""COMPUTED_VALUE"""),1645.26)</f>
        <v>1645.26</v>
      </c>
    </row>
    <row r="2922">
      <c r="A2922" s="2">
        <f>IFERROR(__xludf.DUMMYFUNCTION("""COMPUTED_VALUE"""),40036.666666666664)</f>
        <v>40036.66667</v>
      </c>
      <c r="B2922" s="1">
        <f>IFERROR(__xludf.DUMMYFUNCTION("""COMPUTED_VALUE"""),1624.91)</f>
        <v>1624.91</v>
      </c>
    </row>
    <row r="2923">
      <c r="A2923" s="2">
        <f>IFERROR(__xludf.DUMMYFUNCTION("""COMPUTED_VALUE"""),40037.666666666664)</f>
        <v>40037.66667</v>
      </c>
      <c r="B2923" s="1">
        <f>IFERROR(__xludf.DUMMYFUNCTION("""COMPUTED_VALUE"""),1643.64)</f>
        <v>1643.64</v>
      </c>
    </row>
    <row r="2924">
      <c r="A2924" s="2">
        <f>IFERROR(__xludf.DUMMYFUNCTION("""COMPUTED_VALUE"""),40038.666666666664)</f>
        <v>40038.66667</v>
      </c>
      <c r="B2924" s="1">
        <f>IFERROR(__xludf.DUMMYFUNCTION("""COMPUTED_VALUE"""),1655.66)</f>
        <v>1655.66</v>
      </c>
    </row>
    <row r="2925">
      <c r="A2925" s="2">
        <f>IFERROR(__xludf.DUMMYFUNCTION("""COMPUTED_VALUE"""),40039.666666666664)</f>
        <v>40039.66667</v>
      </c>
      <c r="B2925" s="1">
        <f>IFERROR(__xludf.DUMMYFUNCTION("""COMPUTED_VALUE"""),1641.54)</f>
        <v>1641.54</v>
      </c>
    </row>
    <row r="2926">
      <c r="A2926" s="2">
        <f>IFERROR(__xludf.DUMMYFUNCTION("""COMPUTED_VALUE"""),40042.666666666664)</f>
        <v>40042.66667</v>
      </c>
      <c r="B2926" s="1">
        <f>IFERROR(__xludf.DUMMYFUNCTION("""COMPUTED_VALUE"""),1602.06)</f>
        <v>1602.06</v>
      </c>
    </row>
    <row r="2927">
      <c r="A2927" s="2">
        <f>IFERROR(__xludf.DUMMYFUNCTION("""COMPUTED_VALUE"""),40043.666666666664)</f>
        <v>40043.66667</v>
      </c>
      <c r="B2927" s="1">
        <f>IFERROR(__xludf.DUMMYFUNCTION("""COMPUTED_VALUE"""),1618.6)</f>
        <v>1618.6</v>
      </c>
    </row>
    <row r="2928">
      <c r="A2928" s="2">
        <f>IFERROR(__xludf.DUMMYFUNCTION("""COMPUTED_VALUE"""),40044.666666666664)</f>
        <v>40044.66667</v>
      </c>
      <c r="B2928" s="1">
        <f>IFERROR(__xludf.DUMMYFUNCTION("""COMPUTED_VALUE"""),1629.92)</f>
        <v>1629.92</v>
      </c>
    </row>
    <row r="2929">
      <c r="A2929" s="2">
        <f>IFERROR(__xludf.DUMMYFUNCTION("""COMPUTED_VALUE"""),40045.666666666664)</f>
        <v>40045.66667</v>
      </c>
      <c r="B2929" s="1">
        <f>IFERROR(__xludf.DUMMYFUNCTION("""COMPUTED_VALUE"""),1647.85)</f>
        <v>1647.85</v>
      </c>
    </row>
    <row r="2930">
      <c r="A2930" s="2">
        <f>IFERROR(__xludf.DUMMYFUNCTION("""COMPUTED_VALUE"""),40046.666666666664)</f>
        <v>40046.66667</v>
      </c>
      <c r="B2930" s="1">
        <f>IFERROR(__xludf.DUMMYFUNCTION("""COMPUTED_VALUE"""),1678.84)</f>
        <v>1678.84</v>
      </c>
    </row>
    <row r="2931">
      <c r="A2931" s="2">
        <f>IFERROR(__xludf.DUMMYFUNCTION("""COMPUTED_VALUE"""),40049.666666666664)</f>
        <v>40049.66667</v>
      </c>
      <c r="B2931" s="1">
        <f>IFERROR(__xludf.DUMMYFUNCTION("""COMPUTED_VALUE"""),1677.94)</f>
        <v>1677.94</v>
      </c>
    </row>
    <row r="2932">
      <c r="A2932" s="2">
        <f>IFERROR(__xludf.DUMMYFUNCTION("""COMPUTED_VALUE"""),40050.666666666664)</f>
        <v>40050.66667</v>
      </c>
      <c r="B2932" s="1">
        <f>IFERROR(__xludf.DUMMYFUNCTION("""COMPUTED_VALUE"""),1681.92)</f>
        <v>1681.92</v>
      </c>
    </row>
    <row r="2933">
      <c r="A2933" s="2">
        <f>IFERROR(__xludf.DUMMYFUNCTION("""COMPUTED_VALUE"""),40051.666666666664)</f>
        <v>40051.66667</v>
      </c>
      <c r="B2933" s="1">
        <f>IFERROR(__xludf.DUMMYFUNCTION("""COMPUTED_VALUE"""),1682.29)</f>
        <v>1682.29</v>
      </c>
    </row>
    <row r="2934">
      <c r="A2934" s="2">
        <f>IFERROR(__xludf.DUMMYFUNCTION("""COMPUTED_VALUE"""),40052.666666666664)</f>
        <v>40052.66667</v>
      </c>
      <c r="B2934" s="1">
        <f>IFERROR(__xludf.DUMMYFUNCTION("""COMPUTED_VALUE"""),1687.16)</f>
        <v>1687.16</v>
      </c>
    </row>
    <row r="2935">
      <c r="A2935" s="2">
        <f>IFERROR(__xludf.DUMMYFUNCTION("""COMPUTED_VALUE"""),40053.666666666664)</f>
        <v>40053.66667</v>
      </c>
      <c r="B2935" s="1">
        <f>IFERROR(__xludf.DUMMYFUNCTION("""COMPUTED_VALUE"""),1684.05)</f>
        <v>1684.05</v>
      </c>
    </row>
    <row r="2936">
      <c r="A2936" s="2">
        <f>IFERROR(__xludf.DUMMYFUNCTION("""COMPUTED_VALUE"""),40056.666666666664)</f>
        <v>40056.66667</v>
      </c>
      <c r="B2936" s="1">
        <f>IFERROR(__xludf.DUMMYFUNCTION("""COMPUTED_VALUE"""),1670.52)</f>
        <v>1670.52</v>
      </c>
    </row>
    <row r="2937">
      <c r="A2937" s="2">
        <f>IFERROR(__xludf.DUMMYFUNCTION("""COMPUTED_VALUE"""),40057.666666666664)</f>
        <v>40057.66667</v>
      </c>
      <c r="B2937" s="1">
        <f>IFERROR(__xludf.DUMMYFUNCTION("""COMPUTED_VALUE"""),1633.63)</f>
        <v>1633.63</v>
      </c>
    </row>
    <row r="2938">
      <c r="A2938" s="2">
        <f>IFERROR(__xludf.DUMMYFUNCTION("""COMPUTED_VALUE"""),40058.666666666664)</f>
        <v>40058.66667</v>
      </c>
      <c r="B2938" s="1">
        <f>IFERROR(__xludf.DUMMYFUNCTION("""COMPUTED_VALUE"""),1628.66)</f>
        <v>1628.66</v>
      </c>
    </row>
    <row r="2939">
      <c r="A2939" s="2">
        <f>IFERROR(__xludf.DUMMYFUNCTION("""COMPUTED_VALUE"""),40059.666666666664)</f>
        <v>40059.66667</v>
      </c>
      <c r="B2939" s="1">
        <f>IFERROR(__xludf.DUMMYFUNCTION("""COMPUTED_VALUE"""),1642.68)</f>
        <v>1642.68</v>
      </c>
    </row>
    <row r="2940">
      <c r="A2940" s="2">
        <f>IFERROR(__xludf.DUMMYFUNCTION("""COMPUTED_VALUE"""),40060.666666666664)</f>
        <v>40060.66667</v>
      </c>
      <c r="B2940" s="1">
        <f>IFERROR(__xludf.DUMMYFUNCTION("""COMPUTED_VALUE"""),1664.34)</f>
        <v>1664.34</v>
      </c>
    </row>
    <row r="2941">
      <c r="A2941" s="2">
        <f>IFERROR(__xludf.DUMMYFUNCTION("""COMPUTED_VALUE"""),40064.666666666664)</f>
        <v>40064.66667</v>
      </c>
      <c r="B2941" s="1">
        <f>IFERROR(__xludf.DUMMYFUNCTION("""COMPUTED_VALUE"""),1679.32)</f>
        <v>1679.32</v>
      </c>
    </row>
    <row r="2942">
      <c r="A2942" s="2">
        <f>IFERROR(__xludf.DUMMYFUNCTION("""COMPUTED_VALUE"""),40065.666666666664)</f>
        <v>40065.66667</v>
      </c>
      <c r="B2942" s="1">
        <f>IFERROR(__xludf.DUMMYFUNCTION("""COMPUTED_VALUE"""),1692.48)</f>
        <v>1692.48</v>
      </c>
    </row>
    <row r="2943">
      <c r="A2943" s="2">
        <f>IFERROR(__xludf.DUMMYFUNCTION("""COMPUTED_VALUE"""),40066.666666666664)</f>
        <v>40066.66667</v>
      </c>
      <c r="B2943" s="1">
        <f>IFERROR(__xludf.DUMMYFUNCTION("""COMPUTED_VALUE"""),1710.14)</f>
        <v>1710.14</v>
      </c>
    </row>
    <row r="2944">
      <c r="A2944" s="2">
        <f>IFERROR(__xludf.DUMMYFUNCTION("""COMPUTED_VALUE"""),40067.666666666664)</f>
        <v>40067.66667</v>
      </c>
      <c r="B2944" s="1">
        <f>IFERROR(__xludf.DUMMYFUNCTION("""COMPUTED_VALUE"""),1708.18)</f>
        <v>1708.18</v>
      </c>
    </row>
    <row r="2945">
      <c r="A2945" s="2">
        <f>IFERROR(__xludf.DUMMYFUNCTION("""COMPUTED_VALUE"""),40070.666666666664)</f>
        <v>40070.66667</v>
      </c>
      <c r="B2945" s="1">
        <f>IFERROR(__xludf.DUMMYFUNCTION("""COMPUTED_VALUE"""),1719.04)</f>
        <v>1719.04</v>
      </c>
    </row>
    <row r="2946">
      <c r="A2946" s="2">
        <f>IFERROR(__xludf.DUMMYFUNCTION("""COMPUTED_VALUE"""),40071.666666666664)</f>
        <v>40071.66667</v>
      </c>
      <c r="B2946" s="1">
        <f>IFERROR(__xludf.DUMMYFUNCTION("""COMPUTED_VALUE"""),1724.44)</f>
        <v>1724.44</v>
      </c>
    </row>
    <row r="2947">
      <c r="A2947" s="2">
        <f>IFERROR(__xludf.DUMMYFUNCTION("""COMPUTED_VALUE"""),40072.666666666664)</f>
        <v>40072.66667</v>
      </c>
      <c r="B2947" s="1">
        <f>IFERROR(__xludf.DUMMYFUNCTION("""COMPUTED_VALUE"""),1750.91)</f>
        <v>1750.91</v>
      </c>
    </row>
    <row r="2948">
      <c r="A2948" s="2">
        <f>IFERROR(__xludf.DUMMYFUNCTION("""COMPUTED_VALUE"""),40073.666666666664)</f>
        <v>40073.66667</v>
      </c>
      <c r="B2948" s="1">
        <f>IFERROR(__xludf.DUMMYFUNCTION("""COMPUTED_VALUE"""),1745.8)</f>
        <v>1745.8</v>
      </c>
    </row>
    <row r="2949">
      <c r="A2949" s="2">
        <f>IFERROR(__xludf.DUMMYFUNCTION("""COMPUTED_VALUE"""),40074.666666666664)</f>
        <v>40074.66667</v>
      </c>
      <c r="B2949" s="1">
        <f>IFERROR(__xludf.DUMMYFUNCTION("""COMPUTED_VALUE"""),1750.43)</f>
        <v>1750.43</v>
      </c>
    </row>
    <row r="2950">
      <c r="A2950" s="2">
        <f>IFERROR(__xludf.DUMMYFUNCTION("""COMPUTED_VALUE"""),40077.666666666664)</f>
        <v>40077.66667</v>
      </c>
      <c r="B2950" s="1">
        <f>IFERROR(__xludf.DUMMYFUNCTION("""COMPUTED_VALUE"""),1744.47)</f>
        <v>1744.47</v>
      </c>
    </row>
    <row r="2951">
      <c r="A2951" s="2">
        <f>IFERROR(__xludf.DUMMYFUNCTION("""COMPUTED_VALUE"""),40078.666666666664)</f>
        <v>40078.66667</v>
      </c>
      <c r="B2951" s="1">
        <f>IFERROR(__xludf.DUMMYFUNCTION("""COMPUTED_VALUE"""),1755.99)</f>
        <v>1755.99</v>
      </c>
    </row>
    <row r="2952">
      <c r="A2952" s="2">
        <f>IFERROR(__xludf.DUMMYFUNCTION("""COMPUTED_VALUE"""),40079.666666666664)</f>
        <v>40079.66667</v>
      </c>
      <c r="B2952" s="1">
        <f>IFERROR(__xludf.DUMMYFUNCTION("""COMPUTED_VALUE"""),1738.32)</f>
        <v>1738.32</v>
      </c>
    </row>
    <row r="2953">
      <c r="A2953" s="2">
        <f>IFERROR(__xludf.DUMMYFUNCTION("""COMPUTED_VALUE"""),40080.666666666664)</f>
        <v>40080.66667</v>
      </c>
      <c r="B2953" s="1">
        <f>IFERROR(__xludf.DUMMYFUNCTION("""COMPUTED_VALUE"""),1722.02)</f>
        <v>1722.02</v>
      </c>
    </row>
    <row r="2954">
      <c r="A2954" s="2">
        <f>IFERROR(__xludf.DUMMYFUNCTION("""COMPUTED_VALUE"""),40081.666666666664)</f>
        <v>40081.66667</v>
      </c>
      <c r="B2954" s="1">
        <f>IFERROR(__xludf.DUMMYFUNCTION("""COMPUTED_VALUE"""),1711.53)</f>
        <v>1711.53</v>
      </c>
    </row>
    <row r="2955">
      <c r="A2955" s="2">
        <f>IFERROR(__xludf.DUMMYFUNCTION("""COMPUTED_VALUE"""),40084.666666666664)</f>
        <v>40084.66667</v>
      </c>
      <c r="B2955" s="1">
        <f>IFERROR(__xludf.DUMMYFUNCTION("""COMPUTED_VALUE"""),1742.01)</f>
        <v>1742.01</v>
      </c>
    </row>
    <row r="2956">
      <c r="A2956" s="2">
        <f>IFERROR(__xludf.DUMMYFUNCTION("""COMPUTED_VALUE"""),40085.666666666664)</f>
        <v>40085.66667</v>
      </c>
      <c r="B2956" s="1">
        <f>IFERROR(__xludf.DUMMYFUNCTION("""COMPUTED_VALUE"""),1738.42)</f>
        <v>1738.42</v>
      </c>
    </row>
    <row r="2957">
      <c r="A2957" s="2">
        <f>IFERROR(__xludf.DUMMYFUNCTION("""COMPUTED_VALUE"""),40086.666666666664)</f>
        <v>40086.66667</v>
      </c>
      <c r="B2957" s="1">
        <f>IFERROR(__xludf.DUMMYFUNCTION("""COMPUTED_VALUE"""),1732.69)</f>
        <v>1732.69</v>
      </c>
    </row>
    <row r="2958">
      <c r="A2958" s="2">
        <f>IFERROR(__xludf.DUMMYFUNCTION("""COMPUTED_VALUE"""),40087.666666666664)</f>
        <v>40087.66667</v>
      </c>
      <c r="B2958" s="1">
        <f>IFERROR(__xludf.DUMMYFUNCTION("""COMPUTED_VALUE"""),1688.22)</f>
        <v>1688.22</v>
      </c>
    </row>
    <row r="2959">
      <c r="A2959" s="2">
        <f>IFERROR(__xludf.DUMMYFUNCTION("""COMPUTED_VALUE"""),40088.666666666664)</f>
        <v>40088.66667</v>
      </c>
      <c r="B2959" s="1">
        <f>IFERROR(__xludf.DUMMYFUNCTION("""COMPUTED_VALUE"""),1680.64)</f>
        <v>1680.64</v>
      </c>
    </row>
    <row r="2960">
      <c r="A2960" s="2">
        <f>IFERROR(__xludf.DUMMYFUNCTION("""COMPUTED_VALUE"""),40091.666666666664)</f>
        <v>40091.66667</v>
      </c>
      <c r="B2960" s="1">
        <f>IFERROR(__xludf.DUMMYFUNCTION("""COMPUTED_VALUE"""),1705.7)</f>
        <v>1705.7</v>
      </c>
    </row>
    <row r="2961">
      <c r="A2961" s="2">
        <f>IFERROR(__xludf.DUMMYFUNCTION("""COMPUTED_VALUE"""),40092.666666666664)</f>
        <v>40092.66667</v>
      </c>
      <c r="B2961" s="1">
        <f>IFERROR(__xludf.DUMMYFUNCTION("""COMPUTED_VALUE"""),1729.12)</f>
        <v>1729.12</v>
      </c>
    </row>
    <row r="2962">
      <c r="A2962" s="2">
        <f>IFERROR(__xludf.DUMMYFUNCTION("""COMPUTED_VALUE"""),40093.666666666664)</f>
        <v>40093.66667</v>
      </c>
      <c r="B2962" s="1">
        <f>IFERROR(__xludf.DUMMYFUNCTION("""COMPUTED_VALUE"""),1733.84)</f>
        <v>1733.84</v>
      </c>
    </row>
    <row r="2963">
      <c r="A2963" s="2">
        <f>IFERROR(__xludf.DUMMYFUNCTION("""COMPUTED_VALUE"""),40094.666666666664)</f>
        <v>40094.66667</v>
      </c>
      <c r="B2963" s="1">
        <f>IFERROR(__xludf.DUMMYFUNCTION("""COMPUTED_VALUE"""),1747.7)</f>
        <v>1747.7</v>
      </c>
    </row>
    <row r="2964">
      <c r="A2964" s="2">
        <f>IFERROR(__xludf.DUMMYFUNCTION("""COMPUTED_VALUE"""),40095.666666666664)</f>
        <v>40095.66667</v>
      </c>
      <c r="B2964" s="1">
        <f>IFERROR(__xludf.DUMMYFUNCTION("""COMPUTED_VALUE"""),1757.56)</f>
        <v>1757.56</v>
      </c>
    </row>
    <row r="2965">
      <c r="A2965" s="2">
        <f>IFERROR(__xludf.DUMMYFUNCTION("""COMPUTED_VALUE"""),40098.666666666664)</f>
        <v>40098.66667</v>
      </c>
      <c r="B2965" s="1">
        <f>IFERROR(__xludf.DUMMYFUNCTION("""COMPUTED_VALUE"""),1765.31)</f>
        <v>1765.31</v>
      </c>
    </row>
    <row r="2966">
      <c r="A2966" s="2">
        <f>IFERROR(__xludf.DUMMYFUNCTION("""COMPUTED_VALUE"""),40099.666666666664)</f>
        <v>40099.66667</v>
      </c>
      <c r="B2966" s="1">
        <f>IFERROR(__xludf.DUMMYFUNCTION("""COMPUTED_VALUE"""),1760.51)</f>
        <v>1760.51</v>
      </c>
    </row>
    <row r="2967">
      <c r="A2967" s="2">
        <f>IFERROR(__xludf.DUMMYFUNCTION("""COMPUTED_VALUE"""),40100.666666666664)</f>
        <v>40100.66667</v>
      </c>
      <c r="B2967" s="1">
        <f>IFERROR(__xludf.DUMMYFUNCTION("""COMPUTED_VALUE"""),1791.4)</f>
        <v>1791.4</v>
      </c>
    </row>
    <row r="2968">
      <c r="A2968" s="2">
        <f>IFERROR(__xludf.DUMMYFUNCTION("""COMPUTED_VALUE"""),40101.666666666664)</f>
        <v>40101.66667</v>
      </c>
      <c r="B2968" s="1">
        <f>IFERROR(__xludf.DUMMYFUNCTION("""COMPUTED_VALUE"""),1798.91)</f>
        <v>1798.91</v>
      </c>
    </row>
    <row r="2969">
      <c r="A2969" s="2">
        <f>IFERROR(__xludf.DUMMYFUNCTION("""COMPUTED_VALUE"""),40102.666666666664)</f>
        <v>40102.66667</v>
      </c>
      <c r="B2969" s="1">
        <f>IFERROR(__xludf.DUMMYFUNCTION("""COMPUTED_VALUE"""),1784.35)</f>
        <v>1784.35</v>
      </c>
    </row>
    <row r="2970">
      <c r="A2970" s="2">
        <f>IFERROR(__xludf.DUMMYFUNCTION("""COMPUTED_VALUE"""),40105.666666666664)</f>
        <v>40105.66667</v>
      </c>
      <c r="B2970" s="1">
        <f>IFERROR(__xludf.DUMMYFUNCTION("""COMPUTED_VALUE"""),1801.12)</f>
        <v>1801.12</v>
      </c>
    </row>
    <row r="2971">
      <c r="A2971" s="2">
        <f>IFERROR(__xludf.DUMMYFUNCTION("""COMPUTED_VALUE"""),40106.666666666664)</f>
        <v>40106.66667</v>
      </c>
      <c r="B2971" s="1">
        <f>IFERROR(__xludf.DUMMYFUNCTION("""COMPUTED_VALUE"""),1789.9)</f>
        <v>1789.9</v>
      </c>
    </row>
    <row r="2972">
      <c r="A2972" s="2">
        <f>IFERROR(__xludf.DUMMYFUNCTION("""COMPUTED_VALUE"""),40107.666666666664)</f>
        <v>40107.66667</v>
      </c>
      <c r="B2972" s="1">
        <f>IFERROR(__xludf.DUMMYFUNCTION("""COMPUTED_VALUE"""),1774.08)</f>
        <v>1774.08</v>
      </c>
    </row>
    <row r="2973">
      <c r="A2973" s="2">
        <f>IFERROR(__xludf.DUMMYFUNCTION("""COMPUTED_VALUE"""),40108.666666666664)</f>
        <v>40108.66667</v>
      </c>
      <c r="B2973" s="1">
        <f>IFERROR(__xludf.DUMMYFUNCTION("""COMPUTED_VALUE"""),1793.34)</f>
        <v>1793.34</v>
      </c>
    </row>
    <row r="2974">
      <c r="A2974" s="2">
        <f>IFERROR(__xludf.DUMMYFUNCTION("""COMPUTED_VALUE"""),40109.666666666664)</f>
        <v>40109.66667</v>
      </c>
      <c r="B2974" s="1">
        <f>IFERROR(__xludf.DUMMYFUNCTION("""COMPUTED_VALUE"""),1771.5)</f>
        <v>1771.5</v>
      </c>
    </row>
    <row r="2975">
      <c r="A2975" s="2">
        <f>IFERROR(__xludf.DUMMYFUNCTION("""COMPUTED_VALUE"""),40112.666666666664)</f>
        <v>40112.66667</v>
      </c>
      <c r="B2975" s="1">
        <f>IFERROR(__xludf.DUMMYFUNCTION("""COMPUTED_VALUE"""),1750.74)</f>
        <v>1750.74</v>
      </c>
    </row>
    <row r="2976">
      <c r="A2976" s="2">
        <f>IFERROR(__xludf.DUMMYFUNCTION("""COMPUTED_VALUE"""),40113.666666666664)</f>
        <v>40113.66667</v>
      </c>
      <c r="B2976" s="1">
        <f>IFERROR(__xludf.DUMMYFUNCTION("""COMPUTED_VALUE"""),1744.95)</f>
        <v>1744.95</v>
      </c>
    </row>
    <row r="2977">
      <c r="A2977" s="2">
        <f>IFERROR(__xludf.DUMMYFUNCTION("""COMPUTED_VALUE"""),40114.666666666664)</f>
        <v>40114.66667</v>
      </c>
      <c r="B2977" s="1">
        <f>IFERROR(__xludf.DUMMYFUNCTION("""COMPUTED_VALUE"""),1710.85)</f>
        <v>1710.85</v>
      </c>
    </row>
    <row r="2978">
      <c r="A2978" s="2">
        <f>IFERROR(__xludf.DUMMYFUNCTION("""COMPUTED_VALUE"""),40115.666666666664)</f>
        <v>40115.66667</v>
      </c>
      <c r="B2978" s="1">
        <f>IFERROR(__xludf.DUMMYFUNCTION("""COMPUTED_VALUE"""),1749.61)</f>
        <v>1749.61</v>
      </c>
    </row>
    <row r="2979">
      <c r="A2979" s="2">
        <f>IFERROR(__xludf.DUMMYFUNCTION("""COMPUTED_VALUE"""),40116.666666666664)</f>
        <v>40116.66667</v>
      </c>
      <c r="B2979" s="1">
        <f>IFERROR(__xludf.DUMMYFUNCTION("""COMPUTED_VALUE"""),1700.67)</f>
        <v>1700.67</v>
      </c>
    </row>
    <row r="2980">
      <c r="A2980" s="2">
        <f>IFERROR(__xludf.DUMMYFUNCTION("""COMPUTED_VALUE"""),40119.666666666664)</f>
        <v>40119.66667</v>
      </c>
      <c r="B2980" s="1">
        <f>IFERROR(__xludf.DUMMYFUNCTION("""COMPUTED_VALUE"""),1711.64)</f>
        <v>1711.64</v>
      </c>
    </row>
    <row r="2981">
      <c r="A2981" s="2">
        <f>IFERROR(__xludf.DUMMYFUNCTION("""COMPUTED_VALUE"""),40120.666666666664)</f>
        <v>40120.66667</v>
      </c>
      <c r="B2981" s="1">
        <f>IFERROR(__xludf.DUMMYFUNCTION("""COMPUTED_VALUE"""),1715.81)</f>
        <v>1715.81</v>
      </c>
    </row>
    <row r="2982">
      <c r="A2982" s="2">
        <f>IFERROR(__xludf.DUMMYFUNCTION("""COMPUTED_VALUE"""),40121.666666666664)</f>
        <v>40121.66667</v>
      </c>
      <c r="B2982" s="1">
        <f>IFERROR(__xludf.DUMMYFUNCTION("""COMPUTED_VALUE"""),1717.6)</f>
        <v>1717.6</v>
      </c>
    </row>
    <row r="2983">
      <c r="A2983" s="2">
        <f>IFERROR(__xludf.DUMMYFUNCTION("""COMPUTED_VALUE"""),40122.666666666664)</f>
        <v>40122.66667</v>
      </c>
      <c r="B2983" s="1">
        <f>IFERROR(__xludf.DUMMYFUNCTION("""COMPUTED_VALUE"""),1751.26)</f>
        <v>1751.26</v>
      </c>
    </row>
    <row r="2984">
      <c r="A2984" s="2">
        <f>IFERROR(__xludf.DUMMYFUNCTION("""COMPUTED_VALUE"""),40123.666666666664)</f>
        <v>40123.66667</v>
      </c>
      <c r="B2984" s="1">
        <f>IFERROR(__xludf.DUMMYFUNCTION("""COMPUTED_VALUE"""),1756.07)</f>
        <v>1756.07</v>
      </c>
    </row>
    <row r="2985">
      <c r="A2985" s="2">
        <f>IFERROR(__xludf.DUMMYFUNCTION("""COMPUTED_VALUE"""),40126.666666666664)</f>
        <v>40126.66667</v>
      </c>
      <c r="B2985" s="1">
        <f>IFERROR(__xludf.DUMMYFUNCTION("""COMPUTED_VALUE"""),1795.12)</f>
        <v>1795.12</v>
      </c>
    </row>
    <row r="2986">
      <c r="A2986" s="2">
        <f>IFERROR(__xludf.DUMMYFUNCTION("""COMPUTED_VALUE"""),40127.666666666664)</f>
        <v>40127.66667</v>
      </c>
      <c r="B2986" s="1">
        <f>IFERROR(__xludf.DUMMYFUNCTION("""COMPUTED_VALUE"""),1795.45)</f>
        <v>1795.45</v>
      </c>
    </row>
    <row r="2987">
      <c r="A2987" s="2">
        <f>IFERROR(__xludf.DUMMYFUNCTION("""COMPUTED_VALUE"""),40128.666666666664)</f>
        <v>40128.66667</v>
      </c>
      <c r="B2987" s="1">
        <f>IFERROR(__xludf.DUMMYFUNCTION("""COMPUTED_VALUE"""),1804.93)</f>
        <v>1804.93</v>
      </c>
    </row>
    <row r="2988">
      <c r="A2988" s="2">
        <f>IFERROR(__xludf.DUMMYFUNCTION("""COMPUTED_VALUE"""),40129.666666666664)</f>
        <v>40129.66667</v>
      </c>
      <c r="B2988" s="1">
        <f>IFERROR(__xludf.DUMMYFUNCTION("""COMPUTED_VALUE"""),1786.41)</f>
        <v>1786.41</v>
      </c>
    </row>
    <row r="2989">
      <c r="A2989" s="2">
        <f>IFERROR(__xludf.DUMMYFUNCTION("""COMPUTED_VALUE"""),40130.666666666664)</f>
        <v>40130.66667</v>
      </c>
      <c r="B2989" s="1">
        <f>IFERROR(__xludf.DUMMYFUNCTION("""COMPUTED_VALUE"""),1796.92)</f>
        <v>1796.92</v>
      </c>
    </row>
    <row r="2990">
      <c r="A2990" s="2">
        <f>IFERROR(__xludf.DUMMYFUNCTION("""COMPUTED_VALUE"""),40133.666666666664)</f>
        <v>40133.66667</v>
      </c>
      <c r="B2990" s="1">
        <f>IFERROR(__xludf.DUMMYFUNCTION("""COMPUTED_VALUE"""),1822.93)</f>
        <v>1822.93</v>
      </c>
    </row>
    <row r="2991">
      <c r="A2991" s="2">
        <f>IFERROR(__xludf.DUMMYFUNCTION("""COMPUTED_VALUE"""),40134.666666666664)</f>
        <v>40134.66667</v>
      </c>
      <c r="B2991" s="1">
        <f>IFERROR(__xludf.DUMMYFUNCTION("""COMPUTED_VALUE"""),1824.97)</f>
        <v>1824.97</v>
      </c>
    </row>
    <row r="2992">
      <c r="A2992" s="2">
        <f>IFERROR(__xludf.DUMMYFUNCTION("""COMPUTED_VALUE"""),40135.666666666664)</f>
        <v>40135.66667</v>
      </c>
      <c r="B2992" s="1">
        <f>IFERROR(__xludf.DUMMYFUNCTION("""COMPUTED_VALUE"""),1824.33)</f>
        <v>1824.33</v>
      </c>
    </row>
    <row r="2993">
      <c r="A2993" s="2">
        <f>IFERROR(__xludf.DUMMYFUNCTION("""COMPUTED_VALUE"""),40136.666666666664)</f>
        <v>40136.66667</v>
      </c>
      <c r="B2993" s="1">
        <f>IFERROR(__xludf.DUMMYFUNCTION("""COMPUTED_VALUE"""),1800.12)</f>
        <v>1800.12</v>
      </c>
    </row>
    <row r="2994">
      <c r="A2994" s="2">
        <f>IFERROR(__xludf.DUMMYFUNCTION("""COMPUTED_VALUE"""),40137.666666666664)</f>
        <v>40137.66667</v>
      </c>
      <c r="B2994" s="1">
        <f>IFERROR(__xludf.DUMMYFUNCTION("""COMPUTED_VALUE"""),1794.33)</f>
        <v>1794.33</v>
      </c>
    </row>
    <row r="2995">
      <c r="A2995" s="2">
        <f>IFERROR(__xludf.DUMMYFUNCTION("""COMPUTED_VALUE"""),40140.666666666664)</f>
        <v>40140.66667</v>
      </c>
      <c r="B2995" s="1">
        <f>IFERROR(__xludf.DUMMYFUNCTION("""COMPUTED_VALUE"""),1819.17)</f>
        <v>1819.17</v>
      </c>
    </row>
    <row r="2996">
      <c r="A2996" s="2">
        <f>IFERROR(__xludf.DUMMYFUNCTION("""COMPUTED_VALUE"""),40141.666666666664)</f>
        <v>40141.66667</v>
      </c>
      <c r="B2996" s="1">
        <f>IFERROR(__xludf.DUMMYFUNCTION("""COMPUTED_VALUE"""),1818.21)</f>
        <v>1818.21</v>
      </c>
    </row>
    <row r="2997">
      <c r="A2997" s="2">
        <f>IFERROR(__xludf.DUMMYFUNCTION("""COMPUTED_VALUE"""),40142.666666666664)</f>
        <v>40142.66667</v>
      </c>
      <c r="B2997" s="1">
        <f>IFERROR(__xludf.DUMMYFUNCTION("""COMPUTED_VALUE"""),1826.5)</f>
        <v>1826.5</v>
      </c>
    </row>
    <row r="2998">
      <c r="A2998" s="2">
        <f>IFERROR(__xludf.DUMMYFUNCTION("""COMPUTED_VALUE"""),40144.666666666664)</f>
        <v>40144.66667</v>
      </c>
      <c r="B2998" s="1">
        <f>IFERROR(__xludf.DUMMYFUNCTION("""COMPUTED_VALUE"""),1795.7)</f>
        <v>1795.7</v>
      </c>
    </row>
    <row r="2999">
      <c r="A2999" s="2">
        <f>IFERROR(__xludf.DUMMYFUNCTION("""COMPUTED_VALUE"""),40147.666666666664)</f>
        <v>40147.66667</v>
      </c>
      <c r="B2999" s="1">
        <f>IFERROR(__xludf.DUMMYFUNCTION("""COMPUTED_VALUE"""),1802.68)</f>
        <v>1802.68</v>
      </c>
    </row>
    <row r="3000">
      <c r="A3000" s="2">
        <f>IFERROR(__xludf.DUMMYFUNCTION("""COMPUTED_VALUE"""),40148.666666666664)</f>
        <v>40148.66667</v>
      </c>
      <c r="B3000" s="1">
        <f>IFERROR(__xludf.DUMMYFUNCTION("""COMPUTED_VALUE"""),1824.54)</f>
        <v>1824.54</v>
      </c>
    </row>
    <row r="3001">
      <c r="A3001" s="2">
        <f>IFERROR(__xludf.DUMMYFUNCTION("""COMPUTED_VALUE"""),40149.666666666664)</f>
        <v>40149.66667</v>
      </c>
      <c r="B3001" s="1">
        <f>IFERROR(__xludf.DUMMYFUNCTION("""COMPUTED_VALUE"""),1825.4)</f>
        <v>1825.4</v>
      </c>
    </row>
    <row r="3002">
      <c r="A3002" s="2">
        <f>IFERROR(__xludf.DUMMYFUNCTION("""COMPUTED_VALUE"""),40150.666666666664)</f>
        <v>40150.66667</v>
      </c>
      <c r="B3002" s="1">
        <f>IFERROR(__xludf.DUMMYFUNCTION("""COMPUTED_VALUE"""),1810.13)</f>
        <v>1810.13</v>
      </c>
    </row>
    <row r="3003">
      <c r="A3003" s="2">
        <f>IFERROR(__xludf.DUMMYFUNCTION("""COMPUTED_VALUE"""),40151.666666666664)</f>
        <v>40151.66667</v>
      </c>
      <c r="B3003" s="1">
        <f>IFERROR(__xludf.DUMMYFUNCTION("""COMPUTED_VALUE"""),1820.09)</f>
        <v>1820.09</v>
      </c>
    </row>
    <row r="3004">
      <c r="A3004" s="2">
        <f>IFERROR(__xludf.DUMMYFUNCTION("""COMPUTED_VALUE"""),40154.666666666664)</f>
        <v>40154.66667</v>
      </c>
      <c r="B3004" s="1">
        <f>IFERROR(__xludf.DUMMYFUNCTION("""COMPUTED_VALUE"""),1815.7)</f>
        <v>1815.7</v>
      </c>
    </row>
    <row r="3005">
      <c r="A3005" s="2">
        <f>IFERROR(__xludf.DUMMYFUNCTION("""COMPUTED_VALUE"""),40155.666666666664)</f>
        <v>40155.66667</v>
      </c>
      <c r="B3005" s="1">
        <f>IFERROR(__xludf.DUMMYFUNCTION("""COMPUTED_VALUE"""),1797.31)</f>
        <v>1797.31</v>
      </c>
    </row>
    <row r="3006">
      <c r="A3006" s="2">
        <f>IFERROR(__xludf.DUMMYFUNCTION("""COMPUTED_VALUE"""),40156.666666666664)</f>
        <v>40156.66667</v>
      </c>
      <c r="B3006" s="1">
        <f>IFERROR(__xludf.DUMMYFUNCTION("""COMPUTED_VALUE"""),1803.9)</f>
        <v>1803.9</v>
      </c>
    </row>
    <row r="3007">
      <c r="A3007" s="2">
        <f>IFERROR(__xludf.DUMMYFUNCTION("""COMPUTED_VALUE"""),40157.666666666664)</f>
        <v>40157.66667</v>
      </c>
      <c r="B3007" s="1">
        <f>IFERROR(__xludf.DUMMYFUNCTION("""COMPUTED_VALUE"""),1814.64)</f>
        <v>1814.64</v>
      </c>
    </row>
    <row r="3008">
      <c r="A3008" s="2">
        <f>IFERROR(__xludf.DUMMYFUNCTION("""COMPUTED_VALUE"""),40158.666666666664)</f>
        <v>40158.66667</v>
      </c>
      <c r="B3008" s="1">
        <f>IFERROR(__xludf.DUMMYFUNCTION("""COMPUTED_VALUE"""),1821.5)</f>
        <v>1821.5</v>
      </c>
    </row>
    <row r="3009">
      <c r="A3009" s="2">
        <f>IFERROR(__xludf.DUMMYFUNCTION("""COMPUTED_VALUE"""),40161.666666666664)</f>
        <v>40161.66667</v>
      </c>
      <c r="B3009" s="1">
        <f>IFERROR(__xludf.DUMMYFUNCTION("""COMPUTED_VALUE"""),1834.49)</f>
        <v>1834.49</v>
      </c>
    </row>
    <row r="3010">
      <c r="A3010" s="2">
        <f>IFERROR(__xludf.DUMMYFUNCTION("""COMPUTED_VALUE"""),40162.666666666664)</f>
        <v>40162.66667</v>
      </c>
      <c r="B3010" s="1">
        <f>IFERROR(__xludf.DUMMYFUNCTION("""COMPUTED_VALUE"""),1824.37)</f>
        <v>1824.37</v>
      </c>
    </row>
    <row r="3011">
      <c r="A3011" s="2">
        <f>IFERROR(__xludf.DUMMYFUNCTION("""COMPUTED_VALUE"""),40163.666666666664)</f>
        <v>40163.66667</v>
      </c>
      <c r="B3011" s="1">
        <f>IFERROR(__xludf.DUMMYFUNCTION("""COMPUTED_VALUE"""),1826.43)</f>
        <v>1826.43</v>
      </c>
    </row>
    <row r="3012">
      <c r="A3012" s="2">
        <f>IFERROR(__xludf.DUMMYFUNCTION("""COMPUTED_VALUE"""),40164.666666666664)</f>
        <v>40164.66667</v>
      </c>
      <c r="B3012" s="1">
        <f>IFERROR(__xludf.DUMMYFUNCTION("""COMPUTED_VALUE"""),1804.96)</f>
        <v>1804.96</v>
      </c>
    </row>
    <row r="3013">
      <c r="A3013" s="2">
        <f>IFERROR(__xludf.DUMMYFUNCTION("""COMPUTED_VALUE"""),40165.666666666664)</f>
        <v>40165.66667</v>
      </c>
      <c r="B3013" s="1">
        <f>IFERROR(__xludf.DUMMYFUNCTION("""COMPUTED_VALUE"""),1815.35)</f>
        <v>1815.35</v>
      </c>
    </row>
    <row r="3014">
      <c r="A3014" s="2">
        <f>IFERROR(__xludf.DUMMYFUNCTION("""COMPUTED_VALUE"""),40168.666666666664)</f>
        <v>40168.66667</v>
      </c>
      <c r="B3014" s="1">
        <f>IFERROR(__xludf.DUMMYFUNCTION("""COMPUTED_VALUE"""),1834.59)</f>
        <v>1834.59</v>
      </c>
    </row>
    <row r="3015">
      <c r="A3015" s="2">
        <f>IFERROR(__xludf.DUMMYFUNCTION("""COMPUTED_VALUE"""),40169.666666666664)</f>
        <v>40169.66667</v>
      </c>
      <c r="B3015" s="1">
        <f>IFERROR(__xludf.DUMMYFUNCTION("""COMPUTED_VALUE"""),1841.15)</f>
        <v>1841.15</v>
      </c>
    </row>
    <row r="3016">
      <c r="A3016" s="2">
        <f>IFERROR(__xludf.DUMMYFUNCTION("""COMPUTED_VALUE"""),40170.666666666664)</f>
        <v>40170.66667</v>
      </c>
      <c r="B3016" s="1">
        <f>IFERROR(__xludf.DUMMYFUNCTION("""COMPUTED_VALUE"""),1845.4)</f>
        <v>1845.4</v>
      </c>
    </row>
    <row r="3017">
      <c r="A3017" s="2">
        <f>IFERROR(__xludf.DUMMYFUNCTION("""COMPUTED_VALUE"""),40171.666666666664)</f>
        <v>40171.66667</v>
      </c>
      <c r="B3017" s="1">
        <f>IFERROR(__xludf.DUMMYFUNCTION("""COMPUTED_VALUE"""),1855.5)</f>
        <v>1855.5</v>
      </c>
    </row>
    <row r="3018">
      <c r="A3018" s="2">
        <f>IFERROR(__xludf.DUMMYFUNCTION("""COMPUTED_VALUE"""),40175.666666666664)</f>
        <v>40175.66667</v>
      </c>
      <c r="B3018" s="1">
        <f>IFERROR(__xludf.DUMMYFUNCTION("""COMPUTED_VALUE"""),1857.89)</f>
        <v>1857.89</v>
      </c>
    </row>
    <row r="3019">
      <c r="A3019" s="2">
        <f>IFERROR(__xludf.DUMMYFUNCTION("""COMPUTED_VALUE"""),40176.666666666664)</f>
        <v>40176.66667</v>
      </c>
      <c r="B3019" s="1">
        <f>IFERROR(__xludf.DUMMYFUNCTION("""COMPUTED_VALUE"""),1855.61)</f>
        <v>1855.61</v>
      </c>
    </row>
    <row r="3020">
      <c r="A3020" s="2">
        <f>IFERROR(__xludf.DUMMYFUNCTION("""COMPUTED_VALUE"""),40177.666666666664)</f>
        <v>40177.66667</v>
      </c>
      <c r="B3020" s="1">
        <f>IFERROR(__xludf.DUMMYFUNCTION("""COMPUTED_VALUE"""),1855.97)</f>
        <v>1855.97</v>
      </c>
    </row>
    <row r="3021">
      <c r="A3021" s="2">
        <f>IFERROR(__xludf.DUMMYFUNCTION("""COMPUTED_VALUE"""),40178.666666666664)</f>
        <v>40178.66667</v>
      </c>
      <c r="B3021" s="1">
        <f>IFERROR(__xludf.DUMMYFUNCTION("""COMPUTED_VALUE"""),1837.49)</f>
        <v>1837.49</v>
      </c>
    </row>
    <row r="3022">
      <c r="A3022" s="2">
        <f>IFERROR(__xludf.DUMMYFUNCTION("""COMPUTED_VALUE"""),40182.666666666664)</f>
        <v>40182.66667</v>
      </c>
      <c r="B3022" s="1">
        <f>IFERROR(__xludf.DUMMYFUNCTION("""COMPUTED_VALUE"""),1867.06)</f>
        <v>1867.06</v>
      </c>
    </row>
    <row r="3023">
      <c r="A3023" s="2">
        <f>IFERROR(__xludf.DUMMYFUNCTION("""COMPUTED_VALUE"""),40183.666666666664)</f>
        <v>40183.66667</v>
      </c>
      <c r="B3023" s="1">
        <f>IFERROR(__xludf.DUMMYFUNCTION("""COMPUTED_VALUE"""),1872.9)</f>
        <v>1872.9</v>
      </c>
    </row>
    <row r="3024">
      <c r="A3024" s="2">
        <f>IFERROR(__xludf.DUMMYFUNCTION("""COMPUTED_VALUE"""),40184.666666666664)</f>
        <v>40184.66667</v>
      </c>
      <c r="B3024" s="1">
        <f>IFERROR(__xludf.DUMMYFUNCTION("""COMPUTED_VALUE"""),1874.73)</f>
        <v>1874.73</v>
      </c>
    </row>
    <row r="3025">
      <c r="A3025" s="2">
        <f>IFERROR(__xludf.DUMMYFUNCTION("""COMPUTED_VALUE"""),40185.666666666664)</f>
        <v>40185.66667</v>
      </c>
      <c r="B3025" s="1">
        <f>IFERROR(__xludf.DUMMYFUNCTION("""COMPUTED_VALUE"""),1882.34)</f>
        <v>1882.34</v>
      </c>
    </row>
    <row r="3026">
      <c r="A3026" s="2">
        <f>IFERROR(__xludf.DUMMYFUNCTION("""COMPUTED_VALUE"""),40186.666666666664)</f>
        <v>40186.66667</v>
      </c>
      <c r="B3026" s="1">
        <f>IFERROR(__xludf.DUMMYFUNCTION("""COMPUTED_VALUE"""),1887.77)</f>
        <v>1887.77</v>
      </c>
    </row>
    <row r="3027">
      <c r="A3027" s="2">
        <f>IFERROR(__xludf.DUMMYFUNCTION("""COMPUTED_VALUE"""),40189.666666666664)</f>
        <v>40189.66667</v>
      </c>
      <c r="B3027" s="1">
        <f>IFERROR(__xludf.DUMMYFUNCTION("""COMPUTED_VALUE"""),1891.06)</f>
        <v>1891.06</v>
      </c>
    </row>
    <row r="3028">
      <c r="A3028" s="2">
        <f>IFERROR(__xludf.DUMMYFUNCTION("""COMPUTED_VALUE"""),40190.666666666664)</f>
        <v>40190.66667</v>
      </c>
      <c r="B3028" s="1">
        <f>IFERROR(__xludf.DUMMYFUNCTION("""COMPUTED_VALUE"""),1873.32)</f>
        <v>1873.32</v>
      </c>
    </row>
    <row r="3029">
      <c r="A3029" s="2">
        <f>IFERROR(__xludf.DUMMYFUNCTION("""COMPUTED_VALUE"""),40191.666666666664)</f>
        <v>40191.66667</v>
      </c>
      <c r="B3029" s="1">
        <f>IFERROR(__xludf.DUMMYFUNCTION("""COMPUTED_VALUE"""),1889.1)</f>
        <v>1889.1</v>
      </c>
    </row>
    <row r="3030">
      <c r="A3030" s="2">
        <f>IFERROR(__xludf.DUMMYFUNCTION("""COMPUTED_VALUE"""),40192.666666666664)</f>
        <v>40192.66667</v>
      </c>
      <c r="B3030" s="1">
        <f>IFERROR(__xludf.DUMMYFUNCTION("""COMPUTED_VALUE"""),1893.72)</f>
        <v>1893.72</v>
      </c>
    </row>
    <row r="3031">
      <c r="A3031" s="2">
        <f>IFERROR(__xludf.DUMMYFUNCTION("""COMPUTED_VALUE"""),40193.666666666664)</f>
        <v>40193.66667</v>
      </c>
      <c r="B3031" s="1">
        <f>IFERROR(__xludf.DUMMYFUNCTION("""COMPUTED_VALUE"""),1873.22)</f>
        <v>1873.22</v>
      </c>
    </row>
    <row r="3032">
      <c r="A3032" s="2">
        <f>IFERROR(__xludf.DUMMYFUNCTION("""COMPUTED_VALUE"""),40197.666666666664)</f>
        <v>40197.66667</v>
      </c>
      <c r="B3032" s="1">
        <f>IFERROR(__xludf.DUMMYFUNCTION("""COMPUTED_VALUE"""),1896.72)</f>
        <v>1896.72</v>
      </c>
    </row>
    <row r="3033">
      <c r="A3033" s="2">
        <f>IFERROR(__xludf.DUMMYFUNCTION("""COMPUTED_VALUE"""),40198.666666666664)</f>
        <v>40198.66667</v>
      </c>
      <c r="B3033" s="1">
        <f>IFERROR(__xludf.DUMMYFUNCTION("""COMPUTED_VALUE"""),1876.9)</f>
        <v>1876.9</v>
      </c>
    </row>
    <row r="3034">
      <c r="A3034" s="2">
        <f>IFERROR(__xludf.DUMMYFUNCTION("""COMPUTED_VALUE"""),40199.666666666664)</f>
        <v>40199.66667</v>
      </c>
      <c r="B3034" s="1">
        <f>IFERROR(__xludf.DUMMYFUNCTION("""COMPUTED_VALUE"""),1841.39)</f>
        <v>1841.39</v>
      </c>
    </row>
    <row r="3035">
      <c r="A3035" s="2">
        <f>IFERROR(__xludf.DUMMYFUNCTION("""COMPUTED_VALUE"""),40200.666666666664)</f>
        <v>40200.66667</v>
      </c>
      <c r="B3035" s="1">
        <f>IFERROR(__xludf.DUMMYFUNCTION("""COMPUTED_VALUE"""),1800.61)</f>
        <v>1800.61</v>
      </c>
    </row>
    <row r="3036">
      <c r="A3036" s="2">
        <f>IFERROR(__xludf.DUMMYFUNCTION("""COMPUTED_VALUE"""),40203.666666666664)</f>
        <v>40203.66667</v>
      </c>
      <c r="B3036" s="1">
        <f>IFERROR(__xludf.DUMMYFUNCTION("""COMPUTED_VALUE"""),1808.91)</f>
        <v>1808.91</v>
      </c>
    </row>
    <row r="3037">
      <c r="A3037" s="2">
        <f>IFERROR(__xludf.DUMMYFUNCTION("""COMPUTED_VALUE"""),40204.666666666664)</f>
        <v>40204.66667</v>
      </c>
      <c r="B3037" s="1">
        <f>IFERROR(__xludf.DUMMYFUNCTION("""COMPUTED_VALUE"""),1801.34)</f>
        <v>1801.34</v>
      </c>
    </row>
    <row r="3038">
      <c r="A3038" s="2">
        <f>IFERROR(__xludf.DUMMYFUNCTION("""COMPUTED_VALUE"""),40205.666666666664)</f>
        <v>40205.66667</v>
      </c>
      <c r="B3038" s="1">
        <f>IFERROR(__xludf.DUMMYFUNCTION("""COMPUTED_VALUE"""),1810.15)</f>
        <v>1810.15</v>
      </c>
    </row>
    <row r="3039">
      <c r="A3039" s="2">
        <f>IFERROR(__xludf.DUMMYFUNCTION("""COMPUTED_VALUE"""),40206.666666666664)</f>
        <v>40206.66667</v>
      </c>
      <c r="B3039" s="1">
        <f>IFERROR(__xludf.DUMMYFUNCTION("""COMPUTED_VALUE"""),1788.97)</f>
        <v>1788.97</v>
      </c>
    </row>
    <row r="3040">
      <c r="A3040" s="2">
        <f>IFERROR(__xludf.DUMMYFUNCTION("""COMPUTED_VALUE"""),40207.666666666664)</f>
        <v>40207.66667</v>
      </c>
      <c r="B3040" s="1">
        <f>IFERROR(__xludf.DUMMYFUNCTION("""COMPUTED_VALUE"""),1771.4)</f>
        <v>1771.4</v>
      </c>
    </row>
    <row r="3041">
      <c r="A3041" s="2">
        <f>IFERROR(__xludf.DUMMYFUNCTION("""COMPUTED_VALUE"""),40210.666666666664)</f>
        <v>40210.66667</v>
      </c>
      <c r="B3041" s="1">
        <f>IFERROR(__xludf.DUMMYFUNCTION("""COMPUTED_VALUE"""),1796.67)</f>
        <v>1796.67</v>
      </c>
    </row>
    <row r="3042">
      <c r="A3042" s="2">
        <f>IFERROR(__xludf.DUMMYFUNCTION("""COMPUTED_VALUE"""),40211.666666666664)</f>
        <v>40211.66667</v>
      </c>
      <c r="B3042" s="1">
        <f>IFERROR(__xludf.DUMMYFUNCTION("""COMPUTED_VALUE"""),1819.99)</f>
        <v>1819.99</v>
      </c>
    </row>
    <row r="3043">
      <c r="A3043" s="2">
        <f>IFERROR(__xludf.DUMMYFUNCTION("""COMPUTED_VALUE"""),40212.666666666664)</f>
        <v>40212.66667</v>
      </c>
      <c r="B3043" s="1">
        <f>IFERROR(__xludf.DUMMYFUNCTION("""COMPUTED_VALUE"""),1810.64)</f>
        <v>1810.64</v>
      </c>
    </row>
    <row r="3044">
      <c r="A3044" s="2">
        <f>IFERROR(__xludf.DUMMYFUNCTION("""COMPUTED_VALUE"""),40213.666666666664)</f>
        <v>40213.66667</v>
      </c>
      <c r="B3044" s="1">
        <f>IFERROR(__xludf.DUMMYFUNCTION("""COMPUTED_VALUE"""),1754.3)</f>
        <v>1754.3</v>
      </c>
    </row>
    <row r="3045">
      <c r="A3045" s="2">
        <f>IFERROR(__xludf.DUMMYFUNCTION("""COMPUTED_VALUE"""),40214.666666666664)</f>
        <v>40214.66667</v>
      </c>
      <c r="B3045" s="1">
        <f>IFERROR(__xludf.DUMMYFUNCTION("""COMPUTED_VALUE"""),1759.37)</f>
        <v>1759.37</v>
      </c>
    </row>
    <row r="3046">
      <c r="A3046" s="2">
        <f>IFERROR(__xludf.DUMMYFUNCTION("""COMPUTED_VALUE"""),40217.666666666664)</f>
        <v>40217.66667</v>
      </c>
      <c r="B3046" s="1">
        <f>IFERROR(__xludf.DUMMYFUNCTION("""COMPUTED_VALUE"""),1744.37)</f>
        <v>1744.37</v>
      </c>
    </row>
    <row r="3047">
      <c r="A3047" s="2">
        <f>IFERROR(__xludf.DUMMYFUNCTION("""COMPUTED_VALUE"""),40218.666666666664)</f>
        <v>40218.66667</v>
      </c>
      <c r="B3047" s="1">
        <f>IFERROR(__xludf.DUMMYFUNCTION("""COMPUTED_VALUE"""),1767.18)</f>
        <v>1767.18</v>
      </c>
    </row>
    <row r="3048">
      <c r="A3048" s="2">
        <f>IFERROR(__xludf.DUMMYFUNCTION("""COMPUTED_VALUE"""),40219.666666666664)</f>
        <v>40219.66667</v>
      </c>
      <c r="B3048" s="1">
        <f>IFERROR(__xludf.DUMMYFUNCTION("""COMPUTED_VALUE"""),1763.69)</f>
        <v>1763.69</v>
      </c>
    </row>
    <row r="3049">
      <c r="A3049" s="2">
        <f>IFERROR(__xludf.DUMMYFUNCTION("""COMPUTED_VALUE"""),40220.666666666664)</f>
        <v>40220.66667</v>
      </c>
      <c r="B3049" s="1">
        <f>IFERROR(__xludf.DUMMYFUNCTION("""COMPUTED_VALUE"""),1781.01)</f>
        <v>1781.01</v>
      </c>
    </row>
    <row r="3050">
      <c r="A3050" s="2">
        <f>IFERROR(__xludf.DUMMYFUNCTION("""COMPUTED_VALUE"""),40221.666666666664)</f>
        <v>40221.66667</v>
      </c>
      <c r="B3050" s="1">
        <f>IFERROR(__xludf.DUMMYFUNCTION("""COMPUTED_VALUE"""),1776.5)</f>
        <v>1776.5</v>
      </c>
    </row>
    <row r="3051">
      <c r="A3051" s="2">
        <f>IFERROR(__xludf.DUMMYFUNCTION("""COMPUTED_VALUE"""),40225.666666666664)</f>
        <v>40225.66667</v>
      </c>
      <c r="B3051" s="1">
        <f>IFERROR(__xludf.DUMMYFUNCTION("""COMPUTED_VALUE"""),1808.48)</f>
        <v>1808.48</v>
      </c>
    </row>
    <row r="3052">
      <c r="A3052" s="2">
        <f>IFERROR(__xludf.DUMMYFUNCTION("""COMPUTED_VALUE"""),40226.666666666664)</f>
        <v>40226.66667</v>
      </c>
      <c r="B3052" s="1">
        <f>IFERROR(__xludf.DUMMYFUNCTION("""COMPUTED_VALUE"""),1816.7)</f>
        <v>1816.7</v>
      </c>
    </row>
    <row r="3053">
      <c r="A3053" s="2">
        <f>IFERROR(__xludf.DUMMYFUNCTION("""COMPUTED_VALUE"""),40227.666666666664)</f>
        <v>40227.66667</v>
      </c>
      <c r="B3053" s="1">
        <f>IFERROR(__xludf.DUMMYFUNCTION("""COMPUTED_VALUE"""),1828.81)</f>
        <v>1828.81</v>
      </c>
    </row>
    <row r="3054">
      <c r="A3054" s="2">
        <f>IFERROR(__xludf.DUMMYFUNCTION("""COMPUTED_VALUE"""),40228.666666666664)</f>
        <v>40228.66667</v>
      </c>
      <c r="B3054" s="1">
        <f>IFERROR(__xludf.DUMMYFUNCTION("""COMPUTED_VALUE"""),1833.09)</f>
        <v>1833.09</v>
      </c>
    </row>
    <row r="3055">
      <c r="A3055" s="2">
        <f>IFERROR(__xludf.DUMMYFUNCTION("""COMPUTED_VALUE"""),40231.666666666664)</f>
        <v>40231.66667</v>
      </c>
      <c r="B3055" s="1">
        <f>IFERROR(__xludf.DUMMYFUNCTION("""COMPUTED_VALUE"""),1831.18)</f>
        <v>1831.18</v>
      </c>
    </row>
    <row r="3056">
      <c r="A3056" s="2">
        <f>IFERROR(__xludf.DUMMYFUNCTION("""COMPUTED_VALUE"""),40232.666666666664)</f>
        <v>40232.66667</v>
      </c>
      <c r="B3056" s="1">
        <f>IFERROR(__xludf.DUMMYFUNCTION("""COMPUTED_VALUE"""),1809.05)</f>
        <v>1809.05</v>
      </c>
    </row>
    <row r="3057">
      <c r="A3057" s="2">
        <f>IFERROR(__xludf.DUMMYFUNCTION("""COMPUTED_VALUE"""),40233.666666666664)</f>
        <v>40233.66667</v>
      </c>
      <c r="B3057" s="1">
        <f>IFERROR(__xludf.DUMMYFUNCTION("""COMPUTED_VALUE"""),1826.99)</f>
        <v>1826.99</v>
      </c>
    </row>
    <row r="3058">
      <c r="A3058" s="2">
        <f>IFERROR(__xludf.DUMMYFUNCTION("""COMPUTED_VALUE"""),40234.666666666664)</f>
        <v>40234.66667</v>
      </c>
      <c r="B3058" s="1">
        <f>IFERROR(__xludf.DUMMYFUNCTION("""COMPUTED_VALUE"""),1823.64)</f>
        <v>1823.64</v>
      </c>
    </row>
    <row r="3059">
      <c r="A3059" s="2">
        <f>IFERROR(__xludf.DUMMYFUNCTION("""COMPUTED_VALUE"""),40235.666666666664)</f>
        <v>40235.66667</v>
      </c>
      <c r="B3059" s="1">
        <f>IFERROR(__xludf.DUMMYFUNCTION("""COMPUTED_VALUE"""),1826.27)</f>
        <v>1826.27</v>
      </c>
    </row>
    <row r="3060">
      <c r="A3060" s="2">
        <f>IFERROR(__xludf.DUMMYFUNCTION("""COMPUTED_VALUE"""),40238.666666666664)</f>
        <v>40238.66667</v>
      </c>
      <c r="B3060" s="1">
        <f>IFERROR(__xludf.DUMMYFUNCTION("""COMPUTED_VALUE"""),1844.82)</f>
        <v>1844.82</v>
      </c>
    </row>
    <row r="3061">
      <c r="A3061" s="2">
        <f>IFERROR(__xludf.DUMMYFUNCTION("""COMPUTED_VALUE"""),40239.666666666664)</f>
        <v>40239.66667</v>
      </c>
      <c r="B3061" s="1">
        <f>IFERROR(__xludf.DUMMYFUNCTION("""COMPUTED_VALUE"""),1849.17)</f>
        <v>1849.17</v>
      </c>
    </row>
    <row r="3062">
      <c r="A3062" s="2">
        <f>IFERROR(__xludf.DUMMYFUNCTION("""COMPUTED_VALUE"""),40240.666666666664)</f>
        <v>40240.66667</v>
      </c>
      <c r="B3062" s="1">
        <f>IFERROR(__xludf.DUMMYFUNCTION("""COMPUTED_VALUE"""),1850.24)</f>
        <v>1850.24</v>
      </c>
    </row>
    <row r="3063">
      <c r="A3063" s="2">
        <f>IFERROR(__xludf.DUMMYFUNCTION("""COMPUTED_VALUE"""),40241.666666666664)</f>
        <v>40241.66667</v>
      </c>
      <c r="B3063" s="1">
        <f>IFERROR(__xludf.DUMMYFUNCTION("""COMPUTED_VALUE"""),1857.2)</f>
        <v>1857.2</v>
      </c>
    </row>
    <row r="3064">
      <c r="A3064" s="2">
        <f>IFERROR(__xludf.DUMMYFUNCTION("""COMPUTED_VALUE"""),40242.666666666664)</f>
        <v>40242.66667</v>
      </c>
      <c r="B3064" s="1">
        <f>IFERROR(__xludf.DUMMYFUNCTION("""COMPUTED_VALUE"""),1883.21)</f>
        <v>1883.21</v>
      </c>
    </row>
    <row r="3065">
      <c r="A3065" s="2">
        <f>IFERROR(__xludf.DUMMYFUNCTION("""COMPUTED_VALUE"""),40245.666666666664)</f>
        <v>40245.66667</v>
      </c>
      <c r="B3065" s="1">
        <f>IFERROR(__xludf.DUMMYFUNCTION("""COMPUTED_VALUE"""),1883.29)</f>
        <v>1883.29</v>
      </c>
    </row>
    <row r="3066">
      <c r="A3066" s="2">
        <f>IFERROR(__xludf.DUMMYFUNCTION("""COMPUTED_VALUE"""),40246.666666666664)</f>
        <v>40246.66667</v>
      </c>
      <c r="B3066" s="1">
        <f>IFERROR(__xludf.DUMMYFUNCTION("""COMPUTED_VALUE"""),1886.6)</f>
        <v>1886.6</v>
      </c>
    </row>
    <row r="3067">
      <c r="A3067" s="2">
        <f>IFERROR(__xludf.DUMMYFUNCTION("""COMPUTED_VALUE"""),40247.666666666664)</f>
        <v>40247.66667</v>
      </c>
      <c r="B3067" s="1">
        <f>IFERROR(__xludf.DUMMYFUNCTION("""COMPUTED_VALUE"""),1895.38)</f>
        <v>1895.38</v>
      </c>
    </row>
    <row r="3068">
      <c r="A3068" s="2">
        <f>IFERROR(__xludf.DUMMYFUNCTION("""COMPUTED_VALUE"""),40248.666666666664)</f>
        <v>40248.66667</v>
      </c>
      <c r="B3068" s="1">
        <f>IFERROR(__xludf.DUMMYFUNCTION("""COMPUTED_VALUE"""),1903.68)</f>
        <v>1903.68</v>
      </c>
    </row>
    <row r="3069">
      <c r="A3069" s="2">
        <f>IFERROR(__xludf.DUMMYFUNCTION("""COMPUTED_VALUE"""),40249.666666666664)</f>
        <v>40249.66667</v>
      </c>
      <c r="B3069" s="1">
        <f>IFERROR(__xludf.DUMMYFUNCTION("""COMPUTED_VALUE"""),1903.27)</f>
        <v>1903.27</v>
      </c>
    </row>
    <row r="3070">
      <c r="A3070" s="2">
        <f>IFERROR(__xludf.DUMMYFUNCTION("""COMPUTED_VALUE"""),40252.666666666664)</f>
        <v>40252.66667</v>
      </c>
      <c r="B3070" s="1">
        <f>IFERROR(__xludf.DUMMYFUNCTION("""COMPUTED_VALUE"""),1904.15)</f>
        <v>1904.15</v>
      </c>
    </row>
    <row r="3071">
      <c r="A3071" s="2">
        <f>IFERROR(__xludf.DUMMYFUNCTION("""COMPUTED_VALUE"""),40253.666666666664)</f>
        <v>40253.66667</v>
      </c>
      <c r="B3071" s="1">
        <f>IFERROR(__xludf.DUMMYFUNCTION("""COMPUTED_VALUE"""),1919.02)</f>
        <v>1919.02</v>
      </c>
    </row>
    <row r="3072">
      <c r="A3072" s="2">
        <f>IFERROR(__xludf.DUMMYFUNCTION("""COMPUTED_VALUE"""),40254.666666666664)</f>
        <v>40254.66667</v>
      </c>
      <c r="B3072" s="1">
        <f>IFERROR(__xludf.DUMMYFUNCTION("""COMPUTED_VALUE"""),1930.22)</f>
        <v>1930.22</v>
      </c>
    </row>
    <row r="3073">
      <c r="A3073" s="2">
        <f>IFERROR(__xludf.DUMMYFUNCTION("""COMPUTED_VALUE"""),40255.666666666664)</f>
        <v>40255.66667</v>
      </c>
      <c r="B3073" s="1">
        <f>IFERROR(__xludf.DUMMYFUNCTION("""COMPUTED_VALUE"""),1929.63)</f>
        <v>1929.63</v>
      </c>
    </row>
    <row r="3074">
      <c r="A3074" s="2">
        <f>IFERROR(__xludf.DUMMYFUNCTION("""COMPUTED_VALUE"""),40256.666666666664)</f>
        <v>40256.66667</v>
      </c>
      <c r="B3074" s="1">
        <f>IFERROR(__xludf.DUMMYFUNCTION("""COMPUTED_VALUE"""),1919.8)</f>
        <v>1919.8</v>
      </c>
    </row>
    <row r="3075">
      <c r="A3075" s="2">
        <f>IFERROR(__xludf.DUMMYFUNCTION("""COMPUTED_VALUE"""),40259.666666666664)</f>
        <v>40259.66667</v>
      </c>
      <c r="B3075" s="1">
        <f>IFERROR(__xludf.DUMMYFUNCTION("""COMPUTED_VALUE"""),1929.64)</f>
        <v>1929.64</v>
      </c>
    </row>
    <row r="3076">
      <c r="A3076" s="2">
        <f>IFERROR(__xludf.DUMMYFUNCTION("""COMPUTED_VALUE"""),40260.666666666664)</f>
        <v>40260.66667</v>
      </c>
      <c r="B3076" s="1">
        <f>IFERROR(__xludf.DUMMYFUNCTION("""COMPUTED_VALUE"""),1943.7)</f>
        <v>1943.7</v>
      </c>
    </row>
    <row r="3077">
      <c r="A3077" s="2">
        <f>IFERROR(__xludf.DUMMYFUNCTION("""COMPUTED_VALUE"""),40261.666666666664)</f>
        <v>40261.66667</v>
      </c>
      <c r="B3077" s="1">
        <f>IFERROR(__xludf.DUMMYFUNCTION("""COMPUTED_VALUE"""),1933.04)</f>
        <v>1933.04</v>
      </c>
    </row>
    <row r="3078">
      <c r="A3078" s="2">
        <f>IFERROR(__xludf.DUMMYFUNCTION("""COMPUTED_VALUE"""),40262.666666666664)</f>
        <v>40262.66667</v>
      </c>
      <c r="B3078" s="1">
        <f>IFERROR(__xludf.DUMMYFUNCTION("""COMPUTED_VALUE"""),1929.75)</f>
        <v>1929.75</v>
      </c>
    </row>
    <row r="3079">
      <c r="A3079" s="2">
        <f>IFERROR(__xludf.DUMMYFUNCTION("""COMPUTED_VALUE"""),40263.666666666664)</f>
        <v>40263.66667</v>
      </c>
      <c r="B3079" s="1">
        <f>IFERROR(__xludf.DUMMYFUNCTION("""COMPUTED_VALUE"""),1931.18)</f>
        <v>1931.18</v>
      </c>
    </row>
    <row r="3080">
      <c r="A3080" s="2">
        <f>IFERROR(__xludf.DUMMYFUNCTION("""COMPUTED_VALUE"""),40266.666666666664)</f>
        <v>40266.66667</v>
      </c>
      <c r="B3080" s="1">
        <f>IFERROR(__xludf.DUMMYFUNCTION("""COMPUTED_VALUE"""),1942.51)</f>
        <v>1942.51</v>
      </c>
    </row>
    <row r="3081">
      <c r="A3081" s="2">
        <f>IFERROR(__xludf.DUMMYFUNCTION("""COMPUTED_VALUE"""),40267.666666666664)</f>
        <v>40267.66667</v>
      </c>
      <c r="B3081" s="1">
        <f>IFERROR(__xludf.DUMMYFUNCTION("""COMPUTED_VALUE"""),1942.81)</f>
        <v>1942.81</v>
      </c>
    </row>
    <row r="3082">
      <c r="A3082" s="2">
        <f>IFERROR(__xludf.DUMMYFUNCTION("""COMPUTED_VALUE"""),40268.666666666664)</f>
        <v>40268.66667</v>
      </c>
      <c r="B3082" s="1">
        <f>IFERROR(__xludf.DUMMYFUNCTION("""COMPUTED_VALUE"""),1936.48)</f>
        <v>1936.48</v>
      </c>
    </row>
    <row r="3083">
      <c r="A3083" s="2">
        <f>IFERROR(__xludf.DUMMYFUNCTION("""COMPUTED_VALUE"""),40269.666666666664)</f>
        <v>40269.66667</v>
      </c>
      <c r="B3083" s="1">
        <f>IFERROR(__xludf.DUMMYFUNCTION("""COMPUTED_VALUE"""),1950.91)</f>
        <v>1950.91</v>
      </c>
    </row>
    <row r="3084">
      <c r="A3084" s="2">
        <f>IFERROR(__xludf.DUMMYFUNCTION("""COMPUTED_VALUE"""),40273.666666666664)</f>
        <v>40273.66667</v>
      </c>
      <c r="B3084" s="1">
        <f>IFERROR(__xludf.DUMMYFUNCTION("""COMPUTED_VALUE"""),1966.44)</f>
        <v>1966.44</v>
      </c>
    </row>
    <row r="3085">
      <c r="A3085" s="2">
        <f>IFERROR(__xludf.DUMMYFUNCTION("""COMPUTED_VALUE"""),40274.666666666664)</f>
        <v>40274.66667</v>
      </c>
      <c r="B3085" s="1">
        <f>IFERROR(__xludf.DUMMYFUNCTION("""COMPUTED_VALUE"""),1969.76)</f>
        <v>1969.76</v>
      </c>
    </row>
    <row r="3086">
      <c r="A3086" s="2">
        <f>IFERROR(__xludf.DUMMYFUNCTION("""COMPUTED_VALUE"""),40275.666666666664)</f>
        <v>40275.66667</v>
      </c>
      <c r="B3086" s="1">
        <f>IFERROR(__xludf.DUMMYFUNCTION("""COMPUTED_VALUE"""),1959.04)</f>
        <v>1959.04</v>
      </c>
    </row>
    <row r="3087">
      <c r="A3087" s="2">
        <f>IFERROR(__xludf.DUMMYFUNCTION("""COMPUTED_VALUE"""),40276.666666666664)</f>
        <v>40276.66667</v>
      </c>
      <c r="B3087" s="1">
        <f>IFERROR(__xludf.DUMMYFUNCTION("""COMPUTED_VALUE"""),1965.72)</f>
        <v>1965.72</v>
      </c>
    </row>
    <row r="3088">
      <c r="A3088" s="2">
        <f>IFERROR(__xludf.DUMMYFUNCTION("""COMPUTED_VALUE"""),40277.666666666664)</f>
        <v>40277.66667</v>
      </c>
      <c r="B3088" s="1">
        <f>IFERROR(__xludf.DUMMYFUNCTION("""COMPUTED_VALUE"""),1978.86)</f>
        <v>1978.86</v>
      </c>
    </row>
    <row r="3089">
      <c r="A3089" s="2">
        <f>IFERROR(__xludf.DUMMYFUNCTION("""COMPUTED_VALUE"""),40280.666666666664)</f>
        <v>40280.66667</v>
      </c>
      <c r="B3089" s="1">
        <f>IFERROR(__xludf.DUMMYFUNCTION("""COMPUTED_VALUE"""),1982.4)</f>
        <v>1982.4</v>
      </c>
    </row>
    <row r="3090">
      <c r="A3090" s="2">
        <f>IFERROR(__xludf.DUMMYFUNCTION("""COMPUTED_VALUE"""),40281.666666666664)</f>
        <v>40281.66667</v>
      </c>
      <c r="B3090" s="1">
        <f>IFERROR(__xludf.DUMMYFUNCTION("""COMPUTED_VALUE"""),1983.91)</f>
        <v>1983.91</v>
      </c>
    </row>
    <row r="3091">
      <c r="A3091" s="2">
        <f>IFERROR(__xludf.DUMMYFUNCTION("""COMPUTED_VALUE"""),40282.666666666664)</f>
        <v>40282.66667</v>
      </c>
      <c r="B3091" s="1">
        <f>IFERROR(__xludf.DUMMYFUNCTION("""COMPUTED_VALUE"""),2006.06)</f>
        <v>2006.06</v>
      </c>
    </row>
    <row r="3092">
      <c r="A3092" s="2">
        <f>IFERROR(__xludf.DUMMYFUNCTION("""COMPUTED_VALUE"""),40283.666666666664)</f>
        <v>40283.66667</v>
      </c>
      <c r="B3092" s="1">
        <f>IFERROR(__xludf.DUMMYFUNCTION("""COMPUTED_VALUE"""),2007.74)</f>
        <v>2007.74</v>
      </c>
    </row>
    <row r="3093">
      <c r="A3093" s="2">
        <f>IFERROR(__xludf.DUMMYFUNCTION("""COMPUTED_VALUE"""),40284.666666666664)</f>
        <v>40284.66667</v>
      </c>
      <c r="B3093" s="1">
        <f>IFERROR(__xludf.DUMMYFUNCTION("""COMPUTED_VALUE"""),1975.36)</f>
        <v>1975.36</v>
      </c>
    </row>
    <row r="3094">
      <c r="A3094" s="2">
        <f>IFERROR(__xludf.DUMMYFUNCTION("""COMPUTED_VALUE"""),40287.666666666664)</f>
        <v>40287.66667</v>
      </c>
      <c r="B3094" s="1">
        <f>IFERROR(__xludf.DUMMYFUNCTION("""COMPUTED_VALUE"""),1984.32)</f>
        <v>1984.32</v>
      </c>
    </row>
    <row r="3095">
      <c r="A3095" s="2">
        <f>IFERROR(__xludf.DUMMYFUNCTION("""COMPUTED_VALUE"""),40288.666666666664)</f>
        <v>40288.66667</v>
      </c>
      <c r="B3095" s="1">
        <f>IFERROR(__xludf.DUMMYFUNCTION("""COMPUTED_VALUE"""),2000.32)</f>
        <v>2000.32</v>
      </c>
    </row>
    <row r="3096">
      <c r="A3096" s="2">
        <f>IFERROR(__xludf.DUMMYFUNCTION("""COMPUTED_VALUE"""),40289.666666666664)</f>
        <v>40289.66667</v>
      </c>
      <c r="B3096" s="1">
        <f>IFERROR(__xludf.DUMMYFUNCTION("""COMPUTED_VALUE"""),1998.31)</f>
        <v>1998.31</v>
      </c>
    </row>
    <row r="3097">
      <c r="A3097" s="2">
        <f>IFERROR(__xludf.DUMMYFUNCTION("""COMPUTED_VALUE"""),40290.666666666664)</f>
        <v>40290.66667</v>
      </c>
      <c r="B3097" s="1">
        <f>IFERROR(__xludf.DUMMYFUNCTION("""COMPUTED_VALUE"""),2002.93)</f>
        <v>2002.93</v>
      </c>
    </row>
    <row r="3098">
      <c r="A3098" s="2">
        <f>IFERROR(__xludf.DUMMYFUNCTION("""COMPUTED_VALUE"""),40291.666666666664)</f>
        <v>40291.66667</v>
      </c>
      <c r="B3098" s="1">
        <f>IFERROR(__xludf.DUMMYFUNCTION("""COMPUTED_VALUE"""),2017.19)</f>
        <v>2017.19</v>
      </c>
    </row>
    <row r="3099">
      <c r="A3099" s="2">
        <f>IFERROR(__xludf.DUMMYFUNCTION("""COMPUTED_VALUE"""),40294.666666666664)</f>
        <v>40294.66667</v>
      </c>
      <c r="B3099" s="1">
        <f>IFERROR(__xludf.DUMMYFUNCTION("""COMPUTED_VALUE"""),2008.55)</f>
        <v>2008.55</v>
      </c>
    </row>
    <row r="3100">
      <c r="A3100" s="2">
        <f>IFERROR(__xludf.DUMMYFUNCTION("""COMPUTED_VALUE"""),40295.666666666664)</f>
        <v>40295.66667</v>
      </c>
      <c r="B3100" s="1">
        <f>IFERROR(__xludf.DUMMYFUNCTION("""COMPUTED_VALUE"""),1961.6)</f>
        <v>1961.6</v>
      </c>
    </row>
    <row r="3101">
      <c r="A3101" s="2">
        <f>IFERROR(__xludf.DUMMYFUNCTION("""COMPUTED_VALUE"""),40296.666666666664)</f>
        <v>40296.66667</v>
      </c>
      <c r="B3101" s="1">
        <f>IFERROR(__xludf.DUMMYFUNCTION("""COMPUTED_VALUE"""),1974.63)</f>
        <v>1974.63</v>
      </c>
    </row>
    <row r="3102">
      <c r="A3102" s="2">
        <f>IFERROR(__xludf.DUMMYFUNCTION("""COMPUTED_VALUE"""),40297.666666666664)</f>
        <v>40297.66667</v>
      </c>
      <c r="B3102" s="1">
        <f>IFERROR(__xludf.DUMMYFUNCTION("""COMPUTED_VALUE"""),2000.34)</f>
        <v>2000.34</v>
      </c>
    </row>
    <row r="3103">
      <c r="A3103" s="2">
        <f>IFERROR(__xludf.DUMMYFUNCTION("""COMPUTED_VALUE"""),40298.666666666664)</f>
        <v>40298.66667</v>
      </c>
      <c r="B3103" s="1">
        <f>IFERROR(__xludf.DUMMYFUNCTION("""COMPUTED_VALUE"""),1967.05)</f>
        <v>1967.05</v>
      </c>
    </row>
    <row r="3104">
      <c r="A3104" s="2">
        <f>IFERROR(__xludf.DUMMYFUNCTION("""COMPUTED_VALUE"""),40301.666666666664)</f>
        <v>40301.66667</v>
      </c>
      <c r="B3104" s="1">
        <f>IFERROR(__xludf.DUMMYFUNCTION("""COMPUTED_VALUE"""),1992.87)</f>
        <v>1992.87</v>
      </c>
    </row>
    <row r="3105">
      <c r="A3105" s="2">
        <f>IFERROR(__xludf.DUMMYFUNCTION("""COMPUTED_VALUE"""),40302.666666666664)</f>
        <v>40302.66667</v>
      </c>
      <c r="B3105" s="1">
        <f>IFERROR(__xludf.DUMMYFUNCTION("""COMPUTED_VALUE"""),1945.37)</f>
        <v>1945.37</v>
      </c>
    </row>
    <row r="3106">
      <c r="A3106" s="2">
        <f>IFERROR(__xludf.DUMMYFUNCTION("""COMPUTED_VALUE"""),40303.666666666664)</f>
        <v>40303.66667</v>
      </c>
      <c r="B3106" s="1">
        <f>IFERROR(__xludf.DUMMYFUNCTION("""COMPUTED_VALUE"""),1932.57)</f>
        <v>1932.57</v>
      </c>
    </row>
    <row r="3107">
      <c r="A3107" s="2">
        <f>IFERROR(__xludf.DUMMYFUNCTION("""COMPUTED_VALUE"""),40304.666666666664)</f>
        <v>40304.66667</v>
      </c>
      <c r="B3107" s="1">
        <f>IFERROR(__xludf.DUMMYFUNCTION("""COMPUTED_VALUE"""),1870.95)</f>
        <v>1870.95</v>
      </c>
    </row>
    <row r="3108">
      <c r="A3108" s="2">
        <f>IFERROR(__xludf.DUMMYFUNCTION("""COMPUTED_VALUE"""),40305.666666666664)</f>
        <v>40305.66667</v>
      </c>
      <c r="B3108" s="1">
        <f>IFERROR(__xludf.DUMMYFUNCTION("""COMPUTED_VALUE"""),1842.32)</f>
        <v>1842.32</v>
      </c>
    </row>
    <row r="3109">
      <c r="A3109" s="2">
        <f>IFERROR(__xludf.DUMMYFUNCTION("""COMPUTED_VALUE"""),40308.666666666664)</f>
        <v>40308.66667</v>
      </c>
      <c r="B3109" s="1">
        <f>IFERROR(__xludf.DUMMYFUNCTION("""COMPUTED_VALUE"""),1923.39)</f>
        <v>1923.39</v>
      </c>
    </row>
    <row r="3110">
      <c r="A3110" s="2">
        <f>IFERROR(__xludf.DUMMYFUNCTION("""COMPUTED_VALUE"""),40309.666666666664)</f>
        <v>40309.66667</v>
      </c>
      <c r="B3110" s="1">
        <f>IFERROR(__xludf.DUMMYFUNCTION("""COMPUTED_VALUE"""),1917.25)</f>
        <v>1917.25</v>
      </c>
    </row>
    <row r="3111">
      <c r="A3111" s="2">
        <f>IFERROR(__xludf.DUMMYFUNCTION("""COMPUTED_VALUE"""),40310.666666666664)</f>
        <v>40310.66667</v>
      </c>
      <c r="B3111" s="1">
        <f>IFERROR(__xludf.DUMMYFUNCTION("""COMPUTED_VALUE"""),1944.25)</f>
        <v>1944.25</v>
      </c>
    </row>
    <row r="3112">
      <c r="A3112" s="2">
        <f>IFERROR(__xludf.DUMMYFUNCTION("""COMPUTED_VALUE"""),40311.666666666664)</f>
        <v>40311.66667</v>
      </c>
      <c r="B3112" s="1">
        <f>IFERROR(__xludf.DUMMYFUNCTION("""COMPUTED_VALUE"""),1920.76)</f>
        <v>1920.76</v>
      </c>
    </row>
    <row r="3113">
      <c r="A3113" s="2">
        <f>IFERROR(__xludf.DUMMYFUNCTION("""COMPUTED_VALUE"""),40312.666666666664)</f>
        <v>40312.66667</v>
      </c>
      <c r="B3113" s="1">
        <f>IFERROR(__xludf.DUMMYFUNCTION("""COMPUTED_VALUE"""),1884.67)</f>
        <v>1884.67</v>
      </c>
    </row>
    <row r="3114">
      <c r="A3114" s="2">
        <f>IFERROR(__xludf.DUMMYFUNCTION("""COMPUTED_VALUE"""),40315.666666666664)</f>
        <v>40315.66667</v>
      </c>
      <c r="B3114" s="1">
        <f>IFERROR(__xludf.DUMMYFUNCTION("""COMPUTED_VALUE"""),1887.11)</f>
        <v>1887.11</v>
      </c>
    </row>
    <row r="3115">
      <c r="A3115" s="2">
        <f>IFERROR(__xludf.DUMMYFUNCTION("""COMPUTED_VALUE"""),40316.666666666664)</f>
        <v>40316.66667</v>
      </c>
      <c r="B3115" s="1">
        <f>IFERROR(__xludf.DUMMYFUNCTION("""COMPUTED_VALUE"""),1860.65)</f>
        <v>1860.65</v>
      </c>
    </row>
    <row r="3116">
      <c r="A3116" s="2">
        <f>IFERROR(__xludf.DUMMYFUNCTION("""COMPUTED_VALUE"""),40317.666666666664)</f>
        <v>40317.66667</v>
      </c>
      <c r="B3116" s="1">
        <f>IFERROR(__xludf.DUMMYFUNCTION("""COMPUTED_VALUE"""),1851.28)</f>
        <v>1851.28</v>
      </c>
    </row>
    <row r="3117">
      <c r="A3117" s="2">
        <f>IFERROR(__xludf.DUMMYFUNCTION("""COMPUTED_VALUE"""),40318.666666666664)</f>
        <v>40318.66667</v>
      </c>
      <c r="B3117" s="1">
        <f>IFERROR(__xludf.DUMMYFUNCTION("""COMPUTED_VALUE"""),1779.3)</f>
        <v>1779.3</v>
      </c>
    </row>
    <row r="3118">
      <c r="A3118" s="2">
        <f>IFERROR(__xludf.DUMMYFUNCTION("""COMPUTED_VALUE"""),40319.666666666664)</f>
        <v>40319.66667</v>
      </c>
      <c r="B3118" s="1">
        <f>IFERROR(__xludf.DUMMYFUNCTION("""COMPUTED_VALUE"""),1806.05)</f>
        <v>1806.05</v>
      </c>
    </row>
    <row r="3119">
      <c r="A3119" s="2">
        <f>IFERROR(__xludf.DUMMYFUNCTION("""COMPUTED_VALUE"""),40322.666666666664)</f>
        <v>40322.66667</v>
      </c>
      <c r="B3119" s="1">
        <f>IFERROR(__xludf.DUMMYFUNCTION("""COMPUTED_VALUE"""),1782.77)</f>
        <v>1782.77</v>
      </c>
    </row>
    <row r="3120">
      <c r="A3120" s="2">
        <f>IFERROR(__xludf.DUMMYFUNCTION("""COMPUTED_VALUE"""),40323.666666666664)</f>
        <v>40323.66667</v>
      </c>
      <c r="B3120" s="1">
        <f>IFERROR(__xludf.DUMMYFUNCTION("""COMPUTED_VALUE"""),1783.4)</f>
        <v>1783.4</v>
      </c>
    </row>
    <row r="3121">
      <c r="A3121" s="2">
        <f>IFERROR(__xludf.DUMMYFUNCTION("""COMPUTED_VALUE"""),40324.666666666664)</f>
        <v>40324.66667</v>
      </c>
      <c r="B3121" s="1">
        <f>IFERROR(__xludf.DUMMYFUNCTION("""COMPUTED_VALUE"""),1773.65)</f>
        <v>1773.65</v>
      </c>
    </row>
    <row r="3122">
      <c r="A3122" s="2">
        <f>IFERROR(__xludf.DUMMYFUNCTION("""COMPUTED_VALUE"""),40325.666666666664)</f>
        <v>40325.66667</v>
      </c>
      <c r="B3122" s="1">
        <f>IFERROR(__xludf.DUMMYFUNCTION("""COMPUTED_VALUE"""),1832.61)</f>
        <v>1832.61</v>
      </c>
    </row>
    <row r="3123">
      <c r="A3123" s="2">
        <f>IFERROR(__xludf.DUMMYFUNCTION("""COMPUTED_VALUE"""),40326.666666666664)</f>
        <v>40326.66667</v>
      </c>
      <c r="B3123" s="1">
        <f>IFERROR(__xludf.DUMMYFUNCTION("""COMPUTED_VALUE"""),1809.98)</f>
        <v>1809.98</v>
      </c>
    </row>
    <row r="3124">
      <c r="A3124" s="2">
        <f>IFERROR(__xludf.DUMMYFUNCTION("""COMPUTED_VALUE"""),40330.666666666664)</f>
        <v>40330.66667</v>
      </c>
      <c r="B3124" s="1">
        <f>IFERROR(__xludf.DUMMYFUNCTION("""COMPUTED_VALUE"""),1778.99)</f>
        <v>1778.99</v>
      </c>
    </row>
    <row r="3125">
      <c r="A3125" s="2">
        <f>IFERROR(__xludf.DUMMYFUNCTION("""COMPUTED_VALUE"""),40331.666666666664)</f>
        <v>40331.66667</v>
      </c>
      <c r="B3125" s="1">
        <f>IFERROR(__xludf.DUMMYFUNCTION("""COMPUTED_VALUE"""),1825.25)</f>
        <v>1825.25</v>
      </c>
    </row>
    <row r="3126">
      <c r="A3126" s="2">
        <f>IFERROR(__xludf.DUMMYFUNCTION("""COMPUTED_VALUE"""),40332.666666666664)</f>
        <v>40332.66667</v>
      </c>
      <c r="B3126" s="1">
        <f>IFERROR(__xludf.DUMMYFUNCTION("""COMPUTED_VALUE"""),1832.72)</f>
        <v>1832.72</v>
      </c>
    </row>
    <row r="3127">
      <c r="A3127" s="2">
        <f>IFERROR(__xludf.DUMMYFUNCTION("""COMPUTED_VALUE"""),40333.666666666664)</f>
        <v>40333.66667</v>
      </c>
      <c r="B3127" s="1">
        <f>IFERROR(__xludf.DUMMYFUNCTION("""COMPUTED_VALUE"""),1769.72)</f>
        <v>1769.72</v>
      </c>
    </row>
    <row r="3128">
      <c r="A3128" s="2">
        <f>IFERROR(__xludf.DUMMYFUNCTION("""COMPUTED_VALUE"""),40336.666666666664)</f>
        <v>40336.66667</v>
      </c>
      <c r="B3128" s="1">
        <f>IFERROR(__xludf.DUMMYFUNCTION("""COMPUTED_VALUE"""),1745.87)</f>
        <v>1745.87</v>
      </c>
    </row>
    <row r="3129">
      <c r="A3129" s="2">
        <f>IFERROR(__xludf.DUMMYFUNCTION("""COMPUTED_VALUE"""),40337.666666666664)</f>
        <v>40337.66667</v>
      </c>
      <c r="B3129" s="1">
        <f>IFERROR(__xludf.DUMMYFUNCTION("""COMPUTED_VALUE"""),1765.29)</f>
        <v>1765.29</v>
      </c>
    </row>
    <row r="3130">
      <c r="A3130" s="2">
        <f>IFERROR(__xludf.DUMMYFUNCTION("""COMPUTED_VALUE"""),40338.666666666664)</f>
        <v>40338.66667</v>
      </c>
      <c r="B3130" s="1">
        <f>IFERROR(__xludf.DUMMYFUNCTION("""COMPUTED_VALUE"""),1754.91)</f>
        <v>1754.91</v>
      </c>
    </row>
    <row r="3131">
      <c r="A3131" s="2">
        <f>IFERROR(__xludf.DUMMYFUNCTION("""COMPUTED_VALUE"""),40339.666666666664)</f>
        <v>40339.66667</v>
      </c>
      <c r="B3131" s="1">
        <f>IFERROR(__xludf.DUMMYFUNCTION("""COMPUTED_VALUE"""),1806.69)</f>
        <v>1806.69</v>
      </c>
    </row>
    <row r="3132">
      <c r="A3132" s="2">
        <f>IFERROR(__xludf.DUMMYFUNCTION("""COMPUTED_VALUE"""),40340.666666666664)</f>
        <v>40340.66667</v>
      </c>
      <c r="B3132" s="1">
        <f>IFERROR(__xludf.DUMMYFUNCTION("""COMPUTED_VALUE"""),1815.26)</f>
        <v>1815.26</v>
      </c>
    </row>
    <row r="3133">
      <c r="A3133" s="2">
        <f>IFERROR(__xludf.DUMMYFUNCTION("""COMPUTED_VALUE"""),40343.666666666664)</f>
        <v>40343.66667</v>
      </c>
      <c r="B3133" s="1">
        <f>IFERROR(__xludf.DUMMYFUNCTION("""COMPUTED_VALUE"""),1812.02)</f>
        <v>1812.02</v>
      </c>
    </row>
    <row r="3134">
      <c r="A3134" s="2">
        <f>IFERROR(__xludf.DUMMYFUNCTION("""COMPUTED_VALUE"""),40344.666666666664)</f>
        <v>40344.66667</v>
      </c>
      <c r="B3134" s="1">
        <f>IFERROR(__xludf.DUMMYFUNCTION("""COMPUTED_VALUE"""),1854.61)</f>
        <v>1854.61</v>
      </c>
    </row>
    <row r="3135">
      <c r="A3135" s="2">
        <f>IFERROR(__xludf.DUMMYFUNCTION("""COMPUTED_VALUE"""),40345.666666666664)</f>
        <v>40345.66667</v>
      </c>
      <c r="B3135" s="1">
        <f>IFERROR(__xludf.DUMMYFUNCTION("""COMPUTED_VALUE"""),1853.62)</f>
        <v>1853.62</v>
      </c>
    </row>
    <row r="3136">
      <c r="A3136" s="2">
        <f>IFERROR(__xludf.DUMMYFUNCTION("""COMPUTED_VALUE"""),40346.666666666664)</f>
        <v>40346.66667</v>
      </c>
      <c r="B3136" s="1">
        <f>IFERROR(__xludf.DUMMYFUNCTION("""COMPUTED_VALUE"""),1856.25)</f>
        <v>1856.25</v>
      </c>
    </row>
    <row r="3137">
      <c r="A3137" s="2">
        <f>IFERROR(__xludf.DUMMYFUNCTION("""COMPUTED_VALUE"""),40347.666666666664)</f>
        <v>40347.66667</v>
      </c>
      <c r="B3137" s="1">
        <f>IFERROR(__xludf.DUMMYFUNCTION("""COMPUTED_VALUE"""),1858.7)</f>
        <v>1858.7</v>
      </c>
    </row>
    <row r="3138">
      <c r="A3138" s="2">
        <f>IFERROR(__xludf.DUMMYFUNCTION("""COMPUTED_VALUE"""),40350.666666666664)</f>
        <v>40350.66667</v>
      </c>
      <c r="B3138" s="1">
        <f>IFERROR(__xludf.DUMMYFUNCTION("""COMPUTED_VALUE"""),1851.55)</f>
        <v>1851.55</v>
      </c>
    </row>
    <row r="3139">
      <c r="A3139" s="2">
        <f>IFERROR(__xludf.DUMMYFUNCTION("""COMPUTED_VALUE"""),40351.666666666664)</f>
        <v>40351.66667</v>
      </c>
      <c r="B3139" s="1">
        <f>IFERROR(__xludf.DUMMYFUNCTION("""COMPUTED_VALUE"""),1822.05)</f>
        <v>1822.05</v>
      </c>
    </row>
    <row r="3140">
      <c r="A3140" s="2">
        <f>IFERROR(__xludf.DUMMYFUNCTION("""COMPUTED_VALUE"""),40352.666666666664)</f>
        <v>40352.66667</v>
      </c>
      <c r="B3140" s="1">
        <f>IFERROR(__xludf.DUMMYFUNCTION("""COMPUTED_VALUE"""),1816.65)</f>
        <v>1816.65</v>
      </c>
    </row>
    <row r="3141">
      <c r="A3141" s="2">
        <f>IFERROR(__xludf.DUMMYFUNCTION("""COMPUTED_VALUE"""),40353.666666666664)</f>
        <v>40353.66667</v>
      </c>
      <c r="B3141" s="1">
        <f>IFERROR(__xludf.DUMMYFUNCTION("""COMPUTED_VALUE"""),1786.13)</f>
        <v>1786.13</v>
      </c>
    </row>
    <row r="3142">
      <c r="A3142" s="2">
        <f>IFERROR(__xludf.DUMMYFUNCTION("""COMPUTED_VALUE"""),40354.666666666664)</f>
        <v>40354.66667</v>
      </c>
      <c r="B3142" s="1">
        <f>IFERROR(__xludf.DUMMYFUNCTION("""COMPUTED_VALUE"""),1791.24)</f>
        <v>1791.24</v>
      </c>
    </row>
    <row r="3143">
      <c r="A3143" s="2">
        <f>IFERROR(__xludf.DUMMYFUNCTION("""COMPUTED_VALUE"""),40357.666666666664)</f>
        <v>40357.66667</v>
      </c>
      <c r="B3143" s="1">
        <f>IFERROR(__xludf.DUMMYFUNCTION("""COMPUTED_VALUE"""),1787.94)</f>
        <v>1787.94</v>
      </c>
    </row>
    <row r="3144">
      <c r="A3144" s="2">
        <f>IFERROR(__xludf.DUMMYFUNCTION("""COMPUTED_VALUE"""),40358.666666666664)</f>
        <v>40358.66667</v>
      </c>
      <c r="B3144" s="1">
        <f>IFERROR(__xludf.DUMMYFUNCTION("""COMPUTED_VALUE"""),1732.55)</f>
        <v>1732.55</v>
      </c>
    </row>
    <row r="3145">
      <c r="A3145" s="2">
        <f>IFERROR(__xludf.DUMMYFUNCTION("""COMPUTED_VALUE"""),40359.666666666664)</f>
        <v>40359.66667</v>
      </c>
      <c r="B3145" s="1">
        <f>IFERROR(__xludf.DUMMYFUNCTION("""COMPUTED_VALUE"""),1715.23)</f>
        <v>1715.23</v>
      </c>
    </row>
    <row r="3146">
      <c r="A3146" s="2">
        <f>IFERROR(__xludf.DUMMYFUNCTION("""COMPUTED_VALUE"""),40360.666666666664)</f>
        <v>40360.66667</v>
      </c>
      <c r="B3146" s="1">
        <f>IFERROR(__xludf.DUMMYFUNCTION("""COMPUTED_VALUE"""),1709.77)</f>
        <v>1709.77</v>
      </c>
    </row>
    <row r="3147">
      <c r="A3147" s="2">
        <f>IFERROR(__xludf.DUMMYFUNCTION("""COMPUTED_VALUE"""),40361.666666666664)</f>
        <v>40361.66667</v>
      </c>
      <c r="B3147" s="1">
        <f>IFERROR(__xludf.DUMMYFUNCTION("""COMPUTED_VALUE"""),1701.86)</f>
        <v>1701.86</v>
      </c>
    </row>
    <row r="3148">
      <c r="A3148" s="2">
        <f>IFERROR(__xludf.DUMMYFUNCTION("""COMPUTED_VALUE"""),40365.666666666664)</f>
        <v>40365.66667</v>
      </c>
      <c r="B3148" s="1">
        <f>IFERROR(__xludf.DUMMYFUNCTION("""COMPUTED_VALUE"""),1710.97)</f>
        <v>1710.97</v>
      </c>
    </row>
    <row r="3149">
      <c r="A3149" s="2">
        <f>IFERROR(__xludf.DUMMYFUNCTION("""COMPUTED_VALUE"""),40366.666666666664)</f>
        <v>40366.66667</v>
      </c>
      <c r="B3149" s="1">
        <f>IFERROR(__xludf.DUMMYFUNCTION("""COMPUTED_VALUE"""),1765.42)</f>
        <v>1765.42</v>
      </c>
    </row>
    <row r="3150">
      <c r="A3150" s="2">
        <f>IFERROR(__xludf.DUMMYFUNCTION("""COMPUTED_VALUE"""),40367.666666666664)</f>
        <v>40367.66667</v>
      </c>
      <c r="B3150" s="1">
        <f>IFERROR(__xludf.DUMMYFUNCTION("""COMPUTED_VALUE"""),1782.1)</f>
        <v>1782.1</v>
      </c>
    </row>
    <row r="3151">
      <c r="A3151" s="2">
        <f>IFERROR(__xludf.DUMMYFUNCTION("""COMPUTED_VALUE"""),40368.666666666664)</f>
        <v>40368.66667</v>
      </c>
      <c r="B3151" s="1">
        <f>IFERROR(__xludf.DUMMYFUNCTION("""COMPUTED_VALUE"""),1794.94)</f>
        <v>1794.94</v>
      </c>
    </row>
    <row r="3152">
      <c r="A3152" s="2">
        <f>IFERROR(__xludf.DUMMYFUNCTION("""COMPUTED_VALUE"""),40371.666666666664)</f>
        <v>40371.66667</v>
      </c>
      <c r="B3152" s="1">
        <f>IFERROR(__xludf.DUMMYFUNCTION("""COMPUTED_VALUE"""),1796.25)</f>
        <v>1796.25</v>
      </c>
    </row>
    <row r="3153">
      <c r="A3153" s="2">
        <f>IFERROR(__xludf.DUMMYFUNCTION("""COMPUTED_VALUE"""),40372.666666666664)</f>
        <v>40372.66667</v>
      </c>
      <c r="B3153" s="1">
        <f>IFERROR(__xludf.DUMMYFUNCTION("""COMPUTED_VALUE"""),1823.92)</f>
        <v>1823.92</v>
      </c>
    </row>
    <row r="3154">
      <c r="A3154" s="2">
        <f>IFERROR(__xludf.DUMMYFUNCTION("""COMPUTED_VALUE"""),40373.666666666664)</f>
        <v>40373.66667</v>
      </c>
      <c r="B3154" s="1">
        <f>IFERROR(__xludf.DUMMYFUNCTION("""COMPUTED_VALUE"""),1823.8)</f>
        <v>1823.8</v>
      </c>
    </row>
    <row r="3155">
      <c r="A3155" s="2">
        <f>IFERROR(__xludf.DUMMYFUNCTION("""COMPUTED_VALUE"""),40374.666666666664)</f>
        <v>40374.66667</v>
      </c>
      <c r="B3155" s="1">
        <f>IFERROR(__xludf.DUMMYFUNCTION("""COMPUTED_VALUE"""),1826.0)</f>
        <v>1826</v>
      </c>
    </row>
    <row r="3156">
      <c r="A3156" s="2">
        <f>IFERROR(__xludf.DUMMYFUNCTION("""COMPUTED_VALUE"""),40375.666666666664)</f>
        <v>40375.66667</v>
      </c>
      <c r="B3156" s="1">
        <f>IFERROR(__xludf.DUMMYFUNCTION("""COMPUTED_VALUE"""),1773.37)</f>
        <v>1773.37</v>
      </c>
    </row>
    <row r="3157">
      <c r="A3157" s="2">
        <f>IFERROR(__xludf.DUMMYFUNCTION("""COMPUTED_VALUE"""),40378.666666666664)</f>
        <v>40378.66667</v>
      </c>
      <c r="B3157" s="1">
        <f>IFERROR(__xludf.DUMMYFUNCTION("""COMPUTED_VALUE"""),1784.03)</f>
        <v>1784.03</v>
      </c>
    </row>
    <row r="3158">
      <c r="A3158" s="2">
        <f>IFERROR(__xludf.DUMMYFUNCTION("""COMPUTED_VALUE"""),40379.666666666664)</f>
        <v>40379.66667</v>
      </c>
      <c r="B3158" s="1">
        <f>IFERROR(__xludf.DUMMYFUNCTION("""COMPUTED_VALUE"""),1804.44)</f>
        <v>1804.44</v>
      </c>
    </row>
    <row r="3159">
      <c r="A3159" s="2">
        <f>IFERROR(__xludf.DUMMYFUNCTION("""COMPUTED_VALUE"""),40380.666666666664)</f>
        <v>40380.66667</v>
      </c>
      <c r="B3159" s="1">
        <f>IFERROR(__xludf.DUMMYFUNCTION("""COMPUTED_VALUE"""),1781.34)</f>
        <v>1781.34</v>
      </c>
    </row>
    <row r="3160">
      <c r="A3160" s="2">
        <f>IFERROR(__xludf.DUMMYFUNCTION("""COMPUTED_VALUE"""),40381.666666666664)</f>
        <v>40381.66667</v>
      </c>
      <c r="B3160" s="1">
        <f>IFERROR(__xludf.DUMMYFUNCTION("""COMPUTED_VALUE"""),1821.71)</f>
        <v>1821.71</v>
      </c>
    </row>
    <row r="3161">
      <c r="A3161" s="2">
        <f>IFERROR(__xludf.DUMMYFUNCTION("""COMPUTED_VALUE"""),40382.666666666664)</f>
        <v>40382.66667</v>
      </c>
      <c r="B3161" s="1">
        <f>IFERROR(__xludf.DUMMYFUNCTION("""COMPUTED_VALUE"""),1836.73)</f>
        <v>1836.73</v>
      </c>
    </row>
    <row r="3162">
      <c r="A3162" s="2">
        <f>IFERROR(__xludf.DUMMYFUNCTION("""COMPUTED_VALUE"""),40386.666666666664)</f>
        <v>40386.66667</v>
      </c>
      <c r="B3162" s="1">
        <f>IFERROR(__xludf.DUMMYFUNCTION("""COMPUTED_VALUE"""),1855.39)</f>
        <v>1855.39</v>
      </c>
    </row>
    <row r="3163">
      <c r="A3163" s="2">
        <f>IFERROR(__xludf.DUMMYFUNCTION("""COMPUTED_VALUE"""),40387.666666666664)</f>
        <v>40387.66667</v>
      </c>
      <c r="B3163" s="1">
        <f>IFERROR(__xludf.DUMMYFUNCTION("""COMPUTED_VALUE"""),1842.54)</f>
        <v>1842.54</v>
      </c>
    </row>
    <row r="3164">
      <c r="A3164" s="2">
        <f>IFERROR(__xludf.DUMMYFUNCTION("""COMPUTED_VALUE"""),40388.666666666664)</f>
        <v>40388.66667</v>
      </c>
      <c r="B3164" s="1">
        <f>IFERROR(__xludf.DUMMYFUNCTION("""COMPUTED_VALUE"""),1835.0)</f>
        <v>1835</v>
      </c>
    </row>
    <row r="3165">
      <c r="A3165" s="2">
        <f>IFERROR(__xludf.DUMMYFUNCTION("""COMPUTED_VALUE"""),40389.666666666664)</f>
        <v>40389.66667</v>
      </c>
      <c r="B3165" s="1">
        <f>IFERROR(__xludf.DUMMYFUNCTION("""COMPUTED_VALUE"""),1835.4)</f>
        <v>1835.4</v>
      </c>
    </row>
    <row r="3166">
      <c r="A3166" s="2">
        <f>IFERROR(__xludf.DUMMYFUNCTION("""COMPUTED_VALUE"""),40392.666666666664)</f>
        <v>40392.66667</v>
      </c>
      <c r="B3166" s="1">
        <f>IFERROR(__xludf.DUMMYFUNCTION("""COMPUTED_VALUE"""),1875.83)</f>
        <v>1875.83</v>
      </c>
    </row>
    <row r="3167">
      <c r="A3167" s="2">
        <f>IFERROR(__xludf.DUMMYFUNCTION("""COMPUTED_VALUE"""),40393.666666666664)</f>
        <v>40393.66667</v>
      </c>
      <c r="B3167" s="1">
        <f>IFERROR(__xludf.DUMMYFUNCTION("""COMPUTED_VALUE"""),1866.84)</f>
        <v>1866.84</v>
      </c>
    </row>
    <row r="3168">
      <c r="A3168" s="2">
        <f>IFERROR(__xludf.DUMMYFUNCTION("""COMPUTED_VALUE"""),40394.666666666664)</f>
        <v>40394.66667</v>
      </c>
      <c r="B3168" s="1">
        <f>IFERROR(__xludf.DUMMYFUNCTION("""COMPUTED_VALUE"""),1878.17)</f>
        <v>1878.17</v>
      </c>
    </row>
    <row r="3169">
      <c r="A3169" s="2">
        <f>IFERROR(__xludf.DUMMYFUNCTION("""COMPUTED_VALUE"""),40395.666666666664)</f>
        <v>40395.66667</v>
      </c>
      <c r="B3169" s="1">
        <f>IFERROR(__xludf.DUMMYFUNCTION("""COMPUTED_VALUE"""),1876.44)</f>
        <v>1876.44</v>
      </c>
    </row>
    <row r="3170">
      <c r="A3170" s="2">
        <f>IFERROR(__xludf.DUMMYFUNCTION("""COMPUTED_VALUE"""),40396.666666666664)</f>
        <v>40396.66667</v>
      </c>
      <c r="B3170" s="1">
        <f>IFERROR(__xludf.DUMMYFUNCTION("""COMPUTED_VALUE"""),1869.56)</f>
        <v>1869.56</v>
      </c>
    </row>
    <row r="3171">
      <c r="A3171" s="2">
        <f>IFERROR(__xludf.DUMMYFUNCTION("""COMPUTED_VALUE"""),40399.666666666664)</f>
        <v>40399.66667</v>
      </c>
      <c r="B3171" s="1">
        <f>IFERROR(__xludf.DUMMYFUNCTION("""COMPUTED_VALUE"""),1880.02)</f>
        <v>1880.02</v>
      </c>
    </row>
    <row r="3172">
      <c r="A3172" s="2">
        <f>IFERROR(__xludf.DUMMYFUNCTION("""COMPUTED_VALUE"""),40400.666666666664)</f>
        <v>40400.66667</v>
      </c>
      <c r="B3172" s="1">
        <f>IFERROR(__xludf.DUMMYFUNCTION("""COMPUTED_VALUE"""),1868.84)</f>
        <v>1868.84</v>
      </c>
    </row>
    <row r="3173">
      <c r="A3173" s="2">
        <f>IFERROR(__xludf.DUMMYFUNCTION("""COMPUTED_VALUE"""),40401.666666666664)</f>
        <v>40401.66667</v>
      </c>
      <c r="B3173" s="1">
        <f>IFERROR(__xludf.DUMMYFUNCTION("""COMPUTED_VALUE"""),1816.22)</f>
        <v>1816.22</v>
      </c>
    </row>
    <row r="3174">
      <c r="A3174" s="2">
        <f>IFERROR(__xludf.DUMMYFUNCTION("""COMPUTED_VALUE"""),40402.666666666664)</f>
        <v>40402.66667</v>
      </c>
      <c r="B3174" s="1">
        <f>IFERROR(__xludf.DUMMYFUNCTION("""COMPUTED_VALUE"""),1807.35)</f>
        <v>1807.35</v>
      </c>
    </row>
    <row r="3175">
      <c r="A3175" s="2">
        <f>IFERROR(__xludf.DUMMYFUNCTION("""COMPUTED_VALUE"""),40403.666666666664)</f>
        <v>40403.66667</v>
      </c>
      <c r="B3175" s="1">
        <f>IFERROR(__xludf.DUMMYFUNCTION("""COMPUTED_VALUE"""),1800.33)</f>
        <v>1800.33</v>
      </c>
    </row>
    <row r="3176">
      <c r="A3176" s="2">
        <f>IFERROR(__xludf.DUMMYFUNCTION("""COMPUTED_VALUE"""),40406.666666666664)</f>
        <v>40406.66667</v>
      </c>
      <c r="B3176" s="1">
        <f>IFERROR(__xludf.DUMMYFUNCTION("""COMPUTED_VALUE"""),1800.6)</f>
        <v>1800.6</v>
      </c>
    </row>
    <row r="3177">
      <c r="A3177" s="2">
        <f>IFERROR(__xludf.DUMMYFUNCTION("""COMPUTED_VALUE"""),40407.666666666664)</f>
        <v>40407.66667</v>
      </c>
      <c r="B3177" s="1">
        <f>IFERROR(__xludf.DUMMYFUNCTION("""COMPUTED_VALUE"""),1822.66)</f>
        <v>1822.66</v>
      </c>
    </row>
    <row r="3178">
      <c r="A3178" s="2">
        <f>IFERROR(__xludf.DUMMYFUNCTION("""COMPUTED_VALUE"""),40408.666666666664)</f>
        <v>40408.66667</v>
      </c>
      <c r="B3178" s="1">
        <f>IFERROR(__xludf.DUMMYFUNCTION("""COMPUTED_VALUE"""),1825.89)</f>
        <v>1825.89</v>
      </c>
    </row>
    <row r="3179">
      <c r="A3179" s="2">
        <f>IFERROR(__xludf.DUMMYFUNCTION("""COMPUTED_VALUE"""),40409.666666666664)</f>
        <v>40409.66667</v>
      </c>
      <c r="B3179" s="1">
        <f>IFERROR(__xludf.DUMMYFUNCTION("""COMPUTED_VALUE"""),1795.21)</f>
        <v>1795.21</v>
      </c>
    </row>
    <row r="3180">
      <c r="A3180" s="2">
        <f>IFERROR(__xludf.DUMMYFUNCTION("""COMPUTED_VALUE"""),40410.666666666664)</f>
        <v>40410.66667</v>
      </c>
      <c r="B3180" s="1">
        <f>IFERROR(__xludf.DUMMYFUNCTION("""COMPUTED_VALUE"""),1788.67)</f>
        <v>1788.67</v>
      </c>
    </row>
    <row r="3181">
      <c r="A3181" s="2">
        <f>IFERROR(__xludf.DUMMYFUNCTION("""COMPUTED_VALUE"""),40413.666666666664)</f>
        <v>40413.66667</v>
      </c>
      <c r="B3181" s="1">
        <f>IFERROR(__xludf.DUMMYFUNCTION("""COMPUTED_VALUE"""),1781.44)</f>
        <v>1781.44</v>
      </c>
    </row>
    <row r="3182">
      <c r="A3182" s="2">
        <f>IFERROR(__xludf.DUMMYFUNCTION("""COMPUTED_VALUE"""),40414.666666666664)</f>
        <v>40414.66667</v>
      </c>
      <c r="B3182" s="1">
        <f>IFERROR(__xludf.DUMMYFUNCTION("""COMPUTED_VALUE"""),1755.62)</f>
        <v>1755.62</v>
      </c>
    </row>
    <row r="3183">
      <c r="A3183" s="2">
        <f>IFERROR(__xludf.DUMMYFUNCTION("""COMPUTED_VALUE"""),40415.666666666664)</f>
        <v>40415.66667</v>
      </c>
      <c r="B3183" s="1">
        <f>IFERROR(__xludf.DUMMYFUNCTION("""COMPUTED_VALUE"""),1761.42)</f>
        <v>1761.42</v>
      </c>
    </row>
    <row r="3184">
      <c r="A3184" s="2">
        <f>IFERROR(__xludf.DUMMYFUNCTION("""COMPUTED_VALUE"""),40416.666666666664)</f>
        <v>40416.66667</v>
      </c>
      <c r="B3184" s="1">
        <f>IFERROR(__xludf.DUMMYFUNCTION("""COMPUTED_VALUE"""),1748.09)</f>
        <v>1748.09</v>
      </c>
    </row>
    <row r="3185">
      <c r="A3185" s="2">
        <f>IFERROR(__xludf.DUMMYFUNCTION("""COMPUTED_VALUE"""),40417.666666666664)</f>
        <v>40417.66667</v>
      </c>
      <c r="B3185" s="1">
        <f>IFERROR(__xludf.DUMMYFUNCTION("""COMPUTED_VALUE"""),1777.13)</f>
        <v>1777.13</v>
      </c>
    </row>
    <row r="3186">
      <c r="A3186" s="2">
        <f>IFERROR(__xludf.DUMMYFUNCTION("""COMPUTED_VALUE"""),40420.666666666664)</f>
        <v>40420.66667</v>
      </c>
      <c r="B3186" s="1">
        <f>IFERROR(__xludf.DUMMYFUNCTION("""COMPUTED_VALUE"""),1751.44)</f>
        <v>1751.44</v>
      </c>
    </row>
    <row r="3187">
      <c r="A3187" s="2">
        <f>IFERROR(__xludf.DUMMYFUNCTION("""COMPUTED_VALUE"""),40421.666666666664)</f>
        <v>40421.66667</v>
      </c>
      <c r="B3187" s="1">
        <f>IFERROR(__xludf.DUMMYFUNCTION("""COMPUTED_VALUE"""),1752.47)</f>
        <v>1752.47</v>
      </c>
    </row>
    <row r="3188">
      <c r="A3188" s="2">
        <f>IFERROR(__xludf.DUMMYFUNCTION("""COMPUTED_VALUE"""),40422.666666666664)</f>
        <v>40422.66667</v>
      </c>
      <c r="B3188" s="1">
        <f>IFERROR(__xludf.DUMMYFUNCTION("""COMPUTED_VALUE"""),1804.27)</f>
        <v>1804.27</v>
      </c>
    </row>
    <row r="3189">
      <c r="A3189" s="2">
        <f>IFERROR(__xludf.DUMMYFUNCTION("""COMPUTED_VALUE"""),40423.666666666664)</f>
        <v>40423.66667</v>
      </c>
      <c r="B3189" s="1">
        <f>IFERROR(__xludf.DUMMYFUNCTION("""COMPUTED_VALUE"""),1820.84)</f>
        <v>1820.84</v>
      </c>
    </row>
    <row r="3190">
      <c r="A3190" s="2">
        <f>IFERROR(__xludf.DUMMYFUNCTION("""COMPUTED_VALUE"""),40424.666666666664)</f>
        <v>40424.66667</v>
      </c>
      <c r="B3190" s="1">
        <f>IFERROR(__xludf.DUMMYFUNCTION("""COMPUTED_VALUE"""),1845.04)</f>
        <v>1845.04</v>
      </c>
    </row>
    <row r="3191">
      <c r="A3191" s="2">
        <f>IFERROR(__xludf.DUMMYFUNCTION("""COMPUTED_VALUE"""),40428.666666666664)</f>
        <v>40428.66667</v>
      </c>
      <c r="B3191" s="1">
        <f>IFERROR(__xludf.DUMMYFUNCTION("""COMPUTED_VALUE"""),1823.94)</f>
        <v>1823.94</v>
      </c>
    </row>
    <row r="3192">
      <c r="A3192" s="2">
        <f>IFERROR(__xludf.DUMMYFUNCTION("""COMPUTED_VALUE"""),40429.666666666664)</f>
        <v>40429.66667</v>
      </c>
      <c r="B3192" s="1">
        <f>IFERROR(__xludf.DUMMYFUNCTION("""COMPUTED_VALUE"""),1835.79)</f>
        <v>1835.79</v>
      </c>
    </row>
    <row r="3193">
      <c r="A3193" s="2">
        <f>IFERROR(__xludf.DUMMYFUNCTION("""COMPUTED_VALUE"""),40430.666666666664)</f>
        <v>40430.66667</v>
      </c>
      <c r="B3193" s="1">
        <f>IFERROR(__xludf.DUMMYFUNCTION("""COMPUTED_VALUE"""),1845.08)</f>
        <v>1845.08</v>
      </c>
    </row>
    <row r="3194">
      <c r="A3194" s="2">
        <f>IFERROR(__xludf.DUMMYFUNCTION("""COMPUTED_VALUE"""),40431.666666666664)</f>
        <v>40431.66667</v>
      </c>
      <c r="B3194" s="1">
        <f>IFERROR(__xludf.DUMMYFUNCTION("""COMPUTED_VALUE"""),1854.07)</f>
        <v>1854.07</v>
      </c>
    </row>
    <row r="3195">
      <c r="A3195" s="2">
        <f>IFERROR(__xludf.DUMMYFUNCTION("""COMPUTED_VALUE"""),40434.666666666664)</f>
        <v>40434.66667</v>
      </c>
      <c r="B3195" s="1">
        <f>IFERROR(__xludf.DUMMYFUNCTION("""COMPUTED_VALUE"""),1874.74)</f>
        <v>1874.74</v>
      </c>
    </row>
    <row r="3196">
      <c r="A3196" s="2">
        <f>IFERROR(__xludf.DUMMYFUNCTION("""COMPUTED_VALUE"""),40435.666666666664)</f>
        <v>40435.66667</v>
      </c>
      <c r="B3196" s="1">
        <f>IFERROR(__xludf.DUMMYFUNCTION("""COMPUTED_VALUE"""),1874.06)</f>
        <v>1874.06</v>
      </c>
    </row>
    <row r="3197">
      <c r="A3197" s="2">
        <f>IFERROR(__xludf.DUMMYFUNCTION("""COMPUTED_VALUE"""),40436.666666666664)</f>
        <v>40436.66667</v>
      </c>
      <c r="B3197" s="1">
        <f>IFERROR(__xludf.DUMMYFUNCTION("""COMPUTED_VALUE"""),1880.7)</f>
        <v>1880.7</v>
      </c>
    </row>
    <row r="3198">
      <c r="A3198" s="2">
        <f>IFERROR(__xludf.DUMMYFUNCTION("""COMPUTED_VALUE"""),40437.666666666664)</f>
        <v>40437.66667</v>
      </c>
      <c r="B3198" s="1">
        <f>IFERROR(__xludf.DUMMYFUNCTION("""COMPUTED_VALUE"""),1880.07)</f>
        <v>1880.07</v>
      </c>
    </row>
    <row r="3199">
      <c r="A3199" s="2">
        <f>IFERROR(__xludf.DUMMYFUNCTION("""COMPUTED_VALUE"""),40438.666666666664)</f>
        <v>40438.66667</v>
      </c>
      <c r="B3199" s="1">
        <f>IFERROR(__xludf.DUMMYFUNCTION("""COMPUTED_VALUE"""),1881.92)</f>
        <v>1881.92</v>
      </c>
    </row>
    <row r="3200">
      <c r="A3200" s="2">
        <f>IFERROR(__xludf.DUMMYFUNCTION("""COMPUTED_VALUE"""),40441.666666666664)</f>
        <v>40441.66667</v>
      </c>
      <c r="B3200" s="1">
        <f>IFERROR(__xludf.DUMMYFUNCTION("""COMPUTED_VALUE"""),1910.55)</f>
        <v>1910.55</v>
      </c>
    </row>
    <row r="3201">
      <c r="A3201" s="2">
        <f>IFERROR(__xludf.DUMMYFUNCTION("""COMPUTED_VALUE"""),40442.666666666664)</f>
        <v>40442.66667</v>
      </c>
      <c r="B3201" s="1">
        <f>IFERROR(__xludf.DUMMYFUNCTION("""COMPUTED_VALUE"""),1905.7)</f>
        <v>1905.7</v>
      </c>
    </row>
    <row r="3202">
      <c r="A3202" s="2">
        <f>IFERROR(__xludf.DUMMYFUNCTION("""COMPUTED_VALUE"""),40443.666666666664)</f>
        <v>40443.66667</v>
      </c>
      <c r="B3202" s="1">
        <f>IFERROR(__xludf.DUMMYFUNCTION("""COMPUTED_VALUE"""),1896.53)</f>
        <v>1896.53</v>
      </c>
    </row>
    <row r="3203">
      <c r="A3203" s="2">
        <f>IFERROR(__xludf.DUMMYFUNCTION("""COMPUTED_VALUE"""),40444.666666666664)</f>
        <v>40444.66667</v>
      </c>
      <c r="B3203" s="1">
        <f>IFERROR(__xludf.DUMMYFUNCTION("""COMPUTED_VALUE"""),1880.97)</f>
        <v>1880.97</v>
      </c>
    </row>
    <row r="3204">
      <c r="A3204" s="2">
        <f>IFERROR(__xludf.DUMMYFUNCTION("""COMPUTED_VALUE"""),40445.666666666664)</f>
        <v>40445.66667</v>
      </c>
      <c r="B3204" s="1">
        <f>IFERROR(__xludf.DUMMYFUNCTION("""COMPUTED_VALUE"""),1920.84)</f>
        <v>1920.84</v>
      </c>
    </row>
    <row r="3205">
      <c r="A3205" s="2">
        <f>IFERROR(__xludf.DUMMYFUNCTION("""COMPUTED_VALUE"""),40448.666666666664)</f>
        <v>40448.66667</v>
      </c>
      <c r="B3205" s="1">
        <f>IFERROR(__xludf.DUMMYFUNCTION("""COMPUTED_VALUE"""),1909.96)</f>
        <v>1909.96</v>
      </c>
    </row>
    <row r="3206">
      <c r="A3206" s="2">
        <f>IFERROR(__xludf.DUMMYFUNCTION("""COMPUTED_VALUE"""),40449.666666666664)</f>
        <v>40449.66667</v>
      </c>
      <c r="B3206" s="1">
        <f>IFERROR(__xludf.DUMMYFUNCTION("""COMPUTED_VALUE"""),1919.24)</f>
        <v>1919.24</v>
      </c>
    </row>
    <row r="3207">
      <c r="A3207" s="2">
        <f>IFERROR(__xludf.DUMMYFUNCTION("""COMPUTED_VALUE"""),40450.666666666664)</f>
        <v>40450.66667</v>
      </c>
      <c r="B3207" s="1">
        <f>IFERROR(__xludf.DUMMYFUNCTION("""COMPUTED_VALUE"""),1914.61)</f>
        <v>1914.61</v>
      </c>
    </row>
    <row r="3208">
      <c r="A3208" s="2">
        <f>IFERROR(__xludf.DUMMYFUNCTION("""COMPUTED_VALUE"""),40451.666666666664)</f>
        <v>40451.66667</v>
      </c>
      <c r="B3208" s="1">
        <f>IFERROR(__xludf.DUMMYFUNCTION("""COMPUTED_VALUE"""),1908.94)</f>
        <v>1908.94</v>
      </c>
    </row>
    <row r="3209">
      <c r="A3209" s="2">
        <f>IFERROR(__xludf.DUMMYFUNCTION("""COMPUTED_VALUE"""),40452.666666666664)</f>
        <v>40452.66667</v>
      </c>
      <c r="B3209" s="1">
        <f>IFERROR(__xludf.DUMMYFUNCTION("""COMPUTED_VALUE"""),1917.37)</f>
        <v>1917.37</v>
      </c>
    </row>
    <row r="3210">
      <c r="A3210" s="2">
        <f>IFERROR(__xludf.DUMMYFUNCTION("""COMPUTED_VALUE"""),40455.666666666664)</f>
        <v>40455.66667</v>
      </c>
      <c r="B3210" s="1">
        <f>IFERROR(__xludf.DUMMYFUNCTION("""COMPUTED_VALUE"""),1902.03)</f>
        <v>1902.03</v>
      </c>
    </row>
    <row r="3211">
      <c r="A3211" s="2">
        <f>IFERROR(__xludf.DUMMYFUNCTION("""COMPUTED_VALUE"""),40456.666666666664)</f>
        <v>40456.66667</v>
      </c>
      <c r="B3211" s="1">
        <f>IFERROR(__xludf.DUMMYFUNCTION("""COMPUTED_VALUE"""),1941.82)</f>
        <v>1941.82</v>
      </c>
    </row>
    <row r="3212">
      <c r="A3212" s="2">
        <f>IFERROR(__xludf.DUMMYFUNCTION("""COMPUTED_VALUE"""),40458.666666666664)</f>
        <v>40458.66667</v>
      </c>
      <c r="B3212" s="1">
        <f>IFERROR(__xludf.DUMMYFUNCTION("""COMPUTED_VALUE"""),1938.29)</f>
        <v>1938.29</v>
      </c>
    </row>
    <row r="3213">
      <c r="A3213" s="2">
        <f>IFERROR(__xludf.DUMMYFUNCTION("""COMPUTED_VALUE"""),40459.666666666664)</f>
        <v>40459.66667</v>
      </c>
      <c r="B3213" s="1">
        <f>IFERROR(__xludf.DUMMYFUNCTION("""COMPUTED_VALUE"""),1950.17)</f>
        <v>1950.17</v>
      </c>
    </row>
    <row r="3214">
      <c r="A3214" s="2">
        <f>IFERROR(__xludf.DUMMYFUNCTION("""COMPUTED_VALUE"""),40462.666666666664)</f>
        <v>40462.66667</v>
      </c>
      <c r="B3214" s="1">
        <f>IFERROR(__xludf.DUMMYFUNCTION("""COMPUTED_VALUE"""),1950.0)</f>
        <v>1950</v>
      </c>
    </row>
    <row r="3215">
      <c r="A3215" s="2">
        <f>IFERROR(__xludf.DUMMYFUNCTION("""COMPUTED_VALUE"""),40463.666666666664)</f>
        <v>40463.66667</v>
      </c>
      <c r="B3215" s="1">
        <f>IFERROR(__xludf.DUMMYFUNCTION("""COMPUTED_VALUE"""),1957.92)</f>
        <v>1957.92</v>
      </c>
    </row>
    <row r="3216">
      <c r="A3216" s="2">
        <f>IFERROR(__xludf.DUMMYFUNCTION("""COMPUTED_VALUE"""),40464.666666666664)</f>
        <v>40464.66667</v>
      </c>
      <c r="B3216" s="1">
        <f>IFERROR(__xludf.DUMMYFUNCTION("""COMPUTED_VALUE"""),1971.87)</f>
        <v>1971.87</v>
      </c>
    </row>
    <row r="3217">
      <c r="A3217" s="2">
        <f>IFERROR(__xludf.DUMMYFUNCTION("""COMPUTED_VALUE"""),40465.666666666664)</f>
        <v>40465.66667</v>
      </c>
      <c r="B3217" s="1">
        <f>IFERROR(__xludf.DUMMYFUNCTION("""COMPUTED_VALUE"""),1964.9)</f>
        <v>1964.9</v>
      </c>
    </row>
    <row r="3218">
      <c r="A3218" s="2">
        <f>IFERROR(__xludf.DUMMYFUNCTION("""COMPUTED_VALUE"""),40466.666666666664)</f>
        <v>40466.66667</v>
      </c>
      <c r="B3218" s="1">
        <f>IFERROR(__xludf.DUMMYFUNCTION("""COMPUTED_VALUE"""),1968.87)</f>
        <v>1968.87</v>
      </c>
    </row>
    <row r="3219">
      <c r="A3219" s="2">
        <f>IFERROR(__xludf.DUMMYFUNCTION("""COMPUTED_VALUE"""),40469.666666666664)</f>
        <v>40469.66667</v>
      </c>
      <c r="B3219" s="1">
        <f>IFERROR(__xludf.DUMMYFUNCTION("""COMPUTED_VALUE"""),1983.14)</f>
        <v>1983.14</v>
      </c>
    </row>
    <row r="3220">
      <c r="A3220" s="2">
        <f>IFERROR(__xludf.DUMMYFUNCTION("""COMPUTED_VALUE"""),40470.666666666664)</f>
        <v>40470.66667</v>
      </c>
      <c r="B3220" s="1">
        <f>IFERROR(__xludf.DUMMYFUNCTION("""COMPUTED_VALUE"""),1951.67)</f>
        <v>1951.67</v>
      </c>
    </row>
    <row r="3221">
      <c r="A3221" s="2">
        <f>IFERROR(__xludf.DUMMYFUNCTION("""COMPUTED_VALUE"""),40471.666666666664)</f>
        <v>40471.66667</v>
      </c>
      <c r="B3221" s="1">
        <f>IFERROR(__xludf.DUMMYFUNCTION("""COMPUTED_VALUE"""),1972.22)</f>
        <v>1972.22</v>
      </c>
    </row>
    <row r="3222">
      <c r="A3222" s="2">
        <f>IFERROR(__xludf.DUMMYFUNCTION("""COMPUTED_VALUE"""),40472.666666666664)</f>
        <v>40472.66667</v>
      </c>
      <c r="B3222" s="1">
        <f>IFERROR(__xludf.DUMMYFUNCTION("""COMPUTED_VALUE"""),1976.01)</f>
        <v>1976.01</v>
      </c>
    </row>
    <row r="3223">
      <c r="A3223" s="2">
        <f>IFERROR(__xludf.DUMMYFUNCTION("""COMPUTED_VALUE"""),40473.666666666664)</f>
        <v>40473.66667</v>
      </c>
      <c r="B3223" s="1">
        <f>IFERROR(__xludf.DUMMYFUNCTION("""COMPUTED_VALUE"""),1980.83)</f>
        <v>1980.83</v>
      </c>
    </row>
    <row r="3224">
      <c r="A3224" s="2">
        <f>IFERROR(__xludf.DUMMYFUNCTION("""COMPUTED_VALUE"""),40476.666666666664)</f>
        <v>40476.66667</v>
      </c>
      <c r="B3224" s="1">
        <f>IFERROR(__xludf.DUMMYFUNCTION("""COMPUTED_VALUE"""),1985.09)</f>
        <v>1985.09</v>
      </c>
    </row>
    <row r="3225">
      <c r="A3225" s="2">
        <f>IFERROR(__xludf.DUMMYFUNCTION("""COMPUTED_VALUE"""),40477.666666666664)</f>
        <v>40477.66667</v>
      </c>
      <c r="B3225" s="1">
        <f>IFERROR(__xludf.DUMMYFUNCTION("""COMPUTED_VALUE"""),1985.13)</f>
        <v>1985.13</v>
      </c>
    </row>
    <row r="3226">
      <c r="A3226" s="2">
        <f>IFERROR(__xludf.DUMMYFUNCTION("""COMPUTED_VALUE"""),40478.666666666664)</f>
        <v>40478.66667</v>
      </c>
      <c r="B3226" s="1">
        <f>IFERROR(__xludf.DUMMYFUNCTION("""COMPUTED_VALUE"""),1979.79)</f>
        <v>1979.79</v>
      </c>
    </row>
    <row r="3227">
      <c r="A3227" s="2">
        <f>IFERROR(__xludf.DUMMYFUNCTION("""COMPUTED_VALUE"""),40479.666666666664)</f>
        <v>40479.66667</v>
      </c>
      <c r="B3227" s="1">
        <f>IFERROR(__xludf.DUMMYFUNCTION("""COMPUTED_VALUE"""),1982.16)</f>
        <v>1982.16</v>
      </c>
    </row>
    <row r="3228">
      <c r="A3228" s="2">
        <f>IFERROR(__xludf.DUMMYFUNCTION("""COMPUTED_VALUE"""),40480.666666666664)</f>
        <v>40480.66667</v>
      </c>
      <c r="B3228" s="1">
        <f>IFERROR(__xludf.DUMMYFUNCTION("""COMPUTED_VALUE"""),1981.59)</f>
        <v>1981.59</v>
      </c>
    </row>
    <row r="3229">
      <c r="A3229" s="2">
        <f>IFERROR(__xludf.DUMMYFUNCTION("""COMPUTED_VALUE"""),40483.666666666664)</f>
        <v>40483.66667</v>
      </c>
      <c r="B3229" s="1">
        <f>IFERROR(__xludf.DUMMYFUNCTION("""COMPUTED_VALUE"""),1983.47)</f>
        <v>1983.47</v>
      </c>
    </row>
    <row r="3230">
      <c r="A3230" s="2">
        <f>IFERROR(__xludf.DUMMYFUNCTION("""COMPUTED_VALUE"""),40484.666666666664)</f>
        <v>40484.66667</v>
      </c>
      <c r="B3230" s="1">
        <f>IFERROR(__xludf.DUMMYFUNCTION("""COMPUTED_VALUE"""),1998.85)</f>
        <v>1998.85</v>
      </c>
    </row>
    <row r="3231">
      <c r="A3231" s="2">
        <f>IFERROR(__xludf.DUMMYFUNCTION("""COMPUTED_VALUE"""),40485.666666666664)</f>
        <v>40485.66667</v>
      </c>
      <c r="B3231" s="1">
        <f>IFERROR(__xludf.DUMMYFUNCTION("""COMPUTED_VALUE"""),2006.22)</f>
        <v>2006.22</v>
      </c>
    </row>
    <row r="3232">
      <c r="A3232" s="2">
        <f>IFERROR(__xludf.DUMMYFUNCTION("""COMPUTED_VALUE"""),40486.666666666664)</f>
        <v>40486.66667</v>
      </c>
      <c r="B3232" s="1">
        <f>IFERROR(__xludf.DUMMYFUNCTION("""COMPUTED_VALUE"""),2045.26)</f>
        <v>2045.26</v>
      </c>
    </row>
    <row r="3233">
      <c r="A3233" s="2">
        <f>IFERROR(__xludf.DUMMYFUNCTION("""COMPUTED_VALUE"""),40487.666666666664)</f>
        <v>40487.66667</v>
      </c>
      <c r="B3233" s="1">
        <f>IFERROR(__xludf.DUMMYFUNCTION("""COMPUTED_VALUE"""),2053.65)</f>
        <v>2053.65</v>
      </c>
    </row>
    <row r="3234">
      <c r="A3234" s="2">
        <f>IFERROR(__xludf.DUMMYFUNCTION("""COMPUTED_VALUE"""),40490.666666666664)</f>
        <v>40490.66667</v>
      </c>
      <c r="B3234" s="1">
        <f>IFERROR(__xludf.DUMMYFUNCTION("""COMPUTED_VALUE"""),2049.41)</f>
        <v>2049.41</v>
      </c>
    </row>
    <row r="3235">
      <c r="A3235" s="2">
        <f>IFERROR(__xludf.DUMMYFUNCTION("""COMPUTED_VALUE"""),40491.666666666664)</f>
        <v>40491.66667</v>
      </c>
      <c r="B3235" s="1">
        <f>IFERROR(__xludf.DUMMYFUNCTION("""COMPUTED_VALUE"""),2033.19)</f>
        <v>2033.19</v>
      </c>
    </row>
    <row r="3236">
      <c r="A3236" s="2">
        <f>IFERROR(__xludf.DUMMYFUNCTION("""COMPUTED_VALUE"""),40492.666666666664)</f>
        <v>40492.66667</v>
      </c>
      <c r="B3236" s="1">
        <f>IFERROR(__xludf.DUMMYFUNCTION("""COMPUTED_VALUE"""),2042.75)</f>
        <v>2042.75</v>
      </c>
    </row>
    <row r="3237">
      <c r="A3237" s="2">
        <f>IFERROR(__xludf.DUMMYFUNCTION("""COMPUTED_VALUE"""),40493.666666666664)</f>
        <v>40493.66667</v>
      </c>
      <c r="B3237" s="1">
        <f>IFERROR(__xludf.DUMMYFUNCTION("""COMPUTED_VALUE"""),2034.48)</f>
        <v>2034.48</v>
      </c>
    </row>
    <row r="3238">
      <c r="A3238" s="2">
        <f>IFERROR(__xludf.DUMMYFUNCTION("""COMPUTED_VALUE"""),40494.666666666664)</f>
        <v>40494.66667</v>
      </c>
      <c r="B3238" s="1">
        <f>IFERROR(__xludf.DUMMYFUNCTION("""COMPUTED_VALUE"""),2010.47)</f>
        <v>2010.47</v>
      </c>
    </row>
    <row r="3239">
      <c r="A3239" s="2">
        <f>IFERROR(__xludf.DUMMYFUNCTION("""COMPUTED_VALUE"""),40497.666666666664)</f>
        <v>40497.66667</v>
      </c>
      <c r="B3239" s="1">
        <f>IFERROR(__xludf.DUMMYFUNCTION("""COMPUTED_VALUE"""),2008.13)</f>
        <v>2008.13</v>
      </c>
    </row>
    <row r="3240">
      <c r="A3240" s="2">
        <f>IFERROR(__xludf.DUMMYFUNCTION("""COMPUTED_VALUE"""),40498.666666666664)</f>
        <v>40498.66667</v>
      </c>
      <c r="B3240" s="1">
        <f>IFERROR(__xludf.DUMMYFUNCTION("""COMPUTED_VALUE"""),1975.71)</f>
        <v>1975.71</v>
      </c>
    </row>
    <row r="3241">
      <c r="A3241" s="2">
        <f>IFERROR(__xludf.DUMMYFUNCTION("""COMPUTED_VALUE"""),40499.666666666664)</f>
        <v>40499.66667</v>
      </c>
      <c r="B3241" s="1">
        <f>IFERROR(__xludf.DUMMYFUNCTION("""COMPUTED_VALUE"""),1976.66)</f>
        <v>1976.66</v>
      </c>
    </row>
    <row r="3242">
      <c r="A3242" s="2">
        <f>IFERROR(__xludf.DUMMYFUNCTION("""COMPUTED_VALUE"""),40500.666666666664)</f>
        <v>40500.66667</v>
      </c>
      <c r="B3242" s="1">
        <f>IFERROR(__xludf.DUMMYFUNCTION("""COMPUTED_VALUE"""),2007.36)</f>
        <v>2007.36</v>
      </c>
    </row>
    <row r="3243">
      <c r="A3243" s="2">
        <f>IFERROR(__xludf.DUMMYFUNCTION("""COMPUTED_VALUE"""),40501.666666666664)</f>
        <v>40501.66667</v>
      </c>
      <c r="B3243" s="1">
        <f>IFERROR(__xludf.DUMMYFUNCTION("""COMPUTED_VALUE"""),2012.49)</f>
        <v>2012.49</v>
      </c>
    </row>
    <row r="3244">
      <c r="A3244" s="2">
        <f>IFERROR(__xludf.DUMMYFUNCTION("""COMPUTED_VALUE"""),40504.666666666664)</f>
        <v>40504.66667</v>
      </c>
      <c r="B3244" s="1">
        <f>IFERROR(__xludf.DUMMYFUNCTION("""COMPUTED_VALUE"""),2009.42)</f>
        <v>2009.42</v>
      </c>
    </row>
    <row r="3245">
      <c r="A3245" s="2">
        <f>IFERROR(__xludf.DUMMYFUNCTION("""COMPUTED_VALUE"""),40505.666666666664)</f>
        <v>40505.66667</v>
      </c>
      <c r="B3245" s="1">
        <f>IFERROR(__xludf.DUMMYFUNCTION("""COMPUTED_VALUE"""),1980.8)</f>
        <v>1980.8</v>
      </c>
    </row>
    <row r="3246">
      <c r="A3246" s="2">
        <f>IFERROR(__xludf.DUMMYFUNCTION("""COMPUTED_VALUE"""),40506.666666666664)</f>
        <v>40506.66667</v>
      </c>
      <c r="B3246" s="1">
        <f>IFERROR(__xludf.DUMMYFUNCTION("""COMPUTED_VALUE"""),2010.47)</f>
        <v>2010.47</v>
      </c>
    </row>
    <row r="3247">
      <c r="A3247" s="2">
        <f>IFERROR(__xludf.DUMMYFUNCTION("""COMPUTED_VALUE"""),40507.666666666664)</f>
        <v>40507.66667</v>
      </c>
      <c r="B3247" s="1">
        <f>IFERROR(__xludf.DUMMYFUNCTION("""COMPUTED_VALUE"""),2010.56)</f>
        <v>2010.56</v>
      </c>
    </row>
    <row r="3248">
      <c r="A3248" s="2">
        <f>IFERROR(__xludf.DUMMYFUNCTION("""COMPUTED_VALUE"""),40508.666666666664)</f>
        <v>40508.66667</v>
      </c>
      <c r="B3248" s="1">
        <f>IFERROR(__xludf.DUMMYFUNCTION("""COMPUTED_VALUE"""),1995.55)</f>
        <v>1995.55</v>
      </c>
    </row>
    <row r="3249">
      <c r="A3249" s="2">
        <f>IFERROR(__xludf.DUMMYFUNCTION("""COMPUTED_VALUE"""),40511.666666666664)</f>
        <v>40511.66667</v>
      </c>
      <c r="B3249" s="1">
        <f>IFERROR(__xludf.DUMMYFUNCTION("""COMPUTED_VALUE"""),1993.27)</f>
        <v>1993.27</v>
      </c>
    </row>
    <row r="3250">
      <c r="A3250" s="2">
        <f>IFERROR(__xludf.DUMMYFUNCTION("""COMPUTED_VALUE"""),40512.666666666664)</f>
        <v>40512.66667</v>
      </c>
      <c r="B3250" s="1">
        <f>IFERROR(__xludf.DUMMYFUNCTION("""COMPUTED_VALUE"""),1981.73)</f>
        <v>1981.73</v>
      </c>
    </row>
    <row r="3251">
      <c r="A3251" s="2">
        <f>IFERROR(__xludf.DUMMYFUNCTION("""COMPUTED_VALUE"""),40513.666666666664)</f>
        <v>40513.66667</v>
      </c>
      <c r="B3251" s="1">
        <f>IFERROR(__xludf.DUMMYFUNCTION("""COMPUTED_VALUE"""),2024.67)</f>
        <v>2024.67</v>
      </c>
    </row>
    <row r="3252">
      <c r="A3252" s="2">
        <f>IFERROR(__xludf.DUMMYFUNCTION("""COMPUTED_VALUE"""),40514.666666666664)</f>
        <v>40514.66667</v>
      </c>
      <c r="B3252" s="1">
        <f>IFERROR(__xludf.DUMMYFUNCTION("""COMPUTED_VALUE"""),2050.93)</f>
        <v>2050.93</v>
      </c>
    </row>
    <row r="3253">
      <c r="A3253" s="2">
        <f>IFERROR(__xludf.DUMMYFUNCTION("""COMPUTED_VALUE"""),40515.666666666664)</f>
        <v>40515.66667</v>
      </c>
      <c r="B3253" s="1">
        <f>IFERROR(__xludf.DUMMYFUNCTION("""COMPUTED_VALUE"""),2056.3)</f>
        <v>2056.3</v>
      </c>
    </row>
    <row r="3254">
      <c r="A3254" s="2">
        <f>IFERROR(__xludf.DUMMYFUNCTION("""COMPUTED_VALUE"""),40518.666666666664)</f>
        <v>40518.66667</v>
      </c>
      <c r="B3254" s="1">
        <f>IFERROR(__xludf.DUMMYFUNCTION("""COMPUTED_VALUE"""),2053.73)</f>
        <v>2053.73</v>
      </c>
    </row>
    <row r="3255">
      <c r="A3255" s="2">
        <f>IFERROR(__xludf.DUMMYFUNCTION("""COMPUTED_VALUE"""),40519.666666666664)</f>
        <v>40519.66667</v>
      </c>
      <c r="B3255" s="1">
        <f>IFERROR(__xludf.DUMMYFUNCTION("""COMPUTED_VALUE"""),2054.85)</f>
        <v>2054.85</v>
      </c>
    </row>
    <row r="3256">
      <c r="A3256" s="2">
        <f>IFERROR(__xludf.DUMMYFUNCTION("""COMPUTED_VALUE"""),40520.666666666664)</f>
        <v>40520.66667</v>
      </c>
      <c r="B3256" s="1">
        <f>IFERROR(__xludf.DUMMYFUNCTION("""COMPUTED_VALUE"""),2062.51)</f>
        <v>2062.51</v>
      </c>
    </row>
    <row r="3257">
      <c r="A3257" s="2">
        <f>IFERROR(__xludf.DUMMYFUNCTION("""COMPUTED_VALUE"""),40521.666666666664)</f>
        <v>40521.66667</v>
      </c>
      <c r="B3257" s="1">
        <f>IFERROR(__xludf.DUMMYFUNCTION("""COMPUTED_VALUE"""),2070.94)</f>
        <v>2070.94</v>
      </c>
    </row>
    <row r="3258">
      <c r="A3258" s="2">
        <f>IFERROR(__xludf.DUMMYFUNCTION("""COMPUTED_VALUE"""),40522.666666666664)</f>
        <v>40522.66667</v>
      </c>
      <c r="B3258" s="1">
        <f>IFERROR(__xludf.DUMMYFUNCTION("""COMPUTED_VALUE"""),2083.55)</f>
        <v>2083.55</v>
      </c>
    </row>
    <row r="3259">
      <c r="A3259" s="2">
        <f>IFERROR(__xludf.DUMMYFUNCTION("""COMPUTED_VALUE"""),40525.666666666664)</f>
        <v>40525.66667</v>
      </c>
      <c r="B3259" s="1">
        <f>IFERROR(__xludf.DUMMYFUNCTION("""COMPUTED_VALUE"""),2083.67)</f>
        <v>2083.67</v>
      </c>
    </row>
    <row r="3260">
      <c r="A3260" s="2">
        <f>IFERROR(__xludf.DUMMYFUNCTION("""COMPUTED_VALUE"""),40526.666666666664)</f>
        <v>40526.66667</v>
      </c>
      <c r="B3260" s="1">
        <f>IFERROR(__xludf.DUMMYFUNCTION("""COMPUTED_VALUE"""),2085.9)</f>
        <v>2085.9</v>
      </c>
    </row>
    <row r="3261">
      <c r="A3261" s="2">
        <f>IFERROR(__xludf.DUMMYFUNCTION("""COMPUTED_VALUE"""),40527.666666666664)</f>
        <v>40527.66667</v>
      </c>
      <c r="B3261" s="1">
        <f>IFERROR(__xludf.DUMMYFUNCTION("""COMPUTED_VALUE"""),2075.25)</f>
        <v>2075.25</v>
      </c>
    </row>
    <row r="3262">
      <c r="A3262" s="2">
        <f>IFERROR(__xludf.DUMMYFUNCTION("""COMPUTED_VALUE"""),40528.666666666664)</f>
        <v>40528.66667</v>
      </c>
      <c r="B3262" s="1">
        <f>IFERROR(__xludf.DUMMYFUNCTION("""COMPUTED_VALUE"""),2088.12)</f>
        <v>2088.12</v>
      </c>
    </row>
    <row r="3263">
      <c r="A3263" s="2">
        <f>IFERROR(__xludf.DUMMYFUNCTION("""COMPUTED_VALUE"""),40529.666666666664)</f>
        <v>40529.66667</v>
      </c>
      <c r="B3263" s="1">
        <f>IFERROR(__xludf.DUMMYFUNCTION("""COMPUTED_VALUE"""),2089.93)</f>
        <v>2089.93</v>
      </c>
    </row>
    <row r="3264">
      <c r="A3264" s="2">
        <f>IFERROR(__xludf.DUMMYFUNCTION("""COMPUTED_VALUE"""),40532.666666666664)</f>
        <v>40532.66667</v>
      </c>
      <c r="B3264" s="1">
        <f>IFERROR(__xludf.DUMMYFUNCTION("""COMPUTED_VALUE"""),2095.27)</f>
        <v>2095.27</v>
      </c>
    </row>
    <row r="3265">
      <c r="A3265" s="2">
        <f>IFERROR(__xludf.DUMMYFUNCTION("""COMPUTED_VALUE"""),40533.666666666664)</f>
        <v>40533.66667</v>
      </c>
      <c r="B3265" s="1">
        <f>IFERROR(__xludf.DUMMYFUNCTION("""COMPUTED_VALUE"""),2107.96)</f>
        <v>2107.96</v>
      </c>
    </row>
    <row r="3266">
      <c r="A3266" s="2">
        <f>IFERROR(__xludf.DUMMYFUNCTION("""COMPUTED_VALUE"""),40534.666666666664)</f>
        <v>40534.66667</v>
      </c>
      <c r="B3266" s="1">
        <f>IFERROR(__xludf.DUMMYFUNCTION("""COMPUTED_VALUE"""),2115.38)</f>
        <v>2115.38</v>
      </c>
    </row>
    <row r="3267">
      <c r="A3267" s="2">
        <f>IFERROR(__xludf.DUMMYFUNCTION("""COMPUTED_VALUE"""),40535.666666666664)</f>
        <v>40535.66667</v>
      </c>
      <c r="B3267" s="1">
        <f>IFERROR(__xludf.DUMMYFUNCTION("""COMPUTED_VALUE"""),2112.22)</f>
        <v>2112.22</v>
      </c>
    </row>
    <row r="3268">
      <c r="A3268" s="2">
        <f>IFERROR(__xludf.DUMMYFUNCTION("""COMPUTED_VALUE"""),40539.666666666664)</f>
        <v>40539.66667</v>
      </c>
      <c r="B3268" s="1">
        <f>IFERROR(__xludf.DUMMYFUNCTION("""COMPUTED_VALUE"""),2113.66)</f>
        <v>2113.66</v>
      </c>
    </row>
    <row r="3269">
      <c r="A3269" s="2">
        <f>IFERROR(__xludf.DUMMYFUNCTION("""COMPUTED_VALUE"""),40540.666666666664)</f>
        <v>40540.66667</v>
      </c>
      <c r="B3269" s="1">
        <f>IFERROR(__xludf.DUMMYFUNCTION("""COMPUTED_VALUE"""),2115.31)</f>
        <v>2115.31</v>
      </c>
    </row>
    <row r="3270">
      <c r="A3270" s="2">
        <f>IFERROR(__xludf.DUMMYFUNCTION("""COMPUTED_VALUE"""),40541.666666666664)</f>
        <v>40541.66667</v>
      </c>
      <c r="B3270" s="1">
        <f>IFERROR(__xludf.DUMMYFUNCTION("""COMPUTED_VALUE"""),2117.46)</f>
        <v>2117.46</v>
      </c>
    </row>
    <row r="3271">
      <c r="A3271" s="2">
        <f>IFERROR(__xludf.DUMMYFUNCTION("""COMPUTED_VALUE"""),40542.666666666664)</f>
        <v>40542.66667</v>
      </c>
      <c r="B3271" s="1">
        <f>IFERROR(__xludf.DUMMYFUNCTION("""COMPUTED_VALUE"""),2114.64)</f>
        <v>2114.64</v>
      </c>
    </row>
    <row r="3272">
      <c r="A3272" s="2">
        <f>IFERROR(__xludf.DUMMYFUNCTION("""COMPUTED_VALUE"""),40543.666666666664)</f>
        <v>40543.66667</v>
      </c>
      <c r="B3272" s="1">
        <f>IFERROR(__xludf.DUMMYFUNCTION("""COMPUTED_VALUE"""),2114.28)</f>
        <v>2114.28</v>
      </c>
    </row>
    <row r="3273">
      <c r="A3273" s="2">
        <f>IFERROR(__xludf.DUMMYFUNCTION("""COMPUTED_VALUE"""),40546.666666666664)</f>
        <v>40546.66667</v>
      </c>
      <c r="B3273" s="1">
        <f>IFERROR(__xludf.DUMMYFUNCTION("""COMPUTED_VALUE"""),2138.22)</f>
        <v>2138.22</v>
      </c>
    </row>
    <row r="3274">
      <c r="A3274" s="2">
        <f>IFERROR(__xludf.DUMMYFUNCTION("""COMPUTED_VALUE"""),40547.666666666664)</f>
        <v>40547.66667</v>
      </c>
      <c r="B3274" s="1">
        <f>IFERROR(__xludf.DUMMYFUNCTION("""COMPUTED_VALUE"""),2135.49)</f>
        <v>2135.49</v>
      </c>
    </row>
    <row r="3275">
      <c r="A3275" s="2">
        <f>IFERROR(__xludf.DUMMYFUNCTION("""COMPUTED_VALUE"""),40548.666666666664)</f>
        <v>40548.66667</v>
      </c>
      <c r="B3275" s="1">
        <f>IFERROR(__xludf.DUMMYFUNCTION("""COMPUTED_VALUE"""),2146.23)</f>
        <v>2146.23</v>
      </c>
    </row>
    <row r="3276">
      <c r="A3276" s="2">
        <f>IFERROR(__xludf.DUMMYFUNCTION("""COMPUTED_VALUE"""),40549.666666666664)</f>
        <v>40549.66667</v>
      </c>
      <c r="B3276" s="1">
        <f>IFERROR(__xludf.DUMMYFUNCTION("""COMPUTED_VALUE"""),2141.94)</f>
        <v>2141.94</v>
      </c>
    </row>
    <row r="3277">
      <c r="A3277" s="2">
        <f>IFERROR(__xludf.DUMMYFUNCTION("""COMPUTED_VALUE"""),40550.666666666664)</f>
        <v>40550.66667</v>
      </c>
      <c r="B3277" s="1">
        <f>IFERROR(__xludf.DUMMYFUNCTION("""COMPUTED_VALUE"""),2138.8)</f>
        <v>2138.8</v>
      </c>
    </row>
    <row r="3278">
      <c r="A3278" s="2">
        <f>IFERROR(__xludf.DUMMYFUNCTION("""COMPUTED_VALUE"""),40553.666666666664)</f>
        <v>40553.66667</v>
      </c>
      <c r="B3278" s="1">
        <f>IFERROR(__xludf.DUMMYFUNCTION("""COMPUTED_VALUE"""),2135.86)</f>
        <v>2135.86</v>
      </c>
    </row>
    <row r="3279">
      <c r="A3279" s="2">
        <f>IFERROR(__xludf.DUMMYFUNCTION("""COMPUTED_VALUE"""),40554.666666666664)</f>
        <v>40554.66667</v>
      </c>
      <c r="B3279" s="1">
        <f>IFERROR(__xludf.DUMMYFUNCTION("""COMPUTED_VALUE"""),2143.82)</f>
        <v>2143.82</v>
      </c>
    </row>
    <row r="3280">
      <c r="A3280" s="2">
        <f>IFERROR(__xludf.DUMMYFUNCTION("""COMPUTED_VALUE"""),40555.666666666664)</f>
        <v>40555.66667</v>
      </c>
      <c r="B3280" s="1">
        <f>IFERROR(__xludf.DUMMYFUNCTION("""COMPUTED_VALUE"""),2163.12)</f>
        <v>2163.12</v>
      </c>
    </row>
    <row r="3281">
      <c r="A3281" s="2">
        <f>IFERROR(__xludf.DUMMYFUNCTION("""COMPUTED_VALUE"""),40556.666666666664)</f>
        <v>40556.66667</v>
      </c>
      <c r="B3281" s="1">
        <f>IFERROR(__xludf.DUMMYFUNCTION("""COMPUTED_VALUE"""),2159.66)</f>
        <v>2159.66</v>
      </c>
    </row>
    <row r="3282">
      <c r="A3282" s="2">
        <f>IFERROR(__xludf.DUMMYFUNCTION("""COMPUTED_VALUE"""),40557.666666666664)</f>
        <v>40557.66667</v>
      </c>
      <c r="B3282" s="1">
        <f>IFERROR(__xludf.DUMMYFUNCTION("""COMPUTED_VALUE"""),2175.62)</f>
        <v>2175.62</v>
      </c>
    </row>
    <row r="3283">
      <c r="A3283" s="2">
        <f>IFERROR(__xludf.DUMMYFUNCTION("""COMPUTED_VALUE"""),40561.666666666664)</f>
        <v>40561.66667</v>
      </c>
      <c r="B3283" s="1">
        <f>IFERROR(__xludf.DUMMYFUNCTION("""COMPUTED_VALUE"""),2178.67)</f>
        <v>2178.67</v>
      </c>
    </row>
    <row r="3284">
      <c r="A3284" s="2">
        <f>IFERROR(__xludf.DUMMYFUNCTION("""COMPUTED_VALUE"""),40562.666666666664)</f>
        <v>40562.66667</v>
      </c>
      <c r="B3284" s="1">
        <f>IFERROR(__xludf.DUMMYFUNCTION("""COMPUTED_VALUE"""),2156.68)</f>
        <v>2156.68</v>
      </c>
    </row>
    <row r="3285">
      <c r="A3285" s="2">
        <f>IFERROR(__xludf.DUMMYFUNCTION("""COMPUTED_VALUE"""),40563.666666666664)</f>
        <v>40563.66667</v>
      </c>
      <c r="B3285" s="1">
        <f>IFERROR(__xludf.DUMMYFUNCTION("""COMPUTED_VALUE"""),2154.18)</f>
        <v>2154.18</v>
      </c>
    </row>
    <row r="3286">
      <c r="A3286" s="2">
        <f>IFERROR(__xludf.DUMMYFUNCTION("""COMPUTED_VALUE"""),40564.666666666664)</f>
        <v>40564.66667</v>
      </c>
      <c r="B3286" s="1">
        <f>IFERROR(__xludf.DUMMYFUNCTION("""COMPUTED_VALUE"""),2159.38)</f>
        <v>2159.38</v>
      </c>
    </row>
    <row r="3287">
      <c r="A3287" s="2">
        <f>IFERROR(__xludf.DUMMYFUNCTION("""COMPUTED_VALUE"""),40567.666666666664)</f>
        <v>40567.66667</v>
      </c>
      <c r="B3287" s="1">
        <f>IFERROR(__xludf.DUMMYFUNCTION("""COMPUTED_VALUE"""),2172.03)</f>
        <v>2172.03</v>
      </c>
    </row>
    <row r="3288">
      <c r="A3288" s="2">
        <f>IFERROR(__xludf.DUMMYFUNCTION("""COMPUTED_VALUE"""),40568.666666666664)</f>
        <v>40568.66667</v>
      </c>
      <c r="B3288" s="1">
        <f>IFERROR(__xludf.DUMMYFUNCTION("""COMPUTED_VALUE"""),2172.61)</f>
        <v>2172.61</v>
      </c>
    </row>
    <row r="3289">
      <c r="A3289" s="2">
        <f>IFERROR(__xludf.DUMMYFUNCTION("""COMPUTED_VALUE"""),40569.666666666664)</f>
        <v>40569.66667</v>
      </c>
      <c r="B3289" s="1">
        <f>IFERROR(__xludf.DUMMYFUNCTION("""COMPUTED_VALUE"""),2181.85)</f>
        <v>2181.85</v>
      </c>
    </row>
    <row r="3290">
      <c r="A3290" s="2">
        <f>IFERROR(__xludf.DUMMYFUNCTION("""COMPUTED_VALUE"""),40570.666666666664)</f>
        <v>40570.66667</v>
      </c>
      <c r="B3290" s="1">
        <f>IFERROR(__xludf.DUMMYFUNCTION("""COMPUTED_VALUE"""),2186.82)</f>
        <v>2186.82</v>
      </c>
    </row>
    <row r="3291">
      <c r="A3291" s="2">
        <f>IFERROR(__xludf.DUMMYFUNCTION("""COMPUTED_VALUE"""),40571.666666666664)</f>
        <v>40571.66667</v>
      </c>
      <c r="B3291" s="1">
        <f>IFERROR(__xludf.DUMMYFUNCTION("""COMPUTED_VALUE"""),2147.89)</f>
        <v>2147.89</v>
      </c>
    </row>
    <row r="3292">
      <c r="A3292" s="2">
        <f>IFERROR(__xludf.DUMMYFUNCTION("""COMPUTED_VALUE"""),40574.666666666664)</f>
        <v>40574.66667</v>
      </c>
      <c r="B3292" s="1">
        <f>IFERROR(__xludf.DUMMYFUNCTION("""COMPUTED_VALUE"""),2164.4)</f>
        <v>2164.4</v>
      </c>
    </row>
    <row r="3293">
      <c r="A3293" s="2">
        <f>IFERROR(__xludf.DUMMYFUNCTION("""COMPUTED_VALUE"""),40575.666666666664)</f>
        <v>40575.66667</v>
      </c>
      <c r="B3293" s="1">
        <f>IFERROR(__xludf.DUMMYFUNCTION("""COMPUTED_VALUE"""),2200.53)</f>
        <v>2200.53</v>
      </c>
    </row>
    <row r="3294">
      <c r="A3294" s="2">
        <f>IFERROR(__xludf.DUMMYFUNCTION("""COMPUTED_VALUE"""),40576.666666666664)</f>
        <v>40576.66667</v>
      </c>
      <c r="B3294" s="1">
        <f>IFERROR(__xludf.DUMMYFUNCTION("""COMPUTED_VALUE"""),2194.55)</f>
        <v>2194.55</v>
      </c>
    </row>
    <row r="3295">
      <c r="A3295" s="2">
        <f>IFERROR(__xludf.DUMMYFUNCTION("""COMPUTED_VALUE"""),40577.666666666664)</f>
        <v>40577.66667</v>
      </c>
      <c r="B3295" s="1">
        <f>IFERROR(__xludf.DUMMYFUNCTION("""COMPUTED_VALUE"""),2200.12)</f>
        <v>2200.12</v>
      </c>
    </row>
    <row r="3296">
      <c r="A3296" s="2">
        <f>IFERROR(__xludf.DUMMYFUNCTION("""COMPUTED_VALUE"""),40578.666666666664)</f>
        <v>40578.66667</v>
      </c>
      <c r="B3296" s="1">
        <f>IFERROR(__xludf.DUMMYFUNCTION("""COMPUTED_VALUE"""),2206.77)</f>
        <v>2206.77</v>
      </c>
    </row>
    <row r="3297">
      <c r="A3297" s="2">
        <f>IFERROR(__xludf.DUMMYFUNCTION("""COMPUTED_VALUE"""),40581.666666666664)</f>
        <v>40581.66667</v>
      </c>
      <c r="B3297" s="1">
        <f>IFERROR(__xludf.DUMMYFUNCTION("""COMPUTED_VALUE"""),2220.57)</f>
        <v>2220.57</v>
      </c>
    </row>
    <row r="3298">
      <c r="A3298" s="2">
        <f>IFERROR(__xludf.DUMMYFUNCTION("""COMPUTED_VALUE"""),40582.666666666664)</f>
        <v>40582.66667</v>
      </c>
      <c r="B3298" s="1">
        <f>IFERROR(__xludf.DUMMYFUNCTION("""COMPUTED_VALUE"""),2229.9)</f>
        <v>2229.9</v>
      </c>
    </row>
    <row r="3299">
      <c r="A3299" s="2">
        <f>IFERROR(__xludf.DUMMYFUNCTION("""COMPUTED_VALUE"""),40583.666666666664)</f>
        <v>40583.66667</v>
      </c>
      <c r="B3299" s="1">
        <f>IFERROR(__xludf.DUMMYFUNCTION("""COMPUTED_VALUE"""),2224.37)</f>
        <v>2224.37</v>
      </c>
    </row>
    <row r="3300">
      <c r="A3300" s="2">
        <f>IFERROR(__xludf.DUMMYFUNCTION("""COMPUTED_VALUE"""),40584.666666666664)</f>
        <v>40584.66667</v>
      </c>
      <c r="B3300" s="1">
        <f>IFERROR(__xludf.DUMMYFUNCTION("""COMPUTED_VALUE"""),2226.31)</f>
        <v>2226.31</v>
      </c>
    </row>
    <row r="3301">
      <c r="A3301" s="2">
        <f>IFERROR(__xludf.DUMMYFUNCTION("""COMPUTED_VALUE"""),40585.666666666664)</f>
        <v>40585.66667</v>
      </c>
      <c r="B3301" s="1">
        <f>IFERROR(__xludf.DUMMYFUNCTION("""COMPUTED_VALUE"""),2238.77)</f>
        <v>2238.77</v>
      </c>
    </row>
    <row r="3302">
      <c r="A3302" s="2">
        <f>IFERROR(__xludf.DUMMYFUNCTION("""COMPUTED_VALUE"""),40588.666666666664)</f>
        <v>40588.66667</v>
      </c>
      <c r="B3302" s="1">
        <f>IFERROR(__xludf.DUMMYFUNCTION("""COMPUTED_VALUE"""),2244.43)</f>
        <v>2244.43</v>
      </c>
    </row>
    <row r="3303">
      <c r="A3303" s="2">
        <f>IFERROR(__xludf.DUMMYFUNCTION("""COMPUTED_VALUE"""),40589.666666666664)</f>
        <v>40589.66667</v>
      </c>
      <c r="B3303" s="1">
        <f>IFERROR(__xludf.DUMMYFUNCTION("""COMPUTED_VALUE"""),2237.63)</f>
        <v>2237.63</v>
      </c>
    </row>
    <row r="3304">
      <c r="A3304" s="2">
        <f>IFERROR(__xludf.DUMMYFUNCTION("""COMPUTED_VALUE"""),40590.666666666664)</f>
        <v>40590.66667</v>
      </c>
      <c r="B3304" s="1">
        <f>IFERROR(__xludf.DUMMYFUNCTION("""COMPUTED_VALUE"""),2251.9)</f>
        <v>2251.9</v>
      </c>
    </row>
    <row r="3305">
      <c r="A3305" s="2">
        <f>IFERROR(__xludf.DUMMYFUNCTION("""COMPUTED_VALUE"""),40591.666666666664)</f>
        <v>40591.66667</v>
      </c>
      <c r="B3305" s="1">
        <f>IFERROR(__xludf.DUMMYFUNCTION("""COMPUTED_VALUE"""),2259.22)</f>
        <v>2259.22</v>
      </c>
    </row>
    <row r="3306">
      <c r="A3306" s="2">
        <f>IFERROR(__xludf.DUMMYFUNCTION("""COMPUTED_VALUE"""),40592.666666666664)</f>
        <v>40592.66667</v>
      </c>
      <c r="B3306" s="1">
        <f>IFERROR(__xludf.DUMMYFUNCTION("""COMPUTED_VALUE"""),2263.78)</f>
        <v>2263.78</v>
      </c>
    </row>
    <row r="3307">
      <c r="A3307" s="2">
        <f>IFERROR(__xludf.DUMMYFUNCTION("""COMPUTED_VALUE"""),40596.666666666664)</f>
        <v>40596.66667</v>
      </c>
      <c r="B3307" s="1">
        <f>IFERROR(__xludf.DUMMYFUNCTION("""COMPUTED_VALUE"""),2217.32)</f>
        <v>2217.32</v>
      </c>
    </row>
    <row r="3308">
      <c r="A3308" s="2">
        <f>IFERROR(__xludf.DUMMYFUNCTION("""COMPUTED_VALUE"""),40597.666666666664)</f>
        <v>40597.66667</v>
      </c>
      <c r="B3308" s="1">
        <f>IFERROR(__xludf.DUMMYFUNCTION("""COMPUTED_VALUE"""),2203.79)</f>
        <v>2203.79</v>
      </c>
    </row>
    <row r="3309">
      <c r="A3309" s="2">
        <f>IFERROR(__xludf.DUMMYFUNCTION("""COMPUTED_VALUE"""),40598.666666666664)</f>
        <v>40598.66667</v>
      </c>
      <c r="B3309" s="1">
        <f>IFERROR(__xludf.DUMMYFUNCTION("""COMPUTED_VALUE"""),2201.7)</f>
        <v>2201.7</v>
      </c>
    </row>
    <row r="3310">
      <c r="A3310" s="2">
        <f>IFERROR(__xludf.DUMMYFUNCTION("""COMPUTED_VALUE"""),40599.666666666664)</f>
        <v>40599.66667</v>
      </c>
      <c r="B3310" s="1">
        <f>IFERROR(__xludf.DUMMYFUNCTION("""COMPUTED_VALUE"""),2225.47)</f>
        <v>2225.47</v>
      </c>
    </row>
    <row r="3311">
      <c r="A3311" s="2">
        <f>IFERROR(__xludf.DUMMYFUNCTION("""COMPUTED_VALUE"""),40602.666666666664)</f>
        <v>40602.66667</v>
      </c>
      <c r="B3311" s="1">
        <f>IFERROR(__xludf.DUMMYFUNCTION("""COMPUTED_VALUE"""),2238.43)</f>
        <v>2238.43</v>
      </c>
    </row>
    <row r="3312">
      <c r="A3312" s="2">
        <f>IFERROR(__xludf.DUMMYFUNCTION("""COMPUTED_VALUE"""),40603.666666666664)</f>
        <v>40603.66667</v>
      </c>
      <c r="B3312" s="1">
        <f>IFERROR(__xludf.DUMMYFUNCTION("""COMPUTED_VALUE"""),2203.31)</f>
        <v>2203.31</v>
      </c>
    </row>
    <row r="3313">
      <c r="A3313" s="2">
        <f>IFERROR(__xludf.DUMMYFUNCTION("""COMPUTED_VALUE"""),40604.666666666664)</f>
        <v>40604.66667</v>
      </c>
      <c r="B3313" s="1">
        <f>IFERROR(__xludf.DUMMYFUNCTION("""COMPUTED_VALUE"""),2206.87)</f>
        <v>2206.87</v>
      </c>
    </row>
    <row r="3314">
      <c r="A3314" s="2">
        <f>IFERROR(__xludf.DUMMYFUNCTION("""COMPUTED_VALUE"""),40605.666666666664)</f>
        <v>40605.66667</v>
      </c>
      <c r="B3314" s="1">
        <f>IFERROR(__xludf.DUMMYFUNCTION("""COMPUTED_VALUE"""),2245.24)</f>
        <v>2245.24</v>
      </c>
    </row>
    <row r="3315">
      <c r="A3315" s="2">
        <f>IFERROR(__xludf.DUMMYFUNCTION("""COMPUTED_VALUE"""),40606.666666666664)</f>
        <v>40606.66667</v>
      </c>
      <c r="B3315" s="1">
        <f>IFERROR(__xludf.DUMMYFUNCTION("""COMPUTED_VALUE"""),2228.77)</f>
        <v>2228.77</v>
      </c>
    </row>
    <row r="3316">
      <c r="A3316" s="2">
        <f>IFERROR(__xludf.DUMMYFUNCTION("""COMPUTED_VALUE"""),40609.666666666664)</f>
        <v>40609.66667</v>
      </c>
      <c r="B3316" s="1">
        <f>IFERROR(__xludf.DUMMYFUNCTION("""COMPUTED_VALUE"""),2210.18)</f>
        <v>2210.18</v>
      </c>
    </row>
    <row r="3317">
      <c r="A3317" s="2">
        <f>IFERROR(__xludf.DUMMYFUNCTION("""COMPUTED_VALUE"""),40610.666666666664)</f>
        <v>40610.66667</v>
      </c>
      <c r="B3317" s="1">
        <f>IFERROR(__xludf.DUMMYFUNCTION("""COMPUTED_VALUE"""),2229.98)</f>
        <v>2229.98</v>
      </c>
    </row>
    <row r="3318">
      <c r="A3318" s="2">
        <f>IFERROR(__xludf.DUMMYFUNCTION("""COMPUTED_VALUE"""),40611.666666666664)</f>
        <v>40611.66667</v>
      </c>
      <c r="B3318" s="1">
        <f>IFERROR(__xludf.DUMMYFUNCTION("""COMPUTED_VALUE"""),2227.37)</f>
        <v>2227.37</v>
      </c>
    </row>
    <row r="3319">
      <c r="A3319" s="2">
        <f>IFERROR(__xludf.DUMMYFUNCTION("""COMPUTED_VALUE"""),40612.666666666664)</f>
        <v>40612.66667</v>
      </c>
      <c r="B3319" s="1">
        <f>IFERROR(__xludf.DUMMYFUNCTION("""COMPUTED_VALUE"""),2185.65)</f>
        <v>2185.65</v>
      </c>
    </row>
    <row r="3320">
      <c r="A3320" s="2">
        <f>IFERROR(__xludf.DUMMYFUNCTION("""COMPUTED_VALUE"""),40613.666666666664)</f>
        <v>40613.66667</v>
      </c>
      <c r="B3320" s="1">
        <f>IFERROR(__xludf.DUMMYFUNCTION("""COMPUTED_VALUE"""),2201.14)</f>
        <v>2201.14</v>
      </c>
    </row>
    <row r="3321">
      <c r="A3321" s="2">
        <f>IFERROR(__xludf.DUMMYFUNCTION("""COMPUTED_VALUE"""),40616.666666666664)</f>
        <v>40616.66667</v>
      </c>
      <c r="B3321" s="1">
        <f>IFERROR(__xludf.DUMMYFUNCTION("""COMPUTED_VALUE"""),2188.48)</f>
        <v>2188.48</v>
      </c>
    </row>
    <row r="3322">
      <c r="A3322" s="2">
        <f>IFERROR(__xludf.DUMMYFUNCTION("""COMPUTED_VALUE"""),40617.666666666664)</f>
        <v>40617.66667</v>
      </c>
      <c r="B3322" s="1">
        <f>IFERROR(__xludf.DUMMYFUNCTION("""COMPUTED_VALUE"""),2164.06)</f>
        <v>2164.06</v>
      </c>
    </row>
    <row r="3323">
      <c r="A3323" s="2">
        <f>IFERROR(__xludf.DUMMYFUNCTION("""COMPUTED_VALUE"""),40618.666666666664)</f>
        <v>40618.66667</v>
      </c>
      <c r="B3323" s="1">
        <f>IFERROR(__xludf.DUMMYFUNCTION("""COMPUTED_VALUE"""),2121.86)</f>
        <v>2121.86</v>
      </c>
    </row>
    <row r="3324">
      <c r="A3324" s="2">
        <f>IFERROR(__xludf.DUMMYFUNCTION("""COMPUTED_VALUE"""),40619.666666666664)</f>
        <v>40619.66667</v>
      </c>
      <c r="B3324" s="1">
        <f>IFERROR(__xludf.DUMMYFUNCTION("""COMPUTED_VALUE"""),2150.37)</f>
        <v>2150.37</v>
      </c>
    </row>
    <row r="3325">
      <c r="A3325" s="2">
        <f>IFERROR(__xludf.DUMMYFUNCTION("""COMPUTED_VALUE"""),40620.666666666664)</f>
        <v>40620.66667</v>
      </c>
      <c r="B3325" s="1">
        <f>IFERROR(__xludf.DUMMYFUNCTION("""COMPUTED_VALUE"""),2159.69)</f>
        <v>2159.69</v>
      </c>
    </row>
    <row r="3326">
      <c r="A3326" s="2">
        <f>IFERROR(__xludf.DUMMYFUNCTION("""COMPUTED_VALUE"""),40623.666666666664)</f>
        <v>40623.66667</v>
      </c>
      <c r="B3326" s="1">
        <f>IFERROR(__xludf.DUMMYFUNCTION("""COMPUTED_VALUE"""),2192.07)</f>
        <v>2192.07</v>
      </c>
    </row>
    <row r="3327">
      <c r="A3327" s="2">
        <f>IFERROR(__xludf.DUMMYFUNCTION("""COMPUTED_VALUE"""),40624.666666666664)</f>
        <v>40624.66667</v>
      </c>
      <c r="B3327" s="1">
        <f>IFERROR(__xludf.DUMMYFUNCTION("""COMPUTED_VALUE"""),2184.3)</f>
        <v>2184.3</v>
      </c>
    </row>
    <row r="3328">
      <c r="A3328" s="2">
        <f>IFERROR(__xludf.DUMMYFUNCTION("""COMPUTED_VALUE"""),40625.666666666664)</f>
        <v>40625.66667</v>
      </c>
      <c r="B3328" s="1">
        <f>IFERROR(__xludf.DUMMYFUNCTION("""COMPUTED_VALUE"""),2190.94)</f>
        <v>2190.94</v>
      </c>
    </row>
    <row r="3329">
      <c r="A3329" s="2">
        <f>IFERROR(__xludf.DUMMYFUNCTION("""COMPUTED_VALUE"""),40626.666666666664)</f>
        <v>40626.66667</v>
      </c>
      <c r="B3329" s="1">
        <f>IFERROR(__xludf.DUMMYFUNCTION("""COMPUTED_VALUE"""),2211.42)</f>
        <v>2211.42</v>
      </c>
    </row>
    <row r="3330">
      <c r="A3330" s="2">
        <f>IFERROR(__xludf.DUMMYFUNCTION("""COMPUTED_VALUE"""),40627.666666666664)</f>
        <v>40627.66667</v>
      </c>
      <c r="B3330" s="1">
        <f>IFERROR(__xludf.DUMMYFUNCTION("""COMPUTED_VALUE"""),2218.42)</f>
        <v>2218.42</v>
      </c>
    </row>
    <row r="3331">
      <c r="A3331" s="2">
        <f>IFERROR(__xludf.DUMMYFUNCTION("""COMPUTED_VALUE"""),40630.666666666664)</f>
        <v>40630.66667</v>
      </c>
      <c r="B3331" s="1">
        <f>IFERROR(__xludf.DUMMYFUNCTION("""COMPUTED_VALUE"""),2212.32)</f>
        <v>2212.32</v>
      </c>
    </row>
    <row r="3332">
      <c r="A3332" s="2">
        <f>IFERROR(__xludf.DUMMYFUNCTION("""COMPUTED_VALUE"""),40631.666666666664)</f>
        <v>40631.66667</v>
      </c>
      <c r="B3332" s="1">
        <f>IFERROR(__xludf.DUMMYFUNCTION("""COMPUTED_VALUE"""),2227.94)</f>
        <v>2227.94</v>
      </c>
    </row>
    <row r="3333">
      <c r="A3333" s="2">
        <f>IFERROR(__xludf.DUMMYFUNCTION("""COMPUTED_VALUE"""),40632.666666666664)</f>
        <v>40632.66667</v>
      </c>
      <c r="B3333" s="1">
        <f>IFERROR(__xludf.DUMMYFUNCTION("""COMPUTED_VALUE"""),2243.3)</f>
        <v>2243.3</v>
      </c>
    </row>
    <row r="3334">
      <c r="A3334" s="2">
        <f>IFERROR(__xludf.DUMMYFUNCTION("""COMPUTED_VALUE"""),40633.666666666664)</f>
        <v>40633.66667</v>
      </c>
      <c r="B3334" s="1">
        <f>IFERROR(__xludf.DUMMYFUNCTION("""COMPUTED_VALUE"""),2239.44)</f>
        <v>2239.44</v>
      </c>
    </row>
    <row r="3335">
      <c r="A3335" s="2">
        <f>IFERROR(__xludf.DUMMYFUNCTION("""COMPUTED_VALUE"""),40634.666666666664)</f>
        <v>40634.66667</v>
      </c>
      <c r="B3335" s="1">
        <f>IFERROR(__xludf.DUMMYFUNCTION("""COMPUTED_VALUE"""),2250.57)</f>
        <v>2250.57</v>
      </c>
    </row>
    <row r="3336">
      <c r="A3336" s="2">
        <f>IFERROR(__xludf.DUMMYFUNCTION("""COMPUTED_VALUE"""),40637.666666666664)</f>
        <v>40637.66667</v>
      </c>
      <c r="B3336" s="1">
        <f>IFERROR(__xludf.DUMMYFUNCTION("""COMPUTED_VALUE"""),2251.36)</f>
        <v>2251.36</v>
      </c>
    </row>
    <row r="3337">
      <c r="A3337" s="2">
        <f>IFERROR(__xludf.DUMMYFUNCTION("""COMPUTED_VALUE"""),40638.666666666664)</f>
        <v>40638.66667</v>
      </c>
      <c r="B3337" s="1">
        <f>IFERROR(__xludf.DUMMYFUNCTION("""COMPUTED_VALUE"""),2251.24)</f>
        <v>2251.24</v>
      </c>
    </row>
    <row r="3338">
      <c r="A3338" s="2">
        <f>IFERROR(__xludf.DUMMYFUNCTION("""COMPUTED_VALUE"""),40639.666666666664)</f>
        <v>40639.66667</v>
      </c>
      <c r="B3338" s="1">
        <f>IFERROR(__xludf.DUMMYFUNCTION("""COMPUTED_VALUE"""),2256.17)</f>
        <v>2256.17</v>
      </c>
    </row>
    <row r="3339">
      <c r="A3339" s="2">
        <f>IFERROR(__xludf.DUMMYFUNCTION("""COMPUTED_VALUE"""),40640.666666666664)</f>
        <v>40640.66667</v>
      </c>
      <c r="B3339" s="1">
        <f>IFERROR(__xludf.DUMMYFUNCTION("""COMPUTED_VALUE"""),2253.67)</f>
        <v>2253.67</v>
      </c>
    </row>
    <row r="3340">
      <c r="A3340" s="2">
        <f>IFERROR(__xludf.DUMMYFUNCTION("""COMPUTED_VALUE"""),40641.666666666664)</f>
        <v>40641.66667</v>
      </c>
      <c r="B3340" s="1">
        <f>IFERROR(__xludf.DUMMYFUNCTION("""COMPUTED_VALUE"""),2244.73)</f>
        <v>2244.73</v>
      </c>
    </row>
    <row r="3341">
      <c r="A3341" s="2">
        <f>IFERROR(__xludf.DUMMYFUNCTION("""COMPUTED_VALUE"""),40644.666666666664)</f>
        <v>40644.66667</v>
      </c>
      <c r="B3341" s="1">
        <f>IFERROR(__xludf.DUMMYFUNCTION("""COMPUTED_VALUE"""),2238.46)</f>
        <v>2238.46</v>
      </c>
    </row>
    <row r="3342">
      <c r="A3342" s="2">
        <f>IFERROR(__xludf.DUMMYFUNCTION("""COMPUTED_VALUE"""),40645.666666666664)</f>
        <v>40645.66667</v>
      </c>
      <c r="B3342" s="1">
        <f>IFERROR(__xludf.DUMMYFUNCTION("""COMPUTED_VALUE"""),2221.1)</f>
        <v>2221.1</v>
      </c>
    </row>
    <row r="3343">
      <c r="A3343" s="2">
        <f>IFERROR(__xludf.DUMMYFUNCTION("""COMPUTED_VALUE"""),40646.666666666664)</f>
        <v>40646.66667</v>
      </c>
      <c r="B3343" s="1">
        <f>IFERROR(__xludf.DUMMYFUNCTION("""COMPUTED_VALUE"""),2221.55)</f>
        <v>2221.55</v>
      </c>
    </row>
    <row r="3344">
      <c r="A3344" s="2">
        <f>IFERROR(__xludf.DUMMYFUNCTION("""COMPUTED_VALUE"""),40647.666666666664)</f>
        <v>40647.66667</v>
      </c>
      <c r="B3344" s="1">
        <f>IFERROR(__xludf.DUMMYFUNCTION("""COMPUTED_VALUE"""),2221.95)</f>
        <v>2221.95</v>
      </c>
    </row>
    <row r="3345">
      <c r="A3345" s="2">
        <f>IFERROR(__xludf.DUMMYFUNCTION("""COMPUTED_VALUE"""),40648.666666666664)</f>
        <v>40648.66667</v>
      </c>
      <c r="B3345" s="1">
        <f>IFERROR(__xludf.DUMMYFUNCTION("""COMPUTED_VALUE"""),2230.7)</f>
        <v>2230.7</v>
      </c>
    </row>
    <row r="3346">
      <c r="A3346" s="2">
        <f>IFERROR(__xludf.DUMMYFUNCTION("""COMPUTED_VALUE"""),40651.666666666664)</f>
        <v>40651.66667</v>
      </c>
      <c r="B3346" s="1">
        <f>IFERROR(__xludf.DUMMYFUNCTION("""COMPUTED_VALUE"""),2206.12)</f>
        <v>2206.12</v>
      </c>
    </row>
    <row r="3347">
      <c r="A3347" s="2">
        <f>IFERROR(__xludf.DUMMYFUNCTION("""COMPUTED_VALUE"""),40652.666666666664)</f>
        <v>40652.66667</v>
      </c>
      <c r="B3347" s="1">
        <f>IFERROR(__xludf.DUMMYFUNCTION("""COMPUTED_VALUE"""),2218.81)</f>
        <v>2218.81</v>
      </c>
    </row>
    <row r="3348">
      <c r="A3348" s="2">
        <f>IFERROR(__xludf.DUMMYFUNCTION("""COMPUTED_VALUE"""),40653.666666666664)</f>
        <v>40653.66667</v>
      </c>
      <c r="B3348" s="1">
        <f>IFERROR(__xludf.DUMMYFUNCTION("""COMPUTED_VALUE"""),2248.84)</f>
        <v>2248.84</v>
      </c>
    </row>
    <row r="3349">
      <c r="A3349" s="2">
        <f>IFERROR(__xludf.DUMMYFUNCTION("""COMPUTED_VALUE"""),40654.666666666664)</f>
        <v>40654.66667</v>
      </c>
      <c r="B3349" s="1">
        <f>IFERROR(__xludf.DUMMYFUNCTION("""COMPUTED_VALUE"""),2260.78)</f>
        <v>2260.78</v>
      </c>
    </row>
    <row r="3350">
      <c r="A3350" s="2">
        <f>IFERROR(__xludf.DUMMYFUNCTION("""COMPUTED_VALUE"""),40658.666666666664)</f>
        <v>40658.66667</v>
      </c>
      <c r="B3350" s="1">
        <f>IFERROR(__xludf.DUMMYFUNCTION("""COMPUTED_VALUE"""),2257.22)</f>
        <v>2257.22</v>
      </c>
    </row>
    <row r="3351">
      <c r="A3351" s="2">
        <f>IFERROR(__xludf.DUMMYFUNCTION("""COMPUTED_VALUE"""),40659.666666666664)</f>
        <v>40659.66667</v>
      </c>
      <c r="B3351" s="1">
        <f>IFERROR(__xludf.DUMMYFUNCTION("""COMPUTED_VALUE"""),2277.51)</f>
        <v>2277.51</v>
      </c>
    </row>
    <row r="3352">
      <c r="A3352" s="2">
        <f>IFERROR(__xludf.DUMMYFUNCTION("""COMPUTED_VALUE"""),40660.666666666664)</f>
        <v>40660.66667</v>
      </c>
      <c r="B3352" s="1">
        <f>IFERROR(__xludf.DUMMYFUNCTION("""COMPUTED_VALUE"""),2291.74)</f>
        <v>2291.74</v>
      </c>
    </row>
    <row r="3353">
      <c r="A3353" s="2">
        <f>IFERROR(__xludf.DUMMYFUNCTION("""COMPUTED_VALUE"""),40661.666666666664)</f>
        <v>40661.66667</v>
      </c>
      <c r="B3353" s="1">
        <f>IFERROR(__xludf.DUMMYFUNCTION("""COMPUTED_VALUE"""),2300.29)</f>
        <v>2300.29</v>
      </c>
    </row>
    <row r="3354">
      <c r="A3354" s="2">
        <f>IFERROR(__xludf.DUMMYFUNCTION("""COMPUTED_VALUE"""),40662.666666666664)</f>
        <v>40662.66667</v>
      </c>
      <c r="B3354" s="1">
        <f>IFERROR(__xludf.DUMMYFUNCTION("""COMPUTED_VALUE"""),2305.76)</f>
        <v>2305.76</v>
      </c>
    </row>
    <row r="3355">
      <c r="A3355" s="2">
        <f>IFERROR(__xludf.DUMMYFUNCTION("""COMPUTED_VALUE"""),40665.666666666664)</f>
        <v>40665.66667</v>
      </c>
      <c r="B3355" s="1">
        <f>IFERROR(__xludf.DUMMYFUNCTION("""COMPUTED_VALUE"""),2301.72)</f>
        <v>2301.72</v>
      </c>
    </row>
    <row r="3356">
      <c r="A3356" s="2">
        <f>IFERROR(__xludf.DUMMYFUNCTION("""COMPUTED_VALUE"""),40666.666666666664)</f>
        <v>40666.66667</v>
      </c>
      <c r="B3356" s="1">
        <f>IFERROR(__xludf.DUMMYFUNCTION("""COMPUTED_VALUE"""),2293.94)</f>
        <v>2293.94</v>
      </c>
    </row>
    <row r="3357">
      <c r="A3357" s="2">
        <f>IFERROR(__xludf.DUMMYFUNCTION("""COMPUTED_VALUE"""),40667.666666666664)</f>
        <v>40667.66667</v>
      </c>
      <c r="B3357" s="1">
        <f>IFERROR(__xludf.DUMMYFUNCTION("""COMPUTED_VALUE"""),2278.23)</f>
        <v>2278.23</v>
      </c>
    </row>
    <row r="3358">
      <c r="A3358" s="2">
        <f>IFERROR(__xludf.DUMMYFUNCTION("""COMPUTED_VALUE"""),40668.666666666664)</f>
        <v>40668.66667</v>
      </c>
      <c r="B3358" s="1">
        <f>IFERROR(__xludf.DUMMYFUNCTION("""COMPUTED_VALUE"""),2257.97)</f>
        <v>2257.97</v>
      </c>
    </row>
    <row r="3359">
      <c r="A3359" s="2">
        <f>IFERROR(__xludf.DUMMYFUNCTION("""COMPUTED_VALUE"""),40669.666666666664)</f>
        <v>40669.66667</v>
      </c>
      <c r="B3359" s="1">
        <f>IFERROR(__xludf.DUMMYFUNCTION("""COMPUTED_VALUE"""),2266.7)</f>
        <v>2266.7</v>
      </c>
    </row>
    <row r="3360">
      <c r="A3360" s="2">
        <f>IFERROR(__xludf.DUMMYFUNCTION("""COMPUTED_VALUE"""),40672.666666666664)</f>
        <v>40672.66667</v>
      </c>
      <c r="B3360" s="1">
        <f>IFERROR(__xludf.DUMMYFUNCTION("""COMPUTED_VALUE"""),2277.28)</f>
        <v>2277.28</v>
      </c>
    </row>
    <row r="3361">
      <c r="A3361" s="2">
        <f>IFERROR(__xludf.DUMMYFUNCTION("""COMPUTED_VALUE"""),40673.666666666664)</f>
        <v>40673.66667</v>
      </c>
      <c r="B3361" s="1">
        <f>IFERROR(__xludf.DUMMYFUNCTION("""COMPUTED_VALUE"""),2295.68)</f>
        <v>2295.68</v>
      </c>
    </row>
    <row r="3362">
      <c r="A3362" s="2">
        <f>IFERROR(__xludf.DUMMYFUNCTION("""COMPUTED_VALUE"""),40674.666666666664)</f>
        <v>40674.66667</v>
      </c>
      <c r="B3362" s="1">
        <f>IFERROR(__xludf.DUMMYFUNCTION("""COMPUTED_VALUE"""),2270.22)</f>
        <v>2270.22</v>
      </c>
    </row>
    <row r="3363">
      <c r="A3363" s="2">
        <f>IFERROR(__xludf.DUMMYFUNCTION("""COMPUTED_VALUE"""),40675.666666666664)</f>
        <v>40675.66667</v>
      </c>
      <c r="B3363" s="1">
        <f>IFERROR(__xludf.DUMMYFUNCTION("""COMPUTED_VALUE"""),2282.58)</f>
        <v>2282.58</v>
      </c>
    </row>
    <row r="3364">
      <c r="A3364" s="2">
        <f>IFERROR(__xludf.DUMMYFUNCTION("""COMPUTED_VALUE"""),40676.666666666664)</f>
        <v>40676.66667</v>
      </c>
      <c r="B3364" s="1">
        <f>IFERROR(__xludf.DUMMYFUNCTION("""COMPUTED_VALUE"""),2264.44)</f>
        <v>2264.44</v>
      </c>
    </row>
    <row r="3365">
      <c r="A3365" s="2">
        <f>IFERROR(__xludf.DUMMYFUNCTION("""COMPUTED_VALUE"""),40679.666666666664)</f>
        <v>40679.66667</v>
      </c>
      <c r="B3365" s="1">
        <f>IFERROR(__xludf.DUMMYFUNCTION("""COMPUTED_VALUE"""),2250.46)</f>
        <v>2250.46</v>
      </c>
    </row>
    <row r="3366">
      <c r="A3366" s="2">
        <f>IFERROR(__xludf.DUMMYFUNCTION("""COMPUTED_VALUE"""),40680.666666666664)</f>
        <v>40680.66667</v>
      </c>
      <c r="B3366" s="1">
        <f>IFERROR(__xludf.DUMMYFUNCTION("""COMPUTED_VALUE"""),2249.78)</f>
        <v>2249.78</v>
      </c>
    </row>
    <row r="3367">
      <c r="A3367" s="2">
        <f>IFERROR(__xludf.DUMMYFUNCTION("""COMPUTED_VALUE"""),40681.666666666664)</f>
        <v>40681.66667</v>
      </c>
      <c r="B3367" s="1">
        <f>IFERROR(__xludf.DUMMYFUNCTION("""COMPUTED_VALUE"""),2270.16)</f>
        <v>2270.16</v>
      </c>
    </row>
    <row r="3368">
      <c r="A3368" s="2">
        <f>IFERROR(__xludf.DUMMYFUNCTION("""COMPUTED_VALUE"""),40682.666666666664)</f>
        <v>40682.66667</v>
      </c>
      <c r="B3368" s="1">
        <f>IFERROR(__xludf.DUMMYFUNCTION("""COMPUTED_VALUE"""),2275.52)</f>
        <v>2275.52</v>
      </c>
    </row>
    <row r="3369">
      <c r="A3369" s="2">
        <f>IFERROR(__xludf.DUMMYFUNCTION("""COMPUTED_VALUE"""),40683.666666666664)</f>
        <v>40683.66667</v>
      </c>
      <c r="B3369" s="1">
        <f>IFERROR(__xludf.DUMMYFUNCTION("""COMPUTED_VALUE"""),2258.21)</f>
        <v>2258.21</v>
      </c>
    </row>
    <row r="3370">
      <c r="A3370" s="2">
        <f>IFERROR(__xludf.DUMMYFUNCTION("""COMPUTED_VALUE"""),40686.666666666664)</f>
        <v>40686.66667</v>
      </c>
      <c r="B3370" s="1">
        <f>IFERROR(__xludf.DUMMYFUNCTION("""COMPUTED_VALUE"""),2231.28)</f>
        <v>2231.28</v>
      </c>
    </row>
    <row r="3371">
      <c r="A3371" s="2">
        <f>IFERROR(__xludf.DUMMYFUNCTION("""COMPUTED_VALUE"""),40687.666666666664)</f>
        <v>40687.66667</v>
      </c>
      <c r="B3371" s="1">
        <f>IFERROR(__xludf.DUMMYFUNCTION("""COMPUTED_VALUE"""),2229.47)</f>
        <v>2229.47</v>
      </c>
    </row>
    <row r="3372">
      <c r="A3372" s="2">
        <f>IFERROR(__xludf.DUMMYFUNCTION("""COMPUTED_VALUE"""),40688.666666666664)</f>
        <v>40688.66667</v>
      </c>
      <c r="B3372" s="1">
        <f>IFERROR(__xludf.DUMMYFUNCTION("""COMPUTED_VALUE"""),2236.6)</f>
        <v>2236.6</v>
      </c>
    </row>
    <row r="3373">
      <c r="A3373" s="2">
        <f>IFERROR(__xludf.DUMMYFUNCTION("""COMPUTED_VALUE"""),40689.666666666664)</f>
        <v>40689.66667</v>
      </c>
      <c r="B3373" s="1">
        <f>IFERROR(__xludf.DUMMYFUNCTION("""COMPUTED_VALUE"""),2245.58)</f>
        <v>2245.58</v>
      </c>
    </row>
    <row r="3374">
      <c r="A3374" s="2">
        <f>IFERROR(__xludf.DUMMYFUNCTION("""COMPUTED_VALUE"""),40690.666666666664)</f>
        <v>40690.66667</v>
      </c>
      <c r="B3374" s="1">
        <f>IFERROR(__xludf.DUMMYFUNCTION("""COMPUTED_VALUE"""),2255.3)</f>
        <v>2255.3</v>
      </c>
    </row>
    <row r="3375">
      <c r="A3375" s="2">
        <f>IFERROR(__xludf.DUMMYFUNCTION("""COMPUTED_VALUE"""),40694.666666666664)</f>
        <v>40694.66667</v>
      </c>
      <c r="B3375" s="1">
        <f>IFERROR(__xludf.DUMMYFUNCTION("""COMPUTED_VALUE"""),2279.63)</f>
        <v>2279.63</v>
      </c>
    </row>
    <row r="3376">
      <c r="A3376" s="2">
        <f>IFERROR(__xludf.DUMMYFUNCTION("""COMPUTED_VALUE"""),40695.666666666664)</f>
        <v>40695.66667</v>
      </c>
      <c r="B3376" s="1">
        <f>IFERROR(__xludf.DUMMYFUNCTION("""COMPUTED_VALUE"""),2227.72)</f>
        <v>2227.72</v>
      </c>
    </row>
    <row r="3377">
      <c r="A3377" s="2">
        <f>IFERROR(__xludf.DUMMYFUNCTION("""COMPUTED_VALUE"""),40696.666666666664)</f>
        <v>40696.66667</v>
      </c>
      <c r="B3377" s="1">
        <f>IFERROR(__xludf.DUMMYFUNCTION("""COMPUTED_VALUE"""),2225.24)</f>
        <v>2225.24</v>
      </c>
    </row>
    <row r="3378">
      <c r="A3378" s="2">
        <f>IFERROR(__xludf.DUMMYFUNCTION("""COMPUTED_VALUE"""),40697.666666666664)</f>
        <v>40697.66667</v>
      </c>
      <c r="B3378" s="1">
        <f>IFERROR(__xludf.DUMMYFUNCTION("""COMPUTED_VALUE"""),2203.71)</f>
        <v>2203.71</v>
      </c>
    </row>
    <row r="3379">
      <c r="A3379" s="2">
        <f>IFERROR(__xludf.DUMMYFUNCTION("""COMPUTED_VALUE"""),40700.666666666664)</f>
        <v>40700.66667</v>
      </c>
      <c r="B3379" s="1">
        <f>IFERROR(__xludf.DUMMYFUNCTION("""COMPUTED_VALUE"""),2180.09)</f>
        <v>2180.09</v>
      </c>
    </row>
    <row r="3380">
      <c r="A3380" s="2">
        <f>IFERROR(__xludf.DUMMYFUNCTION("""COMPUTED_VALUE"""),40701.666666666664)</f>
        <v>40701.66667</v>
      </c>
      <c r="B3380" s="1">
        <f>IFERROR(__xludf.DUMMYFUNCTION("""COMPUTED_VALUE"""),2178.06)</f>
        <v>2178.06</v>
      </c>
    </row>
    <row r="3381">
      <c r="A3381" s="2">
        <f>IFERROR(__xludf.DUMMYFUNCTION("""COMPUTED_VALUE"""),40702.666666666664)</f>
        <v>40702.66667</v>
      </c>
      <c r="B3381" s="1">
        <f>IFERROR(__xludf.DUMMYFUNCTION("""COMPUTED_VALUE"""),2169.01)</f>
        <v>2169.01</v>
      </c>
    </row>
    <row r="3382">
      <c r="A3382" s="2">
        <f>IFERROR(__xludf.DUMMYFUNCTION("""COMPUTED_VALUE"""),40703.666666666664)</f>
        <v>40703.66667</v>
      </c>
      <c r="B3382" s="1">
        <f>IFERROR(__xludf.DUMMYFUNCTION("""COMPUTED_VALUE"""),2185.52)</f>
        <v>2185.52</v>
      </c>
    </row>
    <row r="3383">
      <c r="A3383" s="2">
        <f>IFERROR(__xludf.DUMMYFUNCTION("""COMPUTED_VALUE"""),40704.666666666664)</f>
        <v>40704.66667</v>
      </c>
      <c r="B3383" s="1">
        <f>IFERROR(__xludf.DUMMYFUNCTION("""COMPUTED_VALUE"""),2154.96)</f>
        <v>2154.96</v>
      </c>
    </row>
    <row r="3384">
      <c r="A3384" s="2">
        <f>IFERROR(__xludf.DUMMYFUNCTION("""COMPUTED_VALUE"""),40707.666666666664)</f>
        <v>40707.66667</v>
      </c>
      <c r="B3384" s="1">
        <f>IFERROR(__xludf.DUMMYFUNCTION("""COMPUTED_VALUE"""),2156.43)</f>
        <v>2156.43</v>
      </c>
    </row>
    <row r="3385">
      <c r="A3385" s="2">
        <f>IFERROR(__xludf.DUMMYFUNCTION("""COMPUTED_VALUE"""),40708.666666666664)</f>
        <v>40708.66667</v>
      </c>
      <c r="B3385" s="1">
        <f>IFERROR(__xludf.DUMMYFUNCTION("""COMPUTED_VALUE"""),2184.36)</f>
        <v>2184.36</v>
      </c>
    </row>
    <row r="3386">
      <c r="A3386" s="2">
        <f>IFERROR(__xludf.DUMMYFUNCTION("""COMPUTED_VALUE"""),40709.666666666664)</f>
        <v>40709.66667</v>
      </c>
      <c r="B3386" s="1">
        <f>IFERROR(__xludf.DUMMYFUNCTION("""COMPUTED_VALUE"""),2146.41)</f>
        <v>2146.41</v>
      </c>
    </row>
    <row r="3387">
      <c r="A3387" s="2">
        <f>IFERROR(__xludf.DUMMYFUNCTION("""COMPUTED_VALUE"""),40710.666666666664)</f>
        <v>40710.66667</v>
      </c>
      <c r="B3387" s="1">
        <f>IFERROR(__xludf.DUMMYFUNCTION("""COMPUTED_VALUE"""),2150.2)</f>
        <v>2150.2</v>
      </c>
    </row>
    <row r="3388">
      <c r="A3388" s="2">
        <f>IFERROR(__xludf.DUMMYFUNCTION("""COMPUTED_VALUE"""),40711.666666666664)</f>
        <v>40711.66667</v>
      </c>
      <c r="B3388" s="1">
        <f>IFERROR(__xludf.DUMMYFUNCTION("""COMPUTED_VALUE"""),2157.14)</f>
        <v>2157.14</v>
      </c>
    </row>
    <row r="3389">
      <c r="A3389" s="2">
        <f>IFERROR(__xludf.DUMMYFUNCTION("""COMPUTED_VALUE"""),40714.666666666664)</f>
        <v>40714.66667</v>
      </c>
      <c r="B3389" s="1">
        <f>IFERROR(__xludf.DUMMYFUNCTION("""COMPUTED_VALUE"""),2168.78)</f>
        <v>2168.78</v>
      </c>
    </row>
    <row r="3390">
      <c r="A3390" s="2">
        <f>IFERROR(__xludf.DUMMYFUNCTION("""COMPUTED_VALUE"""),40715.666666666664)</f>
        <v>40715.66667</v>
      </c>
      <c r="B3390" s="1">
        <f>IFERROR(__xludf.DUMMYFUNCTION("""COMPUTED_VALUE"""),2197.9)</f>
        <v>2197.9</v>
      </c>
    </row>
    <row r="3391">
      <c r="A3391" s="2">
        <f>IFERROR(__xludf.DUMMYFUNCTION("""COMPUTED_VALUE"""),40716.666666666664)</f>
        <v>40716.66667</v>
      </c>
      <c r="B3391" s="1">
        <f>IFERROR(__xludf.DUMMYFUNCTION("""COMPUTED_VALUE"""),2183.93)</f>
        <v>2183.93</v>
      </c>
    </row>
    <row r="3392">
      <c r="A3392" s="2">
        <f>IFERROR(__xludf.DUMMYFUNCTION("""COMPUTED_VALUE"""),40717.666666666664)</f>
        <v>40717.66667</v>
      </c>
      <c r="B3392" s="1">
        <f>IFERROR(__xludf.DUMMYFUNCTION("""COMPUTED_VALUE"""),2177.85)</f>
        <v>2177.85</v>
      </c>
    </row>
    <row r="3393">
      <c r="A3393" s="2">
        <f>IFERROR(__xludf.DUMMYFUNCTION("""COMPUTED_VALUE"""),40718.666666666664)</f>
        <v>40718.66667</v>
      </c>
      <c r="B3393" s="1">
        <f>IFERROR(__xludf.DUMMYFUNCTION("""COMPUTED_VALUE"""),2152.31)</f>
        <v>2152.31</v>
      </c>
    </row>
    <row r="3394">
      <c r="A3394" s="2">
        <f>IFERROR(__xludf.DUMMYFUNCTION("""COMPUTED_VALUE"""),40721.666666666664)</f>
        <v>40721.66667</v>
      </c>
      <c r="B3394" s="1">
        <f>IFERROR(__xludf.DUMMYFUNCTION("""COMPUTED_VALUE"""),2172.08)</f>
        <v>2172.08</v>
      </c>
    </row>
    <row r="3395">
      <c r="A3395" s="2">
        <f>IFERROR(__xludf.DUMMYFUNCTION("""COMPUTED_VALUE"""),40722.666666666664)</f>
        <v>40722.66667</v>
      </c>
      <c r="B3395" s="1">
        <f>IFERROR(__xludf.DUMMYFUNCTION("""COMPUTED_VALUE"""),2200.21)</f>
        <v>2200.21</v>
      </c>
    </row>
    <row r="3396">
      <c r="A3396" s="2">
        <f>IFERROR(__xludf.DUMMYFUNCTION("""COMPUTED_VALUE"""),40723.666666666664)</f>
        <v>40723.66667</v>
      </c>
      <c r="B3396" s="1">
        <f>IFERROR(__xludf.DUMMYFUNCTION("""COMPUTED_VALUE"""),2218.91)</f>
        <v>2218.91</v>
      </c>
    </row>
    <row r="3397">
      <c r="A3397" s="2">
        <f>IFERROR(__xludf.DUMMYFUNCTION("""COMPUTED_VALUE"""),40724.666666666664)</f>
        <v>40724.66667</v>
      </c>
      <c r="B3397" s="1">
        <f>IFERROR(__xludf.DUMMYFUNCTION("""COMPUTED_VALUE"""),2241.65)</f>
        <v>2241.65</v>
      </c>
    </row>
    <row r="3398">
      <c r="A3398" s="2">
        <f>IFERROR(__xludf.DUMMYFUNCTION("""COMPUTED_VALUE"""),40725.666666666664)</f>
        <v>40725.66667</v>
      </c>
      <c r="B3398" s="1">
        <f>IFERROR(__xludf.DUMMYFUNCTION("""COMPUTED_VALUE"""),2273.96)</f>
        <v>2273.96</v>
      </c>
    </row>
    <row r="3399">
      <c r="A3399" s="2">
        <f>IFERROR(__xludf.DUMMYFUNCTION("""COMPUTED_VALUE"""),40729.666666666664)</f>
        <v>40729.66667</v>
      </c>
      <c r="B3399" s="1">
        <f>IFERROR(__xludf.DUMMYFUNCTION("""COMPUTED_VALUE"""),2271.22)</f>
        <v>2271.22</v>
      </c>
    </row>
    <row r="3400">
      <c r="A3400" s="2">
        <f>IFERROR(__xludf.DUMMYFUNCTION("""COMPUTED_VALUE"""),40730.666666666664)</f>
        <v>40730.66667</v>
      </c>
      <c r="B3400" s="1">
        <f>IFERROR(__xludf.DUMMYFUNCTION("""COMPUTED_VALUE"""),2273.58)</f>
        <v>2273.58</v>
      </c>
    </row>
    <row r="3401">
      <c r="A3401" s="2">
        <f>IFERROR(__xludf.DUMMYFUNCTION("""COMPUTED_VALUE"""),40731.666666666664)</f>
        <v>40731.66667</v>
      </c>
      <c r="B3401" s="1">
        <f>IFERROR(__xludf.DUMMYFUNCTION("""COMPUTED_VALUE"""),2298.19)</f>
        <v>2298.19</v>
      </c>
    </row>
    <row r="3402">
      <c r="A3402" s="2">
        <f>IFERROR(__xludf.DUMMYFUNCTION("""COMPUTED_VALUE"""),40732.666666666664)</f>
        <v>40732.66667</v>
      </c>
      <c r="B3402" s="1">
        <f>IFERROR(__xludf.DUMMYFUNCTION("""COMPUTED_VALUE"""),2282.32)</f>
        <v>2282.32</v>
      </c>
    </row>
    <row r="3403">
      <c r="A3403" s="2">
        <f>IFERROR(__xludf.DUMMYFUNCTION("""COMPUTED_VALUE"""),40735.666666666664)</f>
        <v>40735.66667</v>
      </c>
      <c r="B3403" s="1">
        <f>IFERROR(__xludf.DUMMYFUNCTION("""COMPUTED_VALUE"""),2241.03)</f>
        <v>2241.03</v>
      </c>
    </row>
    <row r="3404">
      <c r="A3404" s="2">
        <f>IFERROR(__xludf.DUMMYFUNCTION("""COMPUTED_VALUE"""),40736.666666666664)</f>
        <v>40736.66667</v>
      </c>
      <c r="B3404" s="1">
        <f>IFERROR(__xludf.DUMMYFUNCTION("""COMPUTED_VALUE"""),2231.14)</f>
        <v>2231.14</v>
      </c>
    </row>
    <row r="3405">
      <c r="A3405" s="2">
        <f>IFERROR(__xludf.DUMMYFUNCTION("""COMPUTED_VALUE"""),40737.666666666664)</f>
        <v>40737.66667</v>
      </c>
      <c r="B3405" s="1">
        <f>IFERROR(__xludf.DUMMYFUNCTION("""COMPUTED_VALUE"""),2238.08)</f>
        <v>2238.08</v>
      </c>
    </row>
    <row r="3406">
      <c r="A3406" s="2">
        <f>IFERROR(__xludf.DUMMYFUNCTION("""COMPUTED_VALUE"""),40738.666666666664)</f>
        <v>40738.66667</v>
      </c>
      <c r="B3406" s="1">
        <f>IFERROR(__xludf.DUMMYFUNCTION("""COMPUTED_VALUE"""),2223.25)</f>
        <v>2223.25</v>
      </c>
    </row>
    <row r="3407">
      <c r="A3407" s="2">
        <f>IFERROR(__xludf.DUMMYFUNCTION("""COMPUTED_VALUE"""),40739.666666666664)</f>
        <v>40739.66667</v>
      </c>
      <c r="B3407" s="1">
        <f>IFERROR(__xludf.DUMMYFUNCTION("""COMPUTED_VALUE"""),2235.65)</f>
        <v>2235.65</v>
      </c>
    </row>
    <row r="3408">
      <c r="A3408" s="2">
        <f>IFERROR(__xludf.DUMMYFUNCTION("""COMPUTED_VALUE"""),40742.666666666664)</f>
        <v>40742.66667</v>
      </c>
      <c r="B3408" s="1">
        <f>IFERROR(__xludf.DUMMYFUNCTION("""COMPUTED_VALUE"""),2217.46)</f>
        <v>2217.46</v>
      </c>
    </row>
    <row r="3409">
      <c r="A3409" s="2">
        <f>IFERROR(__xludf.DUMMYFUNCTION("""COMPUTED_VALUE"""),40743.666666666664)</f>
        <v>40743.66667</v>
      </c>
      <c r="B3409" s="1">
        <f>IFERROR(__xludf.DUMMYFUNCTION("""COMPUTED_VALUE"""),2253.71)</f>
        <v>2253.71</v>
      </c>
    </row>
    <row r="3410">
      <c r="A3410" s="2">
        <f>IFERROR(__xludf.DUMMYFUNCTION("""COMPUTED_VALUE"""),40744.666666666664)</f>
        <v>40744.66667</v>
      </c>
      <c r="B3410" s="1">
        <f>IFERROR(__xludf.DUMMYFUNCTION("""COMPUTED_VALUE"""),2252.21)</f>
        <v>2252.21</v>
      </c>
    </row>
    <row r="3411">
      <c r="A3411" s="2">
        <f>IFERROR(__xludf.DUMMYFUNCTION("""COMPUTED_VALUE"""),40745.666666666664)</f>
        <v>40745.66667</v>
      </c>
      <c r="B3411" s="1">
        <f>IFERROR(__xludf.DUMMYFUNCTION("""COMPUTED_VALUE"""),2283.04)</f>
        <v>2283.04</v>
      </c>
    </row>
    <row r="3412">
      <c r="A3412" s="2">
        <f>IFERROR(__xludf.DUMMYFUNCTION("""COMPUTED_VALUE"""),40746.666666666664)</f>
        <v>40746.66667</v>
      </c>
      <c r="B3412" s="1">
        <f>IFERROR(__xludf.DUMMYFUNCTION("""COMPUTED_VALUE"""),2285.29)</f>
        <v>2285.29</v>
      </c>
    </row>
    <row r="3413">
      <c r="A3413" s="2">
        <f>IFERROR(__xludf.DUMMYFUNCTION("""COMPUTED_VALUE"""),40749.666666666664)</f>
        <v>40749.66667</v>
      </c>
      <c r="B3413" s="1">
        <f>IFERROR(__xludf.DUMMYFUNCTION("""COMPUTED_VALUE"""),2272.46)</f>
        <v>2272.46</v>
      </c>
    </row>
    <row r="3414">
      <c r="A3414" s="2">
        <f>IFERROR(__xludf.DUMMYFUNCTION("""COMPUTED_VALUE"""),40750.666666666664)</f>
        <v>40750.66667</v>
      </c>
      <c r="B3414" s="1">
        <f>IFERROR(__xludf.DUMMYFUNCTION("""COMPUTED_VALUE"""),2263.14)</f>
        <v>2263.14</v>
      </c>
    </row>
    <row r="3415">
      <c r="A3415" s="2">
        <f>IFERROR(__xludf.DUMMYFUNCTION("""COMPUTED_VALUE"""),40751.666666666664)</f>
        <v>40751.66667</v>
      </c>
      <c r="B3415" s="1">
        <f>IFERROR(__xludf.DUMMYFUNCTION("""COMPUTED_VALUE"""),2217.18)</f>
        <v>2217.18</v>
      </c>
    </row>
    <row r="3416">
      <c r="A3416" s="2">
        <f>IFERROR(__xludf.DUMMYFUNCTION("""COMPUTED_VALUE"""),40752.666666666664)</f>
        <v>40752.66667</v>
      </c>
      <c r="B3416" s="1">
        <f>IFERROR(__xludf.DUMMYFUNCTION("""COMPUTED_VALUE"""),2210.11)</f>
        <v>2210.11</v>
      </c>
    </row>
    <row r="3417">
      <c r="A3417" s="2">
        <f>IFERROR(__xludf.DUMMYFUNCTION("""COMPUTED_VALUE"""),40753.666666666664)</f>
        <v>40753.66667</v>
      </c>
      <c r="B3417" s="1">
        <f>IFERROR(__xludf.DUMMYFUNCTION("""COMPUTED_VALUE"""),2196.08)</f>
        <v>2196.08</v>
      </c>
    </row>
    <row r="3418">
      <c r="A3418" s="2">
        <f>IFERROR(__xludf.DUMMYFUNCTION("""COMPUTED_VALUE"""),40756.666666666664)</f>
        <v>40756.66667</v>
      </c>
      <c r="B3418" s="1">
        <f>IFERROR(__xludf.DUMMYFUNCTION("""COMPUTED_VALUE"""),2187.0)</f>
        <v>2187</v>
      </c>
    </row>
    <row r="3419">
      <c r="A3419" s="2">
        <f>IFERROR(__xludf.DUMMYFUNCTION("""COMPUTED_VALUE"""),40757.666666666664)</f>
        <v>40757.66667</v>
      </c>
      <c r="B3419" s="1">
        <f>IFERROR(__xludf.DUMMYFUNCTION("""COMPUTED_VALUE"""),2131.1)</f>
        <v>2131.1</v>
      </c>
    </row>
    <row r="3420">
      <c r="A3420" s="2">
        <f>IFERROR(__xludf.DUMMYFUNCTION("""COMPUTED_VALUE"""),40758.666666666664)</f>
        <v>40758.66667</v>
      </c>
      <c r="B3420" s="1">
        <f>IFERROR(__xludf.DUMMYFUNCTION("""COMPUTED_VALUE"""),2141.8)</f>
        <v>2141.8</v>
      </c>
    </row>
    <row r="3421">
      <c r="A3421" s="2">
        <f>IFERROR(__xludf.DUMMYFUNCTION("""COMPUTED_VALUE"""),40759.666666666664)</f>
        <v>40759.66667</v>
      </c>
      <c r="B3421" s="1">
        <f>IFERROR(__xludf.DUMMYFUNCTION("""COMPUTED_VALUE"""),2040.11)</f>
        <v>2040.11</v>
      </c>
    </row>
    <row r="3422">
      <c r="A3422" s="2">
        <f>IFERROR(__xludf.DUMMYFUNCTION("""COMPUTED_VALUE"""),40760.666666666664)</f>
        <v>40760.66667</v>
      </c>
      <c r="B3422" s="1">
        <f>IFERROR(__xludf.DUMMYFUNCTION("""COMPUTED_VALUE"""),2039.02)</f>
        <v>2039.02</v>
      </c>
    </row>
    <row r="3423">
      <c r="A3423" s="2">
        <f>IFERROR(__xludf.DUMMYFUNCTION("""COMPUTED_VALUE"""),40763.666666666664)</f>
        <v>40763.66667</v>
      </c>
      <c r="B3423" s="1">
        <f>IFERROR(__xludf.DUMMYFUNCTION("""COMPUTED_VALUE"""),1903.18)</f>
        <v>1903.18</v>
      </c>
    </row>
    <row r="3424">
      <c r="A3424" s="2">
        <f>IFERROR(__xludf.DUMMYFUNCTION("""COMPUTED_VALUE"""),40764.666666666664)</f>
        <v>40764.66667</v>
      </c>
      <c r="B3424" s="1">
        <f>IFERROR(__xludf.DUMMYFUNCTION("""COMPUTED_VALUE"""),1993.72)</f>
        <v>1993.72</v>
      </c>
    </row>
    <row r="3425">
      <c r="A3425" s="2">
        <f>IFERROR(__xludf.DUMMYFUNCTION("""COMPUTED_VALUE"""),40765.666666666664)</f>
        <v>40765.66667</v>
      </c>
      <c r="B3425" s="1">
        <f>IFERROR(__xludf.DUMMYFUNCTION("""COMPUTED_VALUE"""),1905.72)</f>
        <v>1905.72</v>
      </c>
    </row>
    <row r="3426">
      <c r="A3426" s="2">
        <f>IFERROR(__xludf.DUMMYFUNCTION("""COMPUTED_VALUE"""),40766.666666666664)</f>
        <v>40766.66667</v>
      </c>
      <c r="B3426" s="1">
        <f>IFERROR(__xludf.DUMMYFUNCTION("""COMPUTED_VALUE"""),1994.79)</f>
        <v>1994.79</v>
      </c>
    </row>
    <row r="3427">
      <c r="A3427" s="2">
        <f>IFERROR(__xludf.DUMMYFUNCTION("""COMPUTED_VALUE"""),40770.666666666664)</f>
        <v>40770.66667</v>
      </c>
      <c r="B3427" s="1">
        <f>IFERROR(__xludf.DUMMYFUNCTION("""COMPUTED_VALUE"""),2049.36)</f>
        <v>2049.36</v>
      </c>
    </row>
    <row r="3428">
      <c r="A3428" s="2">
        <f>IFERROR(__xludf.DUMMYFUNCTION("""COMPUTED_VALUE"""),40771.666666666664)</f>
        <v>40771.66667</v>
      </c>
      <c r="B3428" s="1">
        <f>IFERROR(__xludf.DUMMYFUNCTION("""COMPUTED_VALUE"""),2029.56)</f>
        <v>2029.56</v>
      </c>
    </row>
    <row r="3429">
      <c r="A3429" s="2">
        <f>IFERROR(__xludf.DUMMYFUNCTION("""COMPUTED_VALUE"""),40772.666666666664)</f>
        <v>40772.66667</v>
      </c>
      <c r="B3429" s="1">
        <f>IFERROR(__xludf.DUMMYFUNCTION("""COMPUTED_VALUE"""),2031.83)</f>
        <v>2031.83</v>
      </c>
    </row>
    <row r="3430">
      <c r="A3430" s="2">
        <f>IFERROR(__xludf.DUMMYFUNCTION("""COMPUTED_VALUE"""),40773.666666666664)</f>
        <v>40773.66667</v>
      </c>
      <c r="B3430" s="1">
        <f>IFERROR(__xludf.DUMMYFUNCTION("""COMPUTED_VALUE"""),1941.78)</f>
        <v>1941.78</v>
      </c>
    </row>
    <row r="3431">
      <c r="A3431" s="2">
        <f>IFERROR(__xludf.DUMMYFUNCTION("""COMPUTED_VALUE"""),40774.666666666664)</f>
        <v>40774.66667</v>
      </c>
      <c r="B3431" s="1">
        <f>IFERROR(__xludf.DUMMYFUNCTION("""COMPUTED_VALUE"""),1912.77)</f>
        <v>1912.77</v>
      </c>
    </row>
    <row r="3432">
      <c r="A3432" s="2">
        <f>IFERROR(__xludf.DUMMYFUNCTION("""COMPUTED_VALUE"""),40777.666666666664)</f>
        <v>40777.66667</v>
      </c>
      <c r="B3432" s="1">
        <f>IFERROR(__xludf.DUMMYFUNCTION("""COMPUTED_VALUE"""),1913.27)</f>
        <v>1913.27</v>
      </c>
    </row>
    <row r="3433">
      <c r="A3433" s="2">
        <f>IFERROR(__xludf.DUMMYFUNCTION("""COMPUTED_VALUE"""),40778.666666666664)</f>
        <v>40778.66667</v>
      </c>
      <c r="B3433" s="1">
        <f>IFERROR(__xludf.DUMMYFUNCTION("""COMPUTED_VALUE"""),1978.87)</f>
        <v>1978.87</v>
      </c>
    </row>
    <row r="3434">
      <c r="A3434" s="2">
        <f>IFERROR(__xludf.DUMMYFUNCTION("""COMPUTED_VALUE"""),40779.666666666664)</f>
        <v>40779.66667</v>
      </c>
      <c r="B3434" s="1">
        <f>IFERROR(__xludf.DUMMYFUNCTION("""COMPUTED_VALUE"""),2004.86)</f>
        <v>2004.86</v>
      </c>
    </row>
    <row r="3435">
      <c r="A3435" s="2">
        <f>IFERROR(__xludf.DUMMYFUNCTION("""COMPUTED_VALUE"""),40780.666666666664)</f>
        <v>40780.66667</v>
      </c>
      <c r="B3435" s="1">
        <f>IFERROR(__xludf.DUMMYFUNCTION("""COMPUTED_VALUE"""),1973.92)</f>
        <v>1973.92</v>
      </c>
    </row>
    <row r="3436">
      <c r="A3436" s="2">
        <f>IFERROR(__xludf.DUMMYFUNCTION("""COMPUTED_VALUE"""),40781.666666666664)</f>
        <v>40781.66667</v>
      </c>
      <c r="B3436" s="1">
        <f>IFERROR(__xludf.DUMMYFUNCTION("""COMPUTED_VALUE"""),2003.81)</f>
        <v>2003.81</v>
      </c>
    </row>
    <row r="3437">
      <c r="A3437" s="2">
        <f>IFERROR(__xludf.DUMMYFUNCTION("""COMPUTED_VALUE"""),40784.666666666664)</f>
        <v>40784.66667</v>
      </c>
      <c r="B3437" s="1">
        <f>IFERROR(__xludf.DUMMYFUNCTION("""COMPUTED_VALUE"""),2060.79)</f>
        <v>2060.79</v>
      </c>
    </row>
    <row r="3438">
      <c r="A3438" s="2">
        <f>IFERROR(__xludf.DUMMYFUNCTION("""COMPUTED_VALUE"""),40785.666666666664)</f>
        <v>40785.66667</v>
      </c>
      <c r="B3438" s="1">
        <f>IFERROR(__xludf.DUMMYFUNCTION("""COMPUTED_VALUE"""),2065.88)</f>
        <v>2065.88</v>
      </c>
    </row>
    <row r="3439">
      <c r="A3439" s="2">
        <f>IFERROR(__xludf.DUMMYFUNCTION("""COMPUTED_VALUE"""),40786.666666666664)</f>
        <v>40786.66667</v>
      </c>
      <c r="B3439" s="1">
        <f>IFERROR(__xludf.DUMMYFUNCTION("""COMPUTED_VALUE"""),2076.54)</f>
        <v>2076.54</v>
      </c>
    </row>
    <row r="3440">
      <c r="A3440" s="2">
        <f>IFERROR(__xludf.DUMMYFUNCTION("""COMPUTED_VALUE"""),40787.666666666664)</f>
        <v>40787.66667</v>
      </c>
      <c r="B3440" s="1">
        <f>IFERROR(__xludf.DUMMYFUNCTION("""COMPUTED_VALUE"""),2052.12)</f>
        <v>2052.12</v>
      </c>
    </row>
    <row r="3441">
      <c r="A3441" s="2">
        <f>IFERROR(__xludf.DUMMYFUNCTION("""COMPUTED_VALUE"""),40788.666666666664)</f>
        <v>40788.66667</v>
      </c>
      <c r="B3441" s="1">
        <f>IFERROR(__xludf.DUMMYFUNCTION("""COMPUTED_VALUE"""),2000.4)</f>
        <v>2000.4</v>
      </c>
    </row>
    <row r="3442">
      <c r="A3442" s="2">
        <f>IFERROR(__xludf.DUMMYFUNCTION("""COMPUTED_VALUE"""),40792.666666666664)</f>
        <v>40792.66667</v>
      </c>
      <c r="B3442" s="1">
        <f>IFERROR(__xludf.DUMMYFUNCTION("""COMPUTED_VALUE"""),1985.63)</f>
        <v>1985.63</v>
      </c>
    </row>
    <row r="3443">
      <c r="A3443" s="2">
        <f>IFERROR(__xludf.DUMMYFUNCTION("""COMPUTED_VALUE"""),40793.666666666664)</f>
        <v>40793.66667</v>
      </c>
      <c r="B3443" s="1">
        <f>IFERROR(__xludf.DUMMYFUNCTION("""COMPUTED_VALUE"""),2042.56)</f>
        <v>2042.56</v>
      </c>
    </row>
    <row r="3444">
      <c r="A3444" s="2">
        <f>IFERROR(__xludf.DUMMYFUNCTION("""COMPUTED_VALUE"""),40794.666666666664)</f>
        <v>40794.66667</v>
      </c>
      <c r="B3444" s="1">
        <f>IFERROR(__xludf.DUMMYFUNCTION("""COMPUTED_VALUE"""),2021.36)</f>
        <v>2021.36</v>
      </c>
    </row>
    <row r="3445">
      <c r="A3445" s="2">
        <f>IFERROR(__xludf.DUMMYFUNCTION("""COMPUTED_VALUE"""),40795.666666666664)</f>
        <v>40795.66667</v>
      </c>
      <c r="B3445" s="1">
        <f>IFERROR(__xludf.DUMMYFUNCTION("""COMPUTED_VALUE"""),1967.44)</f>
        <v>1967.44</v>
      </c>
    </row>
    <row r="3446">
      <c r="A3446" s="2">
        <f>IFERROR(__xludf.DUMMYFUNCTION("""COMPUTED_VALUE"""),40798.666666666664)</f>
        <v>40798.66667</v>
      </c>
      <c r="B3446" s="1">
        <f>IFERROR(__xludf.DUMMYFUNCTION("""COMPUTED_VALUE"""),1981.16)</f>
        <v>1981.16</v>
      </c>
    </row>
    <row r="3447">
      <c r="A3447" s="2">
        <f>IFERROR(__xludf.DUMMYFUNCTION("""COMPUTED_VALUE"""),40799.666666666664)</f>
        <v>40799.66667</v>
      </c>
      <c r="B3447" s="1">
        <f>IFERROR(__xludf.DUMMYFUNCTION("""COMPUTED_VALUE"""),1999.38)</f>
        <v>1999.38</v>
      </c>
    </row>
    <row r="3448">
      <c r="A3448" s="2">
        <f>IFERROR(__xludf.DUMMYFUNCTION("""COMPUTED_VALUE"""),40800.666666666664)</f>
        <v>40800.66667</v>
      </c>
      <c r="B3448" s="1">
        <f>IFERROR(__xludf.DUMMYFUNCTION("""COMPUTED_VALUE"""),2027.03)</f>
        <v>2027.03</v>
      </c>
    </row>
    <row r="3449">
      <c r="A3449" s="2">
        <f>IFERROR(__xludf.DUMMYFUNCTION("""COMPUTED_VALUE"""),40801.666666666664)</f>
        <v>40801.66667</v>
      </c>
      <c r="B3449" s="1">
        <f>IFERROR(__xludf.DUMMYFUNCTION("""COMPUTED_VALUE"""),2061.89)</f>
        <v>2061.89</v>
      </c>
    </row>
    <row r="3450">
      <c r="A3450" s="2">
        <f>IFERROR(__xludf.DUMMYFUNCTION("""COMPUTED_VALUE"""),40802.666666666664)</f>
        <v>40802.66667</v>
      </c>
      <c r="B3450" s="1">
        <f>IFERROR(__xludf.DUMMYFUNCTION("""COMPUTED_VALUE"""),2074.03)</f>
        <v>2074.03</v>
      </c>
    </row>
    <row r="3451">
      <c r="A3451" s="2">
        <f>IFERROR(__xludf.DUMMYFUNCTION("""COMPUTED_VALUE"""),40805.666666666664)</f>
        <v>40805.66667</v>
      </c>
      <c r="B3451" s="1">
        <f>IFERROR(__xludf.DUMMYFUNCTION("""COMPUTED_VALUE"""),2053.73)</f>
        <v>2053.73</v>
      </c>
    </row>
    <row r="3452">
      <c r="A3452" s="2">
        <f>IFERROR(__xludf.DUMMYFUNCTION("""COMPUTED_VALUE"""),40806.666666666664)</f>
        <v>40806.66667</v>
      </c>
      <c r="B3452" s="1">
        <f>IFERROR(__xludf.DUMMYFUNCTION("""COMPUTED_VALUE"""),2050.33)</f>
        <v>2050.33</v>
      </c>
    </row>
    <row r="3453">
      <c r="A3453" s="2">
        <f>IFERROR(__xludf.DUMMYFUNCTION("""COMPUTED_VALUE"""),40807.666666666664)</f>
        <v>40807.66667</v>
      </c>
      <c r="B3453" s="1">
        <f>IFERROR(__xludf.DUMMYFUNCTION("""COMPUTED_VALUE"""),1990.14)</f>
        <v>1990.14</v>
      </c>
    </row>
    <row r="3454">
      <c r="A3454" s="2">
        <f>IFERROR(__xludf.DUMMYFUNCTION("""COMPUTED_VALUE"""),40808.666666666664)</f>
        <v>40808.66667</v>
      </c>
      <c r="B3454" s="1">
        <f>IFERROR(__xludf.DUMMYFUNCTION("""COMPUTED_VALUE"""),1926.75)</f>
        <v>1926.75</v>
      </c>
    </row>
    <row r="3455">
      <c r="A3455" s="2">
        <f>IFERROR(__xludf.DUMMYFUNCTION("""COMPUTED_VALUE"""),40809.666666666664)</f>
        <v>40809.66667</v>
      </c>
      <c r="B3455" s="1">
        <f>IFERROR(__xludf.DUMMYFUNCTION("""COMPUTED_VALUE"""),1938.47)</f>
        <v>1938.47</v>
      </c>
    </row>
    <row r="3456">
      <c r="A3456" s="2">
        <f>IFERROR(__xludf.DUMMYFUNCTION("""COMPUTED_VALUE"""),40812.666666666664)</f>
        <v>40812.66667</v>
      </c>
      <c r="B3456" s="1">
        <f>IFERROR(__xludf.DUMMYFUNCTION("""COMPUTED_VALUE"""),1983.97)</f>
        <v>1983.97</v>
      </c>
    </row>
    <row r="3457">
      <c r="A3457" s="2">
        <f>IFERROR(__xludf.DUMMYFUNCTION("""COMPUTED_VALUE"""),40813.666666666664)</f>
        <v>40813.66667</v>
      </c>
      <c r="B3457" s="1">
        <f>IFERROR(__xludf.DUMMYFUNCTION("""COMPUTED_VALUE"""),2005.18)</f>
        <v>2005.18</v>
      </c>
    </row>
    <row r="3458">
      <c r="A3458" s="2">
        <f>IFERROR(__xludf.DUMMYFUNCTION("""COMPUTED_VALUE"""),40814.666666666664)</f>
        <v>40814.66667</v>
      </c>
      <c r="B3458" s="1">
        <f>IFERROR(__xludf.DUMMYFUNCTION("""COMPUTED_VALUE"""),1963.71)</f>
        <v>1963.71</v>
      </c>
    </row>
    <row r="3459">
      <c r="A3459" s="2">
        <f>IFERROR(__xludf.DUMMYFUNCTION("""COMPUTED_VALUE"""),40815.666666666664)</f>
        <v>40815.66667</v>
      </c>
      <c r="B3459" s="1">
        <f>IFERROR(__xludf.DUMMYFUNCTION("""COMPUTED_VALUE"""),1980.13)</f>
        <v>1980.13</v>
      </c>
    </row>
    <row r="3460">
      <c r="A3460" s="2">
        <f>IFERROR(__xludf.DUMMYFUNCTION("""COMPUTED_VALUE"""),40816.666666666664)</f>
        <v>40816.66667</v>
      </c>
      <c r="B3460" s="1">
        <f>IFERROR(__xludf.DUMMYFUNCTION("""COMPUTED_VALUE"""),1930.78)</f>
        <v>1930.78</v>
      </c>
    </row>
    <row r="3461">
      <c r="A3461" s="2">
        <f>IFERROR(__xludf.DUMMYFUNCTION("""COMPUTED_VALUE"""),40819.666666666664)</f>
        <v>40819.66667</v>
      </c>
      <c r="B3461" s="1">
        <f>IFERROR(__xludf.DUMMYFUNCTION("""COMPUTED_VALUE"""),1875.85)</f>
        <v>1875.85</v>
      </c>
    </row>
    <row r="3462">
      <c r="A3462" s="2">
        <f>IFERROR(__xludf.DUMMYFUNCTION("""COMPUTED_VALUE"""),40820.666666666664)</f>
        <v>40820.66667</v>
      </c>
      <c r="B3462" s="1">
        <f>IFERROR(__xludf.DUMMYFUNCTION("""COMPUTED_VALUE"""),1918.14)</f>
        <v>1918.14</v>
      </c>
    </row>
    <row r="3463">
      <c r="A3463" s="2">
        <f>IFERROR(__xludf.DUMMYFUNCTION("""COMPUTED_VALUE"""),40821.666666666664)</f>
        <v>40821.66667</v>
      </c>
      <c r="B3463" s="1">
        <f>IFERROR(__xludf.DUMMYFUNCTION("""COMPUTED_VALUE"""),1952.68)</f>
        <v>1952.68</v>
      </c>
    </row>
    <row r="3464">
      <c r="A3464" s="2">
        <f>IFERROR(__xludf.DUMMYFUNCTION("""COMPUTED_VALUE"""),40822.666666666664)</f>
        <v>40822.66667</v>
      </c>
      <c r="B3464" s="1">
        <f>IFERROR(__xludf.DUMMYFUNCTION("""COMPUTED_VALUE"""),1989.42)</f>
        <v>1989.42</v>
      </c>
    </row>
    <row r="3465">
      <c r="A3465" s="2">
        <f>IFERROR(__xludf.DUMMYFUNCTION("""COMPUTED_VALUE"""),40823.666666666664)</f>
        <v>40823.66667</v>
      </c>
      <c r="B3465" s="1">
        <f>IFERROR(__xludf.DUMMYFUNCTION("""COMPUTED_VALUE"""),1973.37)</f>
        <v>1973.37</v>
      </c>
    </row>
    <row r="3466">
      <c r="A3466" s="2">
        <f>IFERROR(__xludf.DUMMYFUNCTION("""COMPUTED_VALUE"""),40826.666666666664)</f>
        <v>40826.66667</v>
      </c>
      <c r="B3466" s="1">
        <f>IFERROR(__xludf.DUMMYFUNCTION("""COMPUTED_VALUE"""),2040.76)</f>
        <v>2040.76</v>
      </c>
    </row>
    <row r="3467">
      <c r="A3467" s="2">
        <f>IFERROR(__xludf.DUMMYFUNCTION("""COMPUTED_VALUE"""),40827.666666666664)</f>
        <v>40827.66667</v>
      </c>
      <c r="B3467" s="1">
        <f>IFERROR(__xludf.DUMMYFUNCTION("""COMPUTED_VALUE"""),2041.86)</f>
        <v>2041.86</v>
      </c>
    </row>
    <row r="3468">
      <c r="A3468" s="2">
        <f>IFERROR(__xludf.DUMMYFUNCTION("""COMPUTED_VALUE"""),40828.666666666664)</f>
        <v>40828.66667</v>
      </c>
      <c r="B3468" s="1">
        <f>IFERROR(__xludf.DUMMYFUNCTION("""COMPUTED_VALUE"""),2061.91)</f>
        <v>2061.91</v>
      </c>
    </row>
    <row r="3469">
      <c r="A3469" s="2">
        <f>IFERROR(__xludf.DUMMYFUNCTION("""COMPUTED_VALUE"""),40829.666666666664)</f>
        <v>40829.66667</v>
      </c>
      <c r="B3469" s="1">
        <f>IFERROR(__xludf.DUMMYFUNCTION("""COMPUTED_VALUE"""),2056.08)</f>
        <v>2056.08</v>
      </c>
    </row>
    <row r="3470">
      <c r="A3470" s="2">
        <f>IFERROR(__xludf.DUMMYFUNCTION("""COMPUTED_VALUE"""),40830.666666666664)</f>
        <v>40830.66667</v>
      </c>
      <c r="B3470" s="1">
        <f>IFERROR(__xludf.DUMMYFUNCTION("""COMPUTED_VALUE"""),2091.99)</f>
        <v>2091.99</v>
      </c>
    </row>
    <row r="3471">
      <c r="A3471" s="2">
        <f>IFERROR(__xludf.DUMMYFUNCTION("""COMPUTED_VALUE"""),40833.666666666664)</f>
        <v>40833.66667</v>
      </c>
      <c r="B3471" s="1">
        <f>IFERROR(__xludf.DUMMYFUNCTION("""COMPUTED_VALUE"""),2051.48)</f>
        <v>2051.48</v>
      </c>
    </row>
    <row r="3472">
      <c r="A3472" s="2">
        <f>IFERROR(__xludf.DUMMYFUNCTION("""COMPUTED_VALUE"""),40834.666666666664)</f>
        <v>40834.66667</v>
      </c>
      <c r="B3472" s="1">
        <f>IFERROR(__xludf.DUMMYFUNCTION("""COMPUTED_VALUE"""),2093.43)</f>
        <v>2093.43</v>
      </c>
    </row>
    <row r="3473">
      <c r="A3473" s="2">
        <f>IFERROR(__xludf.DUMMYFUNCTION("""COMPUTED_VALUE"""),40835.666666666664)</f>
        <v>40835.66667</v>
      </c>
      <c r="B3473" s="1">
        <f>IFERROR(__xludf.DUMMYFUNCTION("""COMPUTED_VALUE"""),2066.96)</f>
        <v>2066.96</v>
      </c>
    </row>
    <row r="3474">
      <c r="A3474" s="2">
        <f>IFERROR(__xludf.DUMMYFUNCTION("""COMPUTED_VALUE"""),40836.666666666664)</f>
        <v>40836.66667</v>
      </c>
      <c r="B3474" s="1">
        <f>IFERROR(__xludf.DUMMYFUNCTION("""COMPUTED_VALUE"""),2076.69)</f>
        <v>2076.69</v>
      </c>
    </row>
    <row r="3475">
      <c r="A3475" s="2">
        <f>IFERROR(__xludf.DUMMYFUNCTION("""COMPUTED_VALUE"""),40837.666666666664)</f>
        <v>40837.66667</v>
      </c>
      <c r="B3475" s="1">
        <f>IFERROR(__xludf.DUMMYFUNCTION("""COMPUTED_VALUE"""),2115.81)</f>
        <v>2115.81</v>
      </c>
    </row>
    <row r="3476">
      <c r="A3476" s="2">
        <f>IFERROR(__xludf.DUMMYFUNCTION("""COMPUTED_VALUE"""),40840.666666666664)</f>
        <v>40840.66667</v>
      </c>
      <c r="B3476" s="1">
        <f>IFERROR(__xludf.DUMMYFUNCTION("""COMPUTED_VALUE"""),2143.11)</f>
        <v>2143.11</v>
      </c>
    </row>
    <row r="3477">
      <c r="A3477" s="2">
        <f>IFERROR(__xludf.DUMMYFUNCTION("""COMPUTED_VALUE"""),40841.666666666664)</f>
        <v>40841.66667</v>
      </c>
      <c r="B3477" s="1">
        <f>IFERROR(__xludf.DUMMYFUNCTION("""COMPUTED_VALUE"""),2100.17)</f>
        <v>2100.17</v>
      </c>
    </row>
    <row r="3478">
      <c r="A3478" s="2">
        <f>IFERROR(__xludf.DUMMYFUNCTION("""COMPUTED_VALUE"""),40842.666666666664)</f>
        <v>40842.66667</v>
      </c>
      <c r="B3478" s="1">
        <f>IFERROR(__xludf.DUMMYFUNCTION("""COMPUTED_VALUE"""),2122.29)</f>
        <v>2122.29</v>
      </c>
    </row>
    <row r="3479">
      <c r="A3479" s="2">
        <f>IFERROR(__xludf.DUMMYFUNCTION("""COMPUTED_VALUE"""),40843.666666666664)</f>
        <v>40843.66667</v>
      </c>
      <c r="B3479" s="1">
        <f>IFERROR(__xludf.DUMMYFUNCTION("""COMPUTED_VALUE"""),2195.09)</f>
        <v>2195.09</v>
      </c>
    </row>
    <row r="3480">
      <c r="A3480" s="2">
        <f>IFERROR(__xludf.DUMMYFUNCTION("""COMPUTED_VALUE"""),40844.666666666664)</f>
        <v>40844.66667</v>
      </c>
      <c r="B3480" s="1">
        <f>IFERROR(__xludf.DUMMYFUNCTION("""COMPUTED_VALUE"""),2196.06)</f>
        <v>2196.06</v>
      </c>
    </row>
    <row r="3481">
      <c r="A3481" s="2">
        <f>IFERROR(__xludf.DUMMYFUNCTION("""COMPUTED_VALUE"""),40847.666666666664)</f>
        <v>40847.66667</v>
      </c>
      <c r="B3481" s="1">
        <f>IFERROR(__xludf.DUMMYFUNCTION("""COMPUTED_VALUE"""),2141.8)</f>
        <v>2141.8</v>
      </c>
    </row>
    <row r="3482">
      <c r="A3482" s="2">
        <f>IFERROR(__xludf.DUMMYFUNCTION("""COMPUTED_VALUE"""),40848.666666666664)</f>
        <v>40848.66667</v>
      </c>
      <c r="B3482" s="1">
        <f>IFERROR(__xludf.DUMMYFUNCTION("""COMPUTED_VALUE"""),2081.96)</f>
        <v>2081.96</v>
      </c>
    </row>
    <row r="3483">
      <c r="A3483" s="2">
        <f>IFERROR(__xludf.DUMMYFUNCTION("""COMPUTED_VALUE"""),40849.666666666664)</f>
        <v>40849.66667</v>
      </c>
      <c r="B3483" s="1">
        <f>IFERROR(__xludf.DUMMYFUNCTION("""COMPUTED_VALUE"""),2115.51)</f>
        <v>2115.51</v>
      </c>
    </row>
    <row r="3484">
      <c r="A3484" s="2">
        <f>IFERROR(__xludf.DUMMYFUNCTION("""COMPUTED_VALUE"""),40850.666666666664)</f>
        <v>40850.66667</v>
      </c>
      <c r="B3484" s="1">
        <f>IFERROR(__xludf.DUMMYFUNCTION("""COMPUTED_VALUE"""),2155.44)</f>
        <v>2155.44</v>
      </c>
    </row>
    <row r="3485">
      <c r="A3485" s="2">
        <f>IFERROR(__xludf.DUMMYFUNCTION("""COMPUTED_VALUE"""),40851.666666666664)</f>
        <v>40851.66667</v>
      </c>
      <c r="B3485" s="1">
        <f>IFERROR(__xludf.DUMMYFUNCTION("""COMPUTED_VALUE"""),2142.32)</f>
        <v>2142.32</v>
      </c>
    </row>
    <row r="3486">
      <c r="A3486" s="2">
        <f>IFERROR(__xludf.DUMMYFUNCTION("""COMPUTED_VALUE"""),40854.666666666664)</f>
        <v>40854.66667</v>
      </c>
      <c r="B3486" s="1">
        <f>IFERROR(__xludf.DUMMYFUNCTION("""COMPUTED_VALUE"""),2155.84)</f>
        <v>2155.84</v>
      </c>
    </row>
    <row r="3487">
      <c r="A3487" s="2">
        <f>IFERROR(__xludf.DUMMYFUNCTION("""COMPUTED_VALUE"""),40855.666666666664)</f>
        <v>40855.66667</v>
      </c>
      <c r="B3487" s="1">
        <f>IFERROR(__xludf.DUMMYFUNCTION("""COMPUTED_VALUE"""),2181.31)</f>
        <v>2181.31</v>
      </c>
    </row>
    <row r="3488">
      <c r="A3488" s="2">
        <f>IFERROR(__xludf.DUMMYFUNCTION("""COMPUTED_VALUE"""),40856.666666666664)</f>
        <v>40856.66667</v>
      </c>
      <c r="B3488" s="1">
        <f>IFERROR(__xludf.DUMMYFUNCTION("""COMPUTED_VALUE"""),2102.5)</f>
        <v>2102.5</v>
      </c>
    </row>
    <row r="3489">
      <c r="A3489" s="2">
        <f>IFERROR(__xludf.DUMMYFUNCTION("""COMPUTED_VALUE"""),40857.666666666664)</f>
        <v>40857.66667</v>
      </c>
      <c r="B3489" s="1">
        <f>IFERROR(__xludf.DUMMYFUNCTION("""COMPUTED_VALUE"""),2120.86)</f>
        <v>2120.86</v>
      </c>
    </row>
    <row r="3490">
      <c r="A3490" s="2">
        <f>IFERROR(__xludf.DUMMYFUNCTION("""COMPUTED_VALUE"""),40858.666666666664)</f>
        <v>40858.66667</v>
      </c>
      <c r="B3490" s="1">
        <f>IFERROR(__xludf.DUMMYFUNCTION("""COMPUTED_VALUE"""),2162.48)</f>
        <v>2162.48</v>
      </c>
    </row>
    <row r="3491">
      <c r="A3491" s="2">
        <f>IFERROR(__xludf.DUMMYFUNCTION("""COMPUTED_VALUE"""),40861.666666666664)</f>
        <v>40861.66667</v>
      </c>
      <c r="B3491" s="1">
        <f>IFERROR(__xludf.DUMMYFUNCTION("""COMPUTED_VALUE"""),2141.82)</f>
        <v>2141.82</v>
      </c>
    </row>
    <row r="3492">
      <c r="A3492" s="2">
        <f>IFERROR(__xludf.DUMMYFUNCTION("""COMPUTED_VALUE"""),40862.666666666664)</f>
        <v>40862.66667</v>
      </c>
      <c r="B3492" s="1">
        <f>IFERROR(__xludf.DUMMYFUNCTION("""COMPUTED_VALUE"""),2152.41)</f>
        <v>2152.41</v>
      </c>
    </row>
    <row r="3493">
      <c r="A3493" s="2">
        <f>IFERROR(__xludf.DUMMYFUNCTION("""COMPUTED_VALUE"""),40863.666666666664)</f>
        <v>40863.66667</v>
      </c>
      <c r="B3493" s="1">
        <f>IFERROR(__xludf.DUMMYFUNCTION("""COMPUTED_VALUE"""),2117.02)</f>
        <v>2117.02</v>
      </c>
    </row>
    <row r="3494">
      <c r="A3494" s="2">
        <f>IFERROR(__xludf.DUMMYFUNCTION("""COMPUTED_VALUE"""),40864.666666666664)</f>
        <v>40864.66667</v>
      </c>
      <c r="B3494" s="1">
        <f>IFERROR(__xludf.DUMMYFUNCTION("""COMPUTED_VALUE"""),2082.06)</f>
        <v>2082.06</v>
      </c>
    </row>
    <row r="3495">
      <c r="A3495" s="2">
        <f>IFERROR(__xludf.DUMMYFUNCTION("""COMPUTED_VALUE"""),40865.666666666664)</f>
        <v>40865.66667</v>
      </c>
      <c r="B3495" s="1">
        <f>IFERROR(__xludf.DUMMYFUNCTION("""COMPUTED_VALUE"""),2081.28)</f>
        <v>2081.28</v>
      </c>
    </row>
    <row r="3496">
      <c r="A3496" s="2">
        <f>IFERROR(__xludf.DUMMYFUNCTION("""COMPUTED_VALUE"""),40868.666666666664)</f>
        <v>40868.66667</v>
      </c>
      <c r="B3496" s="1">
        <f>IFERROR(__xludf.DUMMYFUNCTION("""COMPUTED_VALUE"""),2042.6)</f>
        <v>2042.6</v>
      </c>
    </row>
    <row r="3497">
      <c r="A3497" s="2">
        <f>IFERROR(__xludf.DUMMYFUNCTION("""COMPUTED_VALUE"""),40869.666666666664)</f>
        <v>40869.66667</v>
      </c>
      <c r="B3497" s="1">
        <f>IFERROR(__xludf.DUMMYFUNCTION("""COMPUTED_VALUE"""),2034.24)</f>
        <v>2034.24</v>
      </c>
    </row>
    <row r="3498">
      <c r="A3498" s="2">
        <f>IFERROR(__xludf.DUMMYFUNCTION("""COMPUTED_VALUE"""),40870.666666666664)</f>
        <v>40870.66667</v>
      </c>
      <c r="B3498" s="1">
        <f>IFERROR(__xludf.DUMMYFUNCTION("""COMPUTED_VALUE"""),1989.47)</f>
        <v>1989.47</v>
      </c>
    </row>
    <row r="3499">
      <c r="A3499" s="2">
        <f>IFERROR(__xludf.DUMMYFUNCTION("""COMPUTED_VALUE"""),40872.666666666664)</f>
        <v>40872.66667</v>
      </c>
      <c r="B3499" s="1">
        <f>IFERROR(__xludf.DUMMYFUNCTION("""COMPUTED_VALUE"""),1984.5)</f>
        <v>1984.5</v>
      </c>
    </row>
    <row r="3500">
      <c r="A3500" s="2">
        <f>IFERROR(__xludf.DUMMYFUNCTION("""COMPUTED_VALUE"""),40875.666666666664)</f>
        <v>40875.66667</v>
      </c>
      <c r="B3500" s="1">
        <f>IFERROR(__xludf.DUMMYFUNCTION("""COMPUTED_VALUE"""),2042.53)</f>
        <v>2042.53</v>
      </c>
    </row>
    <row r="3501">
      <c r="A3501" s="2">
        <f>IFERROR(__xludf.DUMMYFUNCTION("""COMPUTED_VALUE"""),40876.666666666664)</f>
        <v>40876.66667</v>
      </c>
      <c r="B3501" s="1">
        <f>IFERROR(__xludf.DUMMYFUNCTION("""COMPUTED_VALUE"""),2047.33)</f>
        <v>2047.33</v>
      </c>
    </row>
    <row r="3502">
      <c r="A3502" s="2">
        <f>IFERROR(__xludf.DUMMYFUNCTION("""COMPUTED_VALUE"""),40877.666666666664)</f>
        <v>40877.66667</v>
      </c>
      <c r="B3502" s="1">
        <f>IFERROR(__xludf.DUMMYFUNCTION("""COMPUTED_VALUE"""),2136.77)</f>
        <v>2136.77</v>
      </c>
    </row>
    <row r="3503">
      <c r="A3503" s="2">
        <f>IFERROR(__xludf.DUMMYFUNCTION("""COMPUTED_VALUE"""),40878.666666666664)</f>
        <v>40878.66667</v>
      </c>
      <c r="B3503" s="1">
        <f>IFERROR(__xludf.DUMMYFUNCTION("""COMPUTED_VALUE"""),2133.0)</f>
        <v>2133</v>
      </c>
    </row>
    <row r="3504">
      <c r="A3504" s="2">
        <f>IFERROR(__xludf.DUMMYFUNCTION("""COMPUTED_VALUE"""),40879.666666666664)</f>
        <v>40879.66667</v>
      </c>
      <c r="B3504" s="1">
        <f>IFERROR(__xludf.DUMMYFUNCTION("""COMPUTED_VALUE"""),2132.55)</f>
        <v>2132.55</v>
      </c>
    </row>
    <row r="3505">
      <c r="A3505" s="2">
        <f>IFERROR(__xludf.DUMMYFUNCTION("""COMPUTED_VALUE"""),40882.666666666664)</f>
        <v>40882.66667</v>
      </c>
      <c r="B3505" s="1">
        <f>IFERROR(__xludf.DUMMYFUNCTION("""COMPUTED_VALUE"""),2154.58)</f>
        <v>2154.58</v>
      </c>
    </row>
    <row r="3506">
      <c r="A3506" s="2">
        <f>IFERROR(__xludf.DUMMYFUNCTION("""COMPUTED_VALUE"""),40883.666666666664)</f>
        <v>40883.66667</v>
      </c>
      <c r="B3506" s="1">
        <f>IFERROR(__xludf.DUMMYFUNCTION("""COMPUTED_VALUE"""),2157.06)</f>
        <v>2157.06</v>
      </c>
    </row>
    <row r="3507">
      <c r="A3507" s="2">
        <f>IFERROR(__xludf.DUMMYFUNCTION("""COMPUTED_VALUE"""),40884.666666666664)</f>
        <v>40884.66667</v>
      </c>
      <c r="B3507" s="1">
        <f>IFERROR(__xludf.DUMMYFUNCTION("""COMPUTED_VALUE"""),2161.45)</f>
        <v>2161.45</v>
      </c>
    </row>
    <row r="3508">
      <c r="A3508" s="2">
        <f>IFERROR(__xludf.DUMMYFUNCTION("""COMPUTED_VALUE"""),40885.666666666664)</f>
        <v>40885.66667</v>
      </c>
      <c r="B3508" s="1">
        <f>IFERROR(__xludf.DUMMYFUNCTION("""COMPUTED_VALUE"""),2116.36)</f>
        <v>2116.36</v>
      </c>
    </row>
    <row r="3509">
      <c r="A3509" s="2">
        <f>IFERROR(__xludf.DUMMYFUNCTION("""COMPUTED_VALUE"""),40886.666666666664)</f>
        <v>40886.66667</v>
      </c>
      <c r="B3509" s="1">
        <f>IFERROR(__xludf.DUMMYFUNCTION("""COMPUTED_VALUE"""),2152.13)</f>
        <v>2152.13</v>
      </c>
    </row>
    <row r="3510">
      <c r="A3510" s="2">
        <f>IFERROR(__xludf.DUMMYFUNCTION("""COMPUTED_VALUE"""),40889.666666666664)</f>
        <v>40889.66667</v>
      </c>
      <c r="B3510" s="1">
        <f>IFERROR(__xludf.DUMMYFUNCTION("""COMPUTED_VALUE"""),2120.04)</f>
        <v>2120.04</v>
      </c>
    </row>
    <row r="3511">
      <c r="A3511" s="2">
        <f>IFERROR(__xludf.DUMMYFUNCTION("""COMPUTED_VALUE"""),40890.666666666664)</f>
        <v>40890.66667</v>
      </c>
      <c r="B3511" s="1">
        <f>IFERROR(__xludf.DUMMYFUNCTION("""COMPUTED_VALUE"""),2101.74)</f>
        <v>2101.74</v>
      </c>
    </row>
    <row r="3512">
      <c r="A3512" s="2">
        <f>IFERROR(__xludf.DUMMYFUNCTION("""COMPUTED_VALUE"""),40891.666666666664)</f>
        <v>40891.66667</v>
      </c>
      <c r="B3512" s="1">
        <f>IFERROR(__xludf.DUMMYFUNCTION("""COMPUTED_VALUE"""),2078.29)</f>
        <v>2078.29</v>
      </c>
    </row>
    <row r="3513">
      <c r="A3513" s="2">
        <f>IFERROR(__xludf.DUMMYFUNCTION("""COMPUTED_VALUE"""),40892.666666666664)</f>
        <v>40892.66667</v>
      </c>
      <c r="B3513" s="1">
        <f>IFERROR(__xludf.DUMMYFUNCTION("""COMPUTED_VALUE"""),2085.25)</f>
        <v>2085.25</v>
      </c>
    </row>
    <row r="3514">
      <c r="A3514" s="2">
        <f>IFERROR(__xludf.DUMMYFUNCTION("""COMPUTED_VALUE"""),40893.666666666664)</f>
        <v>40893.66667</v>
      </c>
      <c r="B3514" s="1">
        <f>IFERROR(__xludf.DUMMYFUNCTION("""COMPUTED_VALUE"""),2092.14)</f>
        <v>2092.14</v>
      </c>
    </row>
    <row r="3515">
      <c r="A3515" s="2">
        <f>IFERROR(__xludf.DUMMYFUNCTION("""COMPUTED_VALUE"""),40896.666666666664)</f>
        <v>40896.66667</v>
      </c>
      <c r="B3515" s="1">
        <f>IFERROR(__xludf.DUMMYFUNCTION("""COMPUTED_VALUE"""),2067.64)</f>
        <v>2067.64</v>
      </c>
    </row>
    <row r="3516">
      <c r="A3516" s="2">
        <f>IFERROR(__xludf.DUMMYFUNCTION("""COMPUTED_VALUE"""),40897.666666666664)</f>
        <v>40897.66667</v>
      </c>
      <c r="B3516" s="1">
        <f>IFERROR(__xludf.DUMMYFUNCTION("""COMPUTED_VALUE"""),2129.34)</f>
        <v>2129.34</v>
      </c>
    </row>
    <row r="3517">
      <c r="A3517" s="2">
        <f>IFERROR(__xludf.DUMMYFUNCTION("""COMPUTED_VALUE"""),40898.666666666664)</f>
        <v>40898.66667</v>
      </c>
      <c r="B3517" s="1">
        <f>IFERROR(__xludf.DUMMYFUNCTION("""COMPUTED_VALUE"""),2133.82)</f>
        <v>2133.82</v>
      </c>
    </row>
    <row r="3518">
      <c r="A3518" s="2">
        <f>IFERROR(__xludf.DUMMYFUNCTION("""COMPUTED_VALUE"""),40899.666666666664)</f>
        <v>40899.66667</v>
      </c>
      <c r="B3518" s="1">
        <f>IFERROR(__xludf.DUMMYFUNCTION("""COMPUTED_VALUE"""),2151.5)</f>
        <v>2151.5</v>
      </c>
    </row>
    <row r="3519">
      <c r="A3519" s="2">
        <f>IFERROR(__xludf.DUMMYFUNCTION("""COMPUTED_VALUE"""),40900.666666666664)</f>
        <v>40900.66667</v>
      </c>
      <c r="B3519" s="1">
        <f>IFERROR(__xludf.DUMMYFUNCTION("""COMPUTED_VALUE"""),2171.48)</f>
        <v>2171.48</v>
      </c>
    </row>
    <row r="3520">
      <c r="A3520" s="2">
        <f>IFERROR(__xludf.DUMMYFUNCTION("""COMPUTED_VALUE"""),40904.666666666664)</f>
        <v>40904.66667</v>
      </c>
      <c r="B3520" s="1">
        <f>IFERROR(__xludf.DUMMYFUNCTION("""COMPUTED_VALUE"""),2171.67)</f>
        <v>2171.67</v>
      </c>
    </row>
    <row r="3521">
      <c r="A3521" s="2">
        <f>IFERROR(__xludf.DUMMYFUNCTION("""COMPUTED_VALUE"""),40905.666666666664)</f>
        <v>40905.66667</v>
      </c>
      <c r="B3521" s="1">
        <f>IFERROR(__xludf.DUMMYFUNCTION("""COMPUTED_VALUE"""),2144.6)</f>
        <v>2144.6</v>
      </c>
    </row>
    <row r="3522">
      <c r="A3522" s="2">
        <f>IFERROR(__xludf.DUMMYFUNCTION("""COMPUTED_VALUE"""),40906.666666666664)</f>
        <v>40906.66667</v>
      </c>
      <c r="B3522" s="1">
        <f>IFERROR(__xludf.DUMMYFUNCTION("""COMPUTED_VALUE"""),2168.06)</f>
        <v>2168.06</v>
      </c>
    </row>
    <row r="3523">
      <c r="A3523" s="2">
        <f>IFERROR(__xludf.DUMMYFUNCTION("""COMPUTED_VALUE"""),40907.666666666664)</f>
        <v>40907.66667</v>
      </c>
      <c r="B3523" s="1">
        <f>IFERROR(__xludf.DUMMYFUNCTION("""COMPUTED_VALUE"""),2158.82)</f>
        <v>2158.82</v>
      </c>
    </row>
    <row r="3524">
      <c r="A3524" s="2">
        <f>IFERROR(__xludf.DUMMYFUNCTION("""COMPUTED_VALUE"""),40911.666666666664)</f>
        <v>40911.66667</v>
      </c>
      <c r="B3524" s="1">
        <f>IFERROR(__xludf.DUMMYFUNCTION("""COMPUTED_VALUE"""),2192.34)</f>
        <v>2192.34</v>
      </c>
    </row>
    <row r="3525">
      <c r="A3525" s="2">
        <f>IFERROR(__xludf.DUMMYFUNCTION("""COMPUTED_VALUE"""),40912.666666666664)</f>
        <v>40912.66667</v>
      </c>
      <c r="B3525" s="1">
        <f>IFERROR(__xludf.DUMMYFUNCTION("""COMPUTED_VALUE"""),2192.81)</f>
        <v>2192.81</v>
      </c>
    </row>
    <row r="3526">
      <c r="A3526" s="2">
        <f>IFERROR(__xludf.DUMMYFUNCTION("""COMPUTED_VALUE"""),40913.666666666664)</f>
        <v>40913.66667</v>
      </c>
      <c r="B3526" s="1">
        <f>IFERROR(__xludf.DUMMYFUNCTION("""COMPUTED_VALUE"""),2199.73)</f>
        <v>2199.73</v>
      </c>
    </row>
    <row r="3527">
      <c r="A3527" s="2">
        <f>IFERROR(__xludf.DUMMYFUNCTION("""COMPUTED_VALUE"""),40914.666666666664)</f>
        <v>40914.66667</v>
      </c>
      <c r="B3527" s="1">
        <f>IFERROR(__xludf.DUMMYFUNCTION("""COMPUTED_VALUE"""),2194.16)</f>
        <v>2194.16</v>
      </c>
    </row>
    <row r="3528">
      <c r="A3528" s="2">
        <f>IFERROR(__xludf.DUMMYFUNCTION("""COMPUTED_VALUE"""),40917.666666666664)</f>
        <v>40917.66667</v>
      </c>
      <c r="B3528" s="1">
        <f>IFERROR(__xludf.DUMMYFUNCTION("""COMPUTED_VALUE"""),2199.95)</f>
        <v>2199.95</v>
      </c>
    </row>
    <row r="3529">
      <c r="A3529" s="2">
        <f>IFERROR(__xludf.DUMMYFUNCTION("""COMPUTED_VALUE"""),40918.666666666664)</f>
        <v>40918.66667</v>
      </c>
      <c r="B3529" s="1">
        <f>IFERROR(__xludf.DUMMYFUNCTION("""COMPUTED_VALUE"""),2219.55)</f>
        <v>2219.55</v>
      </c>
    </row>
    <row r="3530">
      <c r="A3530" s="2">
        <f>IFERROR(__xludf.DUMMYFUNCTION("""COMPUTED_VALUE"""),40919.666666666664)</f>
        <v>40919.66667</v>
      </c>
      <c r="B3530" s="1">
        <f>IFERROR(__xludf.DUMMYFUNCTION("""COMPUTED_VALUE"""),2220.26)</f>
        <v>2220.26</v>
      </c>
    </row>
    <row r="3531">
      <c r="A3531" s="2">
        <f>IFERROR(__xludf.DUMMYFUNCTION("""COMPUTED_VALUE"""),40920.666666666664)</f>
        <v>40920.66667</v>
      </c>
      <c r="B3531" s="1">
        <f>IFERROR(__xludf.DUMMYFUNCTION("""COMPUTED_VALUE"""),2225.68)</f>
        <v>2225.68</v>
      </c>
    </row>
    <row r="3532">
      <c r="A3532" s="2">
        <f>IFERROR(__xludf.DUMMYFUNCTION("""COMPUTED_VALUE"""),40921.666666666664)</f>
        <v>40921.66667</v>
      </c>
      <c r="B3532" s="1">
        <f>IFERROR(__xludf.DUMMYFUNCTION("""COMPUTED_VALUE"""),2214.72)</f>
        <v>2214.72</v>
      </c>
    </row>
    <row r="3533">
      <c r="A3533" s="2">
        <f>IFERROR(__xludf.DUMMYFUNCTION("""COMPUTED_VALUE"""),40925.666666666664)</f>
        <v>40925.66667</v>
      </c>
      <c r="B3533" s="1">
        <f>IFERROR(__xludf.DUMMYFUNCTION("""COMPUTED_VALUE"""),2222.59)</f>
        <v>2222.59</v>
      </c>
    </row>
    <row r="3534">
      <c r="A3534" s="2">
        <f>IFERROR(__xludf.DUMMYFUNCTION("""COMPUTED_VALUE"""),40926.666666666664)</f>
        <v>40926.66667</v>
      </c>
      <c r="B3534" s="1">
        <f>IFERROR(__xludf.DUMMYFUNCTION("""COMPUTED_VALUE"""),2247.28)</f>
        <v>2247.28</v>
      </c>
    </row>
    <row r="3535">
      <c r="A3535" s="2">
        <f>IFERROR(__xludf.DUMMYFUNCTION("""COMPUTED_VALUE"""),40927.666666666664)</f>
        <v>40927.66667</v>
      </c>
      <c r="B3535" s="1">
        <f>IFERROR(__xludf.DUMMYFUNCTION("""COMPUTED_VALUE"""),2258.74)</f>
        <v>2258.74</v>
      </c>
    </row>
    <row r="3536">
      <c r="A3536" s="2">
        <f>IFERROR(__xludf.DUMMYFUNCTION("""COMPUTED_VALUE"""),40928.666666666664)</f>
        <v>40928.66667</v>
      </c>
      <c r="B3536" s="1">
        <f>IFERROR(__xludf.DUMMYFUNCTION("""COMPUTED_VALUE"""),2260.31)</f>
        <v>2260.31</v>
      </c>
    </row>
    <row r="3537">
      <c r="A3537" s="2">
        <f>IFERROR(__xludf.DUMMYFUNCTION("""COMPUTED_VALUE"""),40931.666666666664)</f>
        <v>40931.66667</v>
      </c>
      <c r="B3537" s="1">
        <f>IFERROR(__xludf.DUMMYFUNCTION("""COMPUTED_VALUE"""),2261.43)</f>
        <v>2261.43</v>
      </c>
    </row>
    <row r="3538">
      <c r="A3538" s="2">
        <f>IFERROR(__xludf.DUMMYFUNCTION("""COMPUTED_VALUE"""),40932.666666666664)</f>
        <v>40932.66667</v>
      </c>
      <c r="B3538" s="1">
        <f>IFERROR(__xludf.DUMMYFUNCTION("""COMPUTED_VALUE"""),2259.11)</f>
        <v>2259.11</v>
      </c>
    </row>
    <row r="3539">
      <c r="A3539" s="2">
        <f>IFERROR(__xludf.DUMMYFUNCTION("""COMPUTED_VALUE"""),40933.666666666664)</f>
        <v>40933.66667</v>
      </c>
      <c r="B3539" s="1">
        <f>IFERROR(__xludf.DUMMYFUNCTION("""COMPUTED_VALUE"""),2278.82)</f>
        <v>2278.82</v>
      </c>
    </row>
    <row r="3540">
      <c r="A3540" s="2">
        <f>IFERROR(__xludf.DUMMYFUNCTION("""COMPUTED_VALUE"""),40934.666666666664)</f>
        <v>40934.66667</v>
      </c>
      <c r="B3540" s="1">
        <f>IFERROR(__xludf.DUMMYFUNCTION("""COMPUTED_VALUE"""),2265.77)</f>
        <v>2265.77</v>
      </c>
    </row>
    <row r="3541">
      <c r="A3541" s="2">
        <f>IFERROR(__xludf.DUMMYFUNCTION("""COMPUTED_VALUE"""),40935.666666666664)</f>
        <v>40935.66667</v>
      </c>
      <c r="B3541" s="1">
        <f>IFERROR(__xludf.DUMMYFUNCTION("""COMPUTED_VALUE"""),2262.22)</f>
        <v>2262.22</v>
      </c>
    </row>
    <row r="3542">
      <c r="A3542" s="2">
        <f>IFERROR(__xludf.DUMMYFUNCTION("""COMPUTED_VALUE"""),40938.666666666664)</f>
        <v>40938.66667</v>
      </c>
      <c r="B3542" s="1">
        <f>IFERROR(__xludf.DUMMYFUNCTION("""COMPUTED_VALUE"""),2256.66)</f>
        <v>2256.66</v>
      </c>
    </row>
    <row r="3543">
      <c r="A3543" s="2">
        <f>IFERROR(__xludf.DUMMYFUNCTION("""COMPUTED_VALUE"""),40939.666666666664)</f>
        <v>40939.66667</v>
      </c>
      <c r="B3543" s="1">
        <f>IFERROR(__xludf.DUMMYFUNCTION("""COMPUTED_VALUE"""),2255.66)</f>
        <v>2255.66</v>
      </c>
    </row>
    <row r="3544">
      <c r="A3544" s="2">
        <f>IFERROR(__xludf.DUMMYFUNCTION("""COMPUTED_VALUE"""),40940.666666666664)</f>
        <v>40940.66667</v>
      </c>
      <c r="B3544" s="1">
        <f>IFERROR(__xludf.DUMMYFUNCTION("""COMPUTED_VALUE"""),2275.75)</f>
        <v>2275.75</v>
      </c>
    </row>
    <row r="3545">
      <c r="A3545" s="2">
        <f>IFERROR(__xludf.DUMMYFUNCTION("""COMPUTED_VALUE"""),40941.666666666664)</f>
        <v>40941.66667</v>
      </c>
      <c r="B3545" s="1">
        <f>IFERROR(__xludf.DUMMYFUNCTION("""COMPUTED_VALUE"""),2278.74)</f>
        <v>2278.74</v>
      </c>
    </row>
    <row r="3546">
      <c r="A3546" s="2">
        <f>IFERROR(__xludf.DUMMYFUNCTION("""COMPUTED_VALUE"""),40942.666666666664)</f>
        <v>40942.66667</v>
      </c>
      <c r="B3546" s="1">
        <f>IFERROR(__xludf.DUMMYFUNCTION("""COMPUTED_VALUE"""),2312.2)</f>
        <v>2312.2</v>
      </c>
    </row>
    <row r="3547">
      <c r="A3547" s="2">
        <f>IFERROR(__xludf.DUMMYFUNCTION("""COMPUTED_VALUE"""),40945.666666666664)</f>
        <v>40945.66667</v>
      </c>
      <c r="B3547" s="1">
        <f>IFERROR(__xludf.DUMMYFUNCTION("""COMPUTED_VALUE"""),2311.5)</f>
        <v>2311.5</v>
      </c>
    </row>
    <row r="3548">
      <c r="A3548" s="2">
        <f>IFERROR(__xludf.DUMMYFUNCTION("""COMPUTED_VALUE"""),40946.666666666664)</f>
        <v>40946.66667</v>
      </c>
      <c r="B3548" s="1">
        <f>IFERROR(__xludf.DUMMYFUNCTION("""COMPUTED_VALUE"""),2316.22)</f>
        <v>2316.22</v>
      </c>
    </row>
    <row r="3549">
      <c r="A3549" s="2">
        <f>IFERROR(__xludf.DUMMYFUNCTION("""COMPUTED_VALUE"""),40947.666666666664)</f>
        <v>40947.66667</v>
      </c>
      <c r="B3549" s="1">
        <f>IFERROR(__xludf.DUMMYFUNCTION("""COMPUTED_VALUE"""),2321.27)</f>
        <v>2321.27</v>
      </c>
    </row>
    <row r="3550">
      <c r="A3550" s="2">
        <f>IFERROR(__xludf.DUMMYFUNCTION("""COMPUTED_VALUE"""),40948.666666666664)</f>
        <v>40948.66667</v>
      </c>
      <c r="B3550" s="1">
        <f>IFERROR(__xludf.DUMMYFUNCTION("""COMPUTED_VALUE"""),2325.53)</f>
        <v>2325.53</v>
      </c>
    </row>
    <row r="3551">
      <c r="A3551" s="2">
        <f>IFERROR(__xludf.DUMMYFUNCTION("""COMPUTED_VALUE"""),40949.666666666664)</f>
        <v>40949.66667</v>
      </c>
      <c r="B3551" s="1">
        <f>IFERROR(__xludf.DUMMYFUNCTION("""COMPUTED_VALUE"""),2309.55)</f>
        <v>2309.55</v>
      </c>
    </row>
    <row r="3552">
      <c r="A3552" s="2">
        <f>IFERROR(__xludf.DUMMYFUNCTION("""COMPUTED_VALUE"""),40952.666666666664)</f>
        <v>40952.66667</v>
      </c>
      <c r="B3552" s="1">
        <f>IFERROR(__xludf.DUMMYFUNCTION("""COMPUTED_VALUE"""),2325.3)</f>
        <v>2325.3</v>
      </c>
    </row>
    <row r="3553">
      <c r="A3553" s="2">
        <f>IFERROR(__xludf.DUMMYFUNCTION("""COMPUTED_VALUE"""),40953.666666666664)</f>
        <v>40953.66667</v>
      </c>
      <c r="B3553" s="1">
        <f>IFERROR(__xludf.DUMMYFUNCTION("""COMPUTED_VALUE"""),2323.63)</f>
        <v>2323.63</v>
      </c>
    </row>
    <row r="3554">
      <c r="A3554" s="2">
        <f>IFERROR(__xludf.DUMMYFUNCTION("""COMPUTED_VALUE"""),40954.666666666664)</f>
        <v>40954.66667</v>
      </c>
      <c r="B3554" s="1">
        <f>IFERROR(__xludf.DUMMYFUNCTION("""COMPUTED_VALUE"""),2311.49)</f>
        <v>2311.49</v>
      </c>
    </row>
    <row r="3555">
      <c r="A3555" s="2">
        <f>IFERROR(__xludf.DUMMYFUNCTION("""COMPUTED_VALUE"""),40955.666666666664)</f>
        <v>40955.66667</v>
      </c>
      <c r="B3555" s="1">
        <f>IFERROR(__xludf.DUMMYFUNCTION("""COMPUTED_VALUE"""),2337.77)</f>
        <v>2337.77</v>
      </c>
    </row>
    <row r="3556">
      <c r="A3556" s="2">
        <f>IFERROR(__xludf.DUMMYFUNCTION("""COMPUTED_VALUE"""),40956.666666666664)</f>
        <v>40956.66667</v>
      </c>
      <c r="B3556" s="1">
        <f>IFERROR(__xludf.DUMMYFUNCTION("""COMPUTED_VALUE"""),2343.6)</f>
        <v>2343.6</v>
      </c>
    </row>
    <row r="3557">
      <c r="A3557" s="2">
        <f>IFERROR(__xludf.DUMMYFUNCTION("""COMPUTED_VALUE"""),40960.666666666664)</f>
        <v>40960.66667</v>
      </c>
      <c r="B3557" s="1">
        <f>IFERROR(__xludf.DUMMYFUNCTION("""COMPUTED_VALUE"""),2345.36)</f>
        <v>2345.36</v>
      </c>
    </row>
    <row r="3558">
      <c r="A3558" s="2">
        <f>IFERROR(__xludf.DUMMYFUNCTION("""COMPUTED_VALUE"""),40961.666666666664)</f>
        <v>40961.66667</v>
      </c>
      <c r="B3558" s="1">
        <f>IFERROR(__xludf.DUMMYFUNCTION("""COMPUTED_VALUE"""),2337.58)</f>
        <v>2337.58</v>
      </c>
    </row>
    <row r="3559">
      <c r="A3559" s="2">
        <f>IFERROR(__xludf.DUMMYFUNCTION("""COMPUTED_VALUE"""),40962.666666666664)</f>
        <v>40962.66667</v>
      </c>
      <c r="B3559" s="1">
        <f>IFERROR(__xludf.DUMMYFUNCTION("""COMPUTED_VALUE"""),2347.66)</f>
        <v>2347.66</v>
      </c>
    </row>
    <row r="3560">
      <c r="A3560" s="2">
        <f>IFERROR(__xludf.DUMMYFUNCTION("""COMPUTED_VALUE"""),40963.666666666664)</f>
        <v>40963.66667</v>
      </c>
      <c r="B3560" s="1">
        <f>IFERROR(__xludf.DUMMYFUNCTION("""COMPUTED_VALUE"""),2352.03)</f>
        <v>2352.03</v>
      </c>
    </row>
    <row r="3561">
      <c r="A3561" s="2">
        <f>IFERROR(__xludf.DUMMYFUNCTION("""COMPUTED_VALUE"""),40966.666666666664)</f>
        <v>40966.66667</v>
      </c>
      <c r="B3561" s="1">
        <f>IFERROR(__xludf.DUMMYFUNCTION("""COMPUTED_VALUE"""),2355.52)</f>
        <v>2355.52</v>
      </c>
    </row>
    <row r="3562">
      <c r="A3562" s="2">
        <f>IFERROR(__xludf.DUMMYFUNCTION("""COMPUTED_VALUE"""),40967.666666666664)</f>
        <v>40967.66667</v>
      </c>
      <c r="B3562" s="1">
        <f>IFERROR(__xludf.DUMMYFUNCTION("""COMPUTED_VALUE"""),2363.65)</f>
        <v>2363.65</v>
      </c>
    </row>
    <row r="3563">
      <c r="A3563" s="2">
        <f>IFERROR(__xludf.DUMMYFUNCTION("""COMPUTED_VALUE"""),40968.666666666664)</f>
        <v>40968.66667</v>
      </c>
      <c r="B3563" s="1">
        <f>IFERROR(__xludf.DUMMYFUNCTION("""COMPUTED_VALUE"""),2352.84)</f>
        <v>2352.84</v>
      </c>
    </row>
    <row r="3564">
      <c r="A3564" s="2">
        <f>IFERROR(__xludf.DUMMYFUNCTION("""COMPUTED_VALUE"""),40969.666666666664)</f>
        <v>40969.66667</v>
      </c>
      <c r="B3564" s="1">
        <f>IFERROR(__xludf.DUMMYFUNCTION("""COMPUTED_VALUE"""),2367.72)</f>
        <v>2367.72</v>
      </c>
    </row>
    <row r="3565">
      <c r="A3565" s="2">
        <f>IFERROR(__xludf.DUMMYFUNCTION("""COMPUTED_VALUE"""),40970.666666666664)</f>
        <v>40970.66667</v>
      </c>
      <c r="B3565" s="1">
        <f>IFERROR(__xludf.DUMMYFUNCTION("""COMPUTED_VALUE"""),2360.19)</f>
        <v>2360.19</v>
      </c>
    </row>
    <row r="3566">
      <c r="A3566" s="2">
        <f>IFERROR(__xludf.DUMMYFUNCTION("""COMPUTED_VALUE"""),40973.666666666664)</f>
        <v>40973.66667</v>
      </c>
      <c r="B3566" s="1">
        <f>IFERROR(__xludf.DUMMYFUNCTION("""COMPUTED_VALUE"""),2351.15)</f>
        <v>2351.15</v>
      </c>
    </row>
    <row r="3567">
      <c r="A3567" s="2">
        <f>IFERROR(__xludf.DUMMYFUNCTION("""COMPUTED_VALUE"""),40974.666666666664)</f>
        <v>40974.66667</v>
      </c>
      <c r="B3567" s="1">
        <f>IFERROR(__xludf.DUMMYFUNCTION("""COMPUTED_VALUE"""),2315.13)</f>
        <v>2315.13</v>
      </c>
    </row>
    <row r="3568">
      <c r="A3568" s="2">
        <f>IFERROR(__xludf.DUMMYFUNCTION("""COMPUTED_VALUE"""),40975.666666666664)</f>
        <v>40975.66667</v>
      </c>
      <c r="B3568" s="1">
        <f>IFERROR(__xludf.DUMMYFUNCTION("""COMPUTED_VALUE"""),2331.19)</f>
        <v>2331.19</v>
      </c>
    </row>
    <row r="3569">
      <c r="A3569" s="2">
        <f>IFERROR(__xludf.DUMMYFUNCTION("""COMPUTED_VALUE"""),40976.666666666664)</f>
        <v>40976.66667</v>
      </c>
      <c r="B3569" s="1">
        <f>IFERROR(__xludf.DUMMYFUNCTION("""COMPUTED_VALUE"""),2354.79)</f>
        <v>2354.79</v>
      </c>
    </row>
    <row r="3570">
      <c r="A3570" s="2">
        <f>IFERROR(__xludf.DUMMYFUNCTION("""COMPUTED_VALUE"""),40977.666666666664)</f>
        <v>40977.66667</v>
      </c>
      <c r="B3570" s="1">
        <f>IFERROR(__xludf.DUMMYFUNCTION("""COMPUTED_VALUE"""),2363.57)</f>
        <v>2363.57</v>
      </c>
    </row>
    <row r="3571">
      <c r="A3571" s="2">
        <f>IFERROR(__xludf.DUMMYFUNCTION("""COMPUTED_VALUE"""),40980.666666666664)</f>
        <v>40980.66667</v>
      </c>
      <c r="B3571" s="1">
        <f>IFERROR(__xludf.DUMMYFUNCTION("""COMPUTED_VALUE"""),2363.94)</f>
        <v>2363.94</v>
      </c>
    </row>
    <row r="3572">
      <c r="A3572" s="2">
        <f>IFERROR(__xludf.DUMMYFUNCTION("""COMPUTED_VALUE"""),40981.666666666664)</f>
        <v>40981.66667</v>
      </c>
      <c r="B3572" s="1">
        <f>IFERROR(__xludf.DUMMYFUNCTION("""COMPUTED_VALUE"""),2406.97)</f>
        <v>2406.97</v>
      </c>
    </row>
    <row r="3573">
      <c r="A3573" s="2">
        <f>IFERROR(__xludf.DUMMYFUNCTION("""COMPUTED_VALUE"""),40982.666666666664)</f>
        <v>40982.66667</v>
      </c>
      <c r="B3573" s="1">
        <f>IFERROR(__xludf.DUMMYFUNCTION("""COMPUTED_VALUE"""),2404.91)</f>
        <v>2404.91</v>
      </c>
    </row>
    <row r="3574">
      <c r="A3574" s="2">
        <f>IFERROR(__xludf.DUMMYFUNCTION("""COMPUTED_VALUE"""),40983.666666666664)</f>
        <v>40983.66667</v>
      </c>
      <c r="B3574" s="1">
        <f>IFERROR(__xludf.DUMMYFUNCTION("""COMPUTED_VALUE"""),2419.34)</f>
        <v>2419.34</v>
      </c>
    </row>
    <row r="3575">
      <c r="A3575" s="2">
        <f>IFERROR(__xludf.DUMMYFUNCTION("""COMPUTED_VALUE"""),40984.666666666664)</f>
        <v>40984.66667</v>
      </c>
      <c r="B3575" s="1">
        <f>IFERROR(__xludf.DUMMYFUNCTION("""COMPUTED_VALUE"""),2422.08)</f>
        <v>2422.08</v>
      </c>
    </row>
    <row r="3576">
      <c r="A3576" s="2">
        <f>IFERROR(__xludf.DUMMYFUNCTION("""COMPUTED_VALUE"""),40987.666666666664)</f>
        <v>40987.66667</v>
      </c>
      <c r="B3576" s="1">
        <f>IFERROR(__xludf.DUMMYFUNCTION("""COMPUTED_VALUE"""),2431.72)</f>
        <v>2431.72</v>
      </c>
    </row>
    <row r="3577">
      <c r="A3577" s="2">
        <f>IFERROR(__xludf.DUMMYFUNCTION("""COMPUTED_VALUE"""),40988.666666666664)</f>
        <v>40988.66667</v>
      </c>
      <c r="B3577" s="1">
        <f>IFERROR(__xludf.DUMMYFUNCTION("""COMPUTED_VALUE"""),2424.44)</f>
        <v>2424.44</v>
      </c>
    </row>
    <row r="3578">
      <c r="A3578" s="2">
        <f>IFERROR(__xludf.DUMMYFUNCTION("""COMPUTED_VALUE"""),40989.666666666664)</f>
        <v>40989.66667</v>
      </c>
      <c r="B3578" s="1">
        <f>IFERROR(__xludf.DUMMYFUNCTION("""COMPUTED_VALUE"""),2419.93)</f>
        <v>2419.93</v>
      </c>
    </row>
    <row r="3579">
      <c r="A3579" s="2">
        <f>IFERROR(__xludf.DUMMYFUNCTION("""COMPUTED_VALUE"""),40990.666666666664)</f>
        <v>40990.66667</v>
      </c>
      <c r="B3579" s="1">
        <f>IFERROR(__xludf.DUMMYFUNCTION("""COMPUTED_VALUE"""),2402.57)</f>
        <v>2402.57</v>
      </c>
    </row>
    <row r="3580">
      <c r="A3580" s="2">
        <f>IFERROR(__xludf.DUMMYFUNCTION("""COMPUTED_VALUE"""),40991.666666666664)</f>
        <v>40991.66667</v>
      </c>
      <c r="B3580" s="1">
        <f>IFERROR(__xludf.DUMMYFUNCTION("""COMPUTED_VALUE"""),2410.17)</f>
        <v>2410.17</v>
      </c>
    </row>
    <row r="3581">
      <c r="A3581" s="2">
        <f>IFERROR(__xludf.DUMMYFUNCTION("""COMPUTED_VALUE"""),40994.666666666664)</f>
        <v>40994.66667</v>
      </c>
      <c r="B3581" s="1">
        <f>IFERROR(__xludf.DUMMYFUNCTION("""COMPUTED_VALUE"""),2443.64)</f>
        <v>2443.64</v>
      </c>
    </row>
    <row r="3582">
      <c r="A3582" s="2">
        <f>IFERROR(__xludf.DUMMYFUNCTION("""COMPUTED_VALUE"""),40995.666666666664)</f>
        <v>40995.66667</v>
      </c>
      <c r="B3582" s="1">
        <f>IFERROR(__xludf.DUMMYFUNCTION("""COMPUTED_VALUE"""),2436.75)</f>
        <v>2436.75</v>
      </c>
    </row>
    <row r="3583">
      <c r="A3583" s="2">
        <f>IFERROR(__xludf.DUMMYFUNCTION("""COMPUTED_VALUE"""),40996.666666666664)</f>
        <v>40996.66667</v>
      </c>
      <c r="B3583" s="1">
        <f>IFERROR(__xludf.DUMMYFUNCTION("""COMPUTED_VALUE"""),2424.97)</f>
        <v>2424.97</v>
      </c>
    </row>
    <row r="3584">
      <c r="A3584" s="2">
        <f>IFERROR(__xludf.DUMMYFUNCTION("""COMPUTED_VALUE"""),40997.666666666664)</f>
        <v>40997.66667</v>
      </c>
      <c r="B3584" s="1">
        <f>IFERROR(__xludf.DUMMYFUNCTION("""COMPUTED_VALUE"""),2421.65)</f>
        <v>2421.65</v>
      </c>
    </row>
    <row r="3585">
      <c r="A3585" s="2">
        <f>IFERROR(__xludf.DUMMYFUNCTION("""COMPUTED_VALUE"""),40998.666666666664)</f>
        <v>40998.66667</v>
      </c>
      <c r="B3585" s="1">
        <f>IFERROR(__xludf.DUMMYFUNCTION("""COMPUTED_VALUE"""),2430.67)</f>
        <v>2430.67</v>
      </c>
    </row>
    <row r="3586">
      <c r="A3586" s="2">
        <f>IFERROR(__xludf.DUMMYFUNCTION("""COMPUTED_VALUE"""),41001.666666666664)</f>
        <v>41001.66667</v>
      </c>
      <c r="B3586" s="1">
        <f>IFERROR(__xludf.DUMMYFUNCTION("""COMPUTED_VALUE"""),2448.68)</f>
        <v>2448.68</v>
      </c>
    </row>
    <row r="3587">
      <c r="A3587" s="2">
        <f>IFERROR(__xludf.DUMMYFUNCTION("""COMPUTED_VALUE"""),41002.666666666664)</f>
        <v>41002.66667</v>
      </c>
      <c r="B3587" s="1">
        <f>IFERROR(__xludf.DUMMYFUNCTION("""COMPUTED_VALUE"""),2439.18)</f>
        <v>2439.18</v>
      </c>
    </row>
    <row r="3588">
      <c r="A3588" s="2">
        <f>IFERROR(__xludf.DUMMYFUNCTION("""COMPUTED_VALUE"""),41003.666666666664)</f>
        <v>41003.66667</v>
      </c>
      <c r="B3588" s="1">
        <f>IFERROR(__xludf.DUMMYFUNCTION("""COMPUTED_VALUE"""),2414.99)</f>
        <v>2414.99</v>
      </c>
    </row>
    <row r="3589">
      <c r="A3589" s="2">
        <f>IFERROR(__xludf.DUMMYFUNCTION("""COMPUTED_VALUE"""),41004.666666666664)</f>
        <v>41004.66667</v>
      </c>
      <c r="B3589" s="1">
        <f>IFERROR(__xludf.DUMMYFUNCTION("""COMPUTED_VALUE"""),2413.53)</f>
        <v>2413.53</v>
      </c>
    </row>
    <row r="3590">
      <c r="A3590" s="2">
        <f>IFERROR(__xludf.DUMMYFUNCTION("""COMPUTED_VALUE"""),41008.666666666664)</f>
        <v>41008.66667</v>
      </c>
      <c r="B3590" s="1">
        <f>IFERROR(__xludf.DUMMYFUNCTION("""COMPUTED_VALUE"""),2386.97)</f>
        <v>2386.97</v>
      </c>
    </row>
    <row r="3591">
      <c r="A3591" s="2">
        <f>IFERROR(__xludf.DUMMYFUNCTION("""COMPUTED_VALUE"""),41009.666666666664)</f>
        <v>41009.66667</v>
      </c>
      <c r="B3591" s="1">
        <f>IFERROR(__xludf.DUMMYFUNCTION("""COMPUTED_VALUE"""),2346.25)</f>
        <v>2346.25</v>
      </c>
    </row>
    <row r="3592">
      <c r="A3592" s="2">
        <f>IFERROR(__xludf.DUMMYFUNCTION("""COMPUTED_VALUE"""),41010.666666666664)</f>
        <v>41010.66667</v>
      </c>
      <c r="B3592" s="1">
        <f>IFERROR(__xludf.DUMMYFUNCTION("""COMPUTED_VALUE"""),2363.74)</f>
        <v>2363.74</v>
      </c>
    </row>
    <row r="3593">
      <c r="A3593" s="2">
        <f>IFERROR(__xludf.DUMMYFUNCTION("""COMPUTED_VALUE"""),41011.666666666664)</f>
        <v>41011.66667</v>
      </c>
      <c r="B3593" s="1">
        <f>IFERROR(__xludf.DUMMYFUNCTION("""COMPUTED_VALUE"""),2396.67)</f>
        <v>2396.67</v>
      </c>
    </row>
    <row r="3594">
      <c r="A3594" s="2">
        <f>IFERROR(__xludf.DUMMYFUNCTION("""COMPUTED_VALUE"""),41012.666666666664)</f>
        <v>41012.66667</v>
      </c>
      <c r="B3594" s="1">
        <f>IFERROR(__xludf.DUMMYFUNCTION("""COMPUTED_VALUE"""),2366.8)</f>
        <v>2366.8</v>
      </c>
    </row>
    <row r="3595">
      <c r="A3595" s="2">
        <f>IFERROR(__xludf.DUMMYFUNCTION("""COMPUTED_VALUE"""),41015.666666666664)</f>
        <v>41015.66667</v>
      </c>
      <c r="B3595" s="1">
        <f>IFERROR(__xludf.DUMMYFUNCTION("""COMPUTED_VALUE"""),2365.65)</f>
        <v>2365.65</v>
      </c>
    </row>
    <row r="3596">
      <c r="A3596" s="2">
        <f>IFERROR(__xludf.DUMMYFUNCTION("""COMPUTED_VALUE"""),41016.666666666664)</f>
        <v>41016.66667</v>
      </c>
      <c r="B3596" s="1">
        <f>IFERROR(__xludf.DUMMYFUNCTION("""COMPUTED_VALUE"""),2402.29)</f>
        <v>2402.29</v>
      </c>
    </row>
    <row r="3597">
      <c r="A3597" s="2">
        <f>IFERROR(__xludf.DUMMYFUNCTION("""COMPUTED_VALUE"""),41017.666666666664)</f>
        <v>41017.66667</v>
      </c>
      <c r="B3597" s="1">
        <f>IFERROR(__xludf.DUMMYFUNCTION("""COMPUTED_VALUE"""),2392.55)</f>
        <v>2392.55</v>
      </c>
    </row>
    <row r="3598">
      <c r="A3598" s="2">
        <f>IFERROR(__xludf.DUMMYFUNCTION("""COMPUTED_VALUE"""),41018.666666666664)</f>
        <v>41018.66667</v>
      </c>
      <c r="B3598" s="1">
        <f>IFERROR(__xludf.DUMMYFUNCTION("""COMPUTED_VALUE"""),2378.36)</f>
        <v>2378.36</v>
      </c>
    </row>
    <row r="3599">
      <c r="A3599" s="2">
        <f>IFERROR(__xludf.DUMMYFUNCTION("""COMPUTED_VALUE"""),41019.666666666664)</f>
        <v>41019.66667</v>
      </c>
      <c r="B3599" s="1">
        <f>IFERROR(__xludf.DUMMYFUNCTION("""COMPUTED_VALUE"""),2381.26)</f>
        <v>2381.26</v>
      </c>
    </row>
    <row r="3600">
      <c r="A3600" s="2">
        <f>IFERROR(__xludf.DUMMYFUNCTION("""COMPUTED_VALUE"""),41022.666666666664)</f>
        <v>41022.66667</v>
      </c>
      <c r="B3600" s="1">
        <f>IFERROR(__xludf.DUMMYFUNCTION("""COMPUTED_VALUE"""),2361.3)</f>
        <v>2361.3</v>
      </c>
    </row>
    <row r="3601">
      <c r="A3601" s="2">
        <f>IFERROR(__xludf.DUMMYFUNCTION("""COMPUTED_VALUE"""),41023.666666666664)</f>
        <v>41023.66667</v>
      </c>
      <c r="B3601" s="1">
        <f>IFERROR(__xludf.DUMMYFUNCTION("""COMPUTED_VALUE"""),2370.04)</f>
        <v>2370.04</v>
      </c>
    </row>
    <row r="3602">
      <c r="A3602" s="2">
        <f>IFERROR(__xludf.DUMMYFUNCTION("""COMPUTED_VALUE"""),41024.666666666664)</f>
        <v>41024.66667</v>
      </c>
      <c r="B3602" s="1">
        <f>IFERROR(__xludf.DUMMYFUNCTION("""COMPUTED_VALUE"""),2402.37)</f>
        <v>2402.37</v>
      </c>
    </row>
    <row r="3603">
      <c r="A3603" s="2">
        <f>IFERROR(__xludf.DUMMYFUNCTION("""COMPUTED_VALUE"""),41025.666666666664)</f>
        <v>41025.66667</v>
      </c>
      <c r="B3603" s="1">
        <f>IFERROR(__xludf.DUMMYFUNCTION("""COMPUTED_VALUE"""),2418.76)</f>
        <v>2418.76</v>
      </c>
    </row>
    <row r="3604">
      <c r="A3604" s="2">
        <f>IFERROR(__xludf.DUMMYFUNCTION("""COMPUTED_VALUE"""),41026.666666666664)</f>
        <v>41026.66667</v>
      </c>
      <c r="B3604" s="1">
        <f>IFERROR(__xludf.DUMMYFUNCTION("""COMPUTED_VALUE"""),2424.73)</f>
        <v>2424.73</v>
      </c>
    </row>
    <row r="3605">
      <c r="A3605" s="2">
        <f>IFERROR(__xludf.DUMMYFUNCTION("""COMPUTED_VALUE"""),41029.666666666664)</f>
        <v>41029.66667</v>
      </c>
      <c r="B3605" s="1">
        <f>IFERROR(__xludf.DUMMYFUNCTION("""COMPUTED_VALUE"""),2415.37)</f>
        <v>2415.37</v>
      </c>
    </row>
    <row r="3606">
      <c r="A3606" s="2">
        <f>IFERROR(__xludf.DUMMYFUNCTION("""COMPUTED_VALUE"""),41030.666666666664)</f>
        <v>41030.66667</v>
      </c>
      <c r="B3606" s="1">
        <f>IFERROR(__xludf.DUMMYFUNCTION("""COMPUTED_VALUE"""),2429.08)</f>
        <v>2429.08</v>
      </c>
    </row>
    <row r="3607">
      <c r="A3607" s="2">
        <f>IFERROR(__xludf.DUMMYFUNCTION("""COMPUTED_VALUE"""),41031.666666666664)</f>
        <v>41031.66667</v>
      </c>
      <c r="B3607" s="1">
        <f>IFERROR(__xludf.DUMMYFUNCTION("""COMPUTED_VALUE"""),2423.02)</f>
        <v>2423.02</v>
      </c>
    </row>
    <row r="3608">
      <c r="A3608" s="2">
        <f>IFERROR(__xludf.DUMMYFUNCTION("""COMPUTED_VALUE"""),41032.666666666664)</f>
        <v>41032.66667</v>
      </c>
      <c r="B3608" s="1">
        <f>IFERROR(__xludf.DUMMYFUNCTION("""COMPUTED_VALUE"""),2404.74)</f>
        <v>2404.74</v>
      </c>
    </row>
    <row r="3609">
      <c r="A3609" s="2">
        <f>IFERROR(__xludf.DUMMYFUNCTION("""COMPUTED_VALUE"""),41033.666666666664)</f>
        <v>41033.66667</v>
      </c>
      <c r="B3609" s="1">
        <f>IFERROR(__xludf.DUMMYFUNCTION("""COMPUTED_VALUE"""),2366.33)</f>
        <v>2366.33</v>
      </c>
    </row>
    <row r="3610">
      <c r="A3610" s="2">
        <f>IFERROR(__xludf.DUMMYFUNCTION("""COMPUTED_VALUE"""),41036.666666666664)</f>
        <v>41036.66667</v>
      </c>
      <c r="B3610" s="1">
        <f>IFERROR(__xludf.DUMMYFUNCTION("""COMPUTED_VALUE"""),2367.22)</f>
        <v>2367.22</v>
      </c>
    </row>
    <row r="3611">
      <c r="A3611" s="2">
        <f>IFERROR(__xludf.DUMMYFUNCTION("""COMPUTED_VALUE"""),41037.666666666664)</f>
        <v>41037.66667</v>
      </c>
      <c r="B3611" s="1">
        <f>IFERROR(__xludf.DUMMYFUNCTION("""COMPUTED_VALUE"""),2357.13)</f>
        <v>2357.13</v>
      </c>
    </row>
    <row r="3612">
      <c r="A3612" s="2">
        <f>IFERROR(__xludf.DUMMYFUNCTION("""COMPUTED_VALUE"""),41038.666666666664)</f>
        <v>41038.66667</v>
      </c>
      <c r="B3612" s="1">
        <f>IFERROR(__xludf.DUMMYFUNCTION("""COMPUTED_VALUE"""),2341.65)</f>
        <v>2341.65</v>
      </c>
    </row>
    <row r="3613">
      <c r="A3613" s="2">
        <f>IFERROR(__xludf.DUMMYFUNCTION("""COMPUTED_VALUE"""),41039.666666666664)</f>
        <v>41039.66667</v>
      </c>
      <c r="B3613" s="1">
        <f>IFERROR(__xludf.DUMMYFUNCTION("""COMPUTED_VALUE"""),2348.21)</f>
        <v>2348.21</v>
      </c>
    </row>
    <row r="3614">
      <c r="A3614" s="2">
        <f>IFERROR(__xludf.DUMMYFUNCTION("""COMPUTED_VALUE"""),41040.666666666664)</f>
        <v>41040.66667</v>
      </c>
      <c r="B3614" s="1">
        <f>IFERROR(__xludf.DUMMYFUNCTION("""COMPUTED_VALUE"""),2340.97)</f>
        <v>2340.97</v>
      </c>
    </row>
    <row r="3615">
      <c r="A3615" s="2">
        <f>IFERROR(__xludf.DUMMYFUNCTION("""COMPUTED_VALUE"""),41043.666666666664)</f>
        <v>41043.66667</v>
      </c>
      <c r="B3615" s="1">
        <f>IFERROR(__xludf.DUMMYFUNCTION("""COMPUTED_VALUE"""),2315.21)</f>
        <v>2315.21</v>
      </c>
    </row>
    <row r="3616">
      <c r="A3616" s="2">
        <f>IFERROR(__xludf.DUMMYFUNCTION("""COMPUTED_VALUE"""),41044.666666666664)</f>
        <v>41044.66667</v>
      </c>
      <c r="B3616" s="1">
        <f>IFERROR(__xludf.DUMMYFUNCTION("""COMPUTED_VALUE"""),2302.15)</f>
        <v>2302.15</v>
      </c>
    </row>
    <row r="3617">
      <c r="A3617" s="2">
        <f>IFERROR(__xludf.DUMMYFUNCTION("""COMPUTED_VALUE"""),41045.666666666664)</f>
        <v>41045.66667</v>
      </c>
      <c r="B3617" s="1">
        <f>IFERROR(__xludf.DUMMYFUNCTION("""COMPUTED_VALUE"""),2292.42)</f>
        <v>2292.42</v>
      </c>
    </row>
    <row r="3618">
      <c r="A3618" s="2">
        <f>IFERROR(__xludf.DUMMYFUNCTION("""COMPUTED_VALUE"""),41046.666666666664)</f>
        <v>41046.66667</v>
      </c>
      <c r="B3618" s="1">
        <f>IFERROR(__xludf.DUMMYFUNCTION("""COMPUTED_VALUE"""),2258.69)</f>
        <v>2258.69</v>
      </c>
    </row>
    <row r="3619">
      <c r="A3619" s="2">
        <f>IFERROR(__xludf.DUMMYFUNCTION("""COMPUTED_VALUE"""),41047.666666666664)</f>
        <v>41047.66667</v>
      </c>
      <c r="B3619" s="1">
        <f>IFERROR(__xludf.DUMMYFUNCTION("""COMPUTED_VALUE"""),2242.24)</f>
        <v>2242.24</v>
      </c>
    </row>
    <row r="3620">
      <c r="A3620" s="2">
        <f>IFERROR(__xludf.DUMMYFUNCTION("""COMPUTED_VALUE"""),41050.666666666664)</f>
        <v>41050.66667</v>
      </c>
      <c r="B3620" s="1">
        <f>IFERROR(__xludf.DUMMYFUNCTION("""COMPUTED_VALUE"""),2278.21)</f>
        <v>2278.21</v>
      </c>
    </row>
    <row r="3621">
      <c r="A3621" s="2">
        <f>IFERROR(__xludf.DUMMYFUNCTION("""COMPUTED_VALUE"""),41051.666666666664)</f>
        <v>41051.66667</v>
      </c>
      <c r="B3621" s="1">
        <f>IFERROR(__xludf.DUMMYFUNCTION("""COMPUTED_VALUE"""),2279.35)</f>
        <v>2279.35</v>
      </c>
    </row>
    <row r="3622">
      <c r="A3622" s="2">
        <f>IFERROR(__xludf.DUMMYFUNCTION("""COMPUTED_VALUE"""),41052.666666666664)</f>
        <v>41052.66667</v>
      </c>
      <c r="B3622" s="1">
        <f>IFERROR(__xludf.DUMMYFUNCTION("""COMPUTED_VALUE"""),2283.27)</f>
        <v>2283.27</v>
      </c>
    </row>
    <row r="3623">
      <c r="A3623" s="2">
        <f>IFERROR(__xludf.DUMMYFUNCTION("""COMPUTED_VALUE"""),41053.666666666664)</f>
        <v>41053.66667</v>
      </c>
      <c r="B3623" s="1">
        <f>IFERROR(__xludf.DUMMYFUNCTION("""COMPUTED_VALUE"""),2286.51)</f>
        <v>2286.51</v>
      </c>
    </row>
    <row r="3624">
      <c r="A3624" s="2">
        <f>IFERROR(__xludf.DUMMYFUNCTION("""COMPUTED_VALUE"""),41054.666666666664)</f>
        <v>41054.66667</v>
      </c>
      <c r="B3624" s="1">
        <f>IFERROR(__xludf.DUMMYFUNCTION("""COMPUTED_VALUE"""),2281.92)</f>
        <v>2281.92</v>
      </c>
    </row>
    <row r="3625">
      <c r="A3625" s="2">
        <f>IFERROR(__xludf.DUMMYFUNCTION("""COMPUTED_VALUE"""),41058.666666666664)</f>
        <v>41058.66667</v>
      </c>
      <c r="B3625" s="1">
        <f>IFERROR(__xludf.DUMMYFUNCTION("""COMPUTED_VALUE"""),2307.2)</f>
        <v>2307.2</v>
      </c>
    </row>
    <row r="3626">
      <c r="A3626" s="2">
        <f>IFERROR(__xludf.DUMMYFUNCTION("""COMPUTED_VALUE"""),41059.666666666664)</f>
        <v>41059.66667</v>
      </c>
      <c r="B3626" s="1">
        <f>IFERROR(__xludf.DUMMYFUNCTION("""COMPUTED_VALUE"""),2274.49)</f>
        <v>2274.49</v>
      </c>
    </row>
    <row r="3627">
      <c r="A3627" s="2">
        <f>IFERROR(__xludf.DUMMYFUNCTION("""COMPUTED_VALUE"""),41060.666666666664)</f>
        <v>41060.66667</v>
      </c>
      <c r="B3627" s="1">
        <f>IFERROR(__xludf.DUMMYFUNCTION("""COMPUTED_VALUE"""),2270.01)</f>
        <v>2270.01</v>
      </c>
    </row>
    <row r="3628">
      <c r="A3628" s="2">
        <f>IFERROR(__xludf.DUMMYFUNCTION("""COMPUTED_VALUE"""),41061.666666666664)</f>
        <v>41061.66667</v>
      </c>
      <c r="B3628" s="1">
        <f>IFERROR(__xludf.DUMMYFUNCTION("""COMPUTED_VALUE"""),2214.41)</f>
        <v>2214.41</v>
      </c>
    </row>
    <row r="3629">
      <c r="A3629" s="2">
        <f>IFERROR(__xludf.DUMMYFUNCTION("""COMPUTED_VALUE"""),41064.666666666664)</f>
        <v>41064.66667</v>
      </c>
      <c r="B3629" s="1">
        <f>IFERROR(__xludf.DUMMYFUNCTION("""COMPUTED_VALUE"""),2214.7)</f>
        <v>2214.7</v>
      </c>
    </row>
    <row r="3630">
      <c r="A3630" s="2">
        <f>IFERROR(__xludf.DUMMYFUNCTION("""COMPUTED_VALUE"""),41065.666666666664)</f>
        <v>41065.66667</v>
      </c>
      <c r="B3630" s="1">
        <f>IFERROR(__xludf.DUMMYFUNCTION("""COMPUTED_VALUE"""),2227.45)</f>
        <v>2227.45</v>
      </c>
    </row>
    <row r="3631">
      <c r="A3631" s="2">
        <f>IFERROR(__xludf.DUMMYFUNCTION("""COMPUTED_VALUE"""),41066.666666666664)</f>
        <v>41066.66667</v>
      </c>
      <c r="B3631" s="1">
        <f>IFERROR(__xludf.DUMMYFUNCTION("""COMPUTED_VALUE"""),2279.42)</f>
        <v>2279.42</v>
      </c>
    </row>
    <row r="3632">
      <c r="A3632" s="2">
        <f>IFERROR(__xludf.DUMMYFUNCTION("""COMPUTED_VALUE"""),41067.666666666664)</f>
        <v>41067.66667</v>
      </c>
      <c r="B3632" s="1">
        <f>IFERROR(__xludf.DUMMYFUNCTION("""COMPUTED_VALUE"""),2279.28)</f>
        <v>2279.28</v>
      </c>
    </row>
    <row r="3633">
      <c r="A3633" s="2">
        <f>IFERROR(__xludf.DUMMYFUNCTION("""COMPUTED_VALUE"""),41068.666666666664)</f>
        <v>41068.66667</v>
      </c>
      <c r="B3633" s="1">
        <f>IFERROR(__xludf.DUMMYFUNCTION("""COMPUTED_VALUE"""),2297.82)</f>
        <v>2297.82</v>
      </c>
    </row>
    <row r="3634">
      <c r="A3634" s="2">
        <f>IFERROR(__xludf.DUMMYFUNCTION("""COMPUTED_VALUE"""),41071.666666666664)</f>
        <v>41071.66667</v>
      </c>
      <c r="B3634" s="1">
        <f>IFERROR(__xludf.DUMMYFUNCTION("""COMPUTED_VALUE"""),2268.94)</f>
        <v>2268.94</v>
      </c>
    </row>
    <row r="3635">
      <c r="A3635" s="2">
        <f>IFERROR(__xludf.DUMMYFUNCTION("""COMPUTED_VALUE"""),41072.666666666664)</f>
        <v>41072.66667</v>
      </c>
      <c r="B3635" s="1">
        <f>IFERROR(__xludf.DUMMYFUNCTION("""COMPUTED_VALUE"""),2295.4)</f>
        <v>2295.4</v>
      </c>
    </row>
    <row r="3636">
      <c r="A3636" s="2">
        <f>IFERROR(__xludf.DUMMYFUNCTION("""COMPUTED_VALUE"""),41073.666666666664)</f>
        <v>41073.66667</v>
      </c>
      <c r="B3636" s="1">
        <f>IFERROR(__xludf.DUMMYFUNCTION("""COMPUTED_VALUE"""),2280.13)</f>
        <v>2280.13</v>
      </c>
    </row>
    <row r="3637">
      <c r="A3637" s="2">
        <f>IFERROR(__xludf.DUMMYFUNCTION("""COMPUTED_VALUE"""),41074.666666666664)</f>
        <v>41074.66667</v>
      </c>
      <c r="B3637" s="1">
        <f>IFERROR(__xludf.DUMMYFUNCTION("""COMPUTED_VALUE"""),2304.83)</f>
        <v>2304.83</v>
      </c>
    </row>
    <row r="3638">
      <c r="A3638" s="2">
        <f>IFERROR(__xludf.DUMMYFUNCTION("""COMPUTED_VALUE"""),41075.666666666664)</f>
        <v>41075.66667</v>
      </c>
      <c r="B3638" s="1">
        <f>IFERROR(__xludf.DUMMYFUNCTION("""COMPUTED_VALUE"""),2328.66)</f>
        <v>2328.66</v>
      </c>
    </row>
    <row r="3639">
      <c r="A3639" s="2">
        <f>IFERROR(__xludf.DUMMYFUNCTION("""COMPUTED_VALUE"""),41078.666666666664)</f>
        <v>41078.66667</v>
      </c>
      <c r="B3639" s="1">
        <f>IFERROR(__xludf.DUMMYFUNCTION("""COMPUTED_VALUE"""),2332.07)</f>
        <v>2332.07</v>
      </c>
    </row>
    <row r="3640">
      <c r="A3640" s="2">
        <f>IFERROR(__xludf.DUMMYFUNCTION("""COMPUTED_VALUE"""),41079.666666666664)</f>
        <v>41079.66667</v>
      </c>
      <c r="B3640" s="1">
        <f>IFERROR(__xludf.DUMMYFUNCTION("""COMPUTED_VALUE"""),2355.01)</f>
        <v>2355.01</v>
      </c>
    </row>
    <row r="3641">
      <c r="A3641" s="2">
        <f>IFERROR(__xludf.DUMMYFUNCTION("""COMPUTED_VALUE"""),41080.666666666664)</f>
        <v>41080.66667</v>
      </c>
      <c r="B3641" s="1">
        <f>IFERROR(__xludf.DUMMYFUNCTION("""COMPUTED_VALUE"""),2351.14)</f>
        <v>2351.14</v>
      </c>
    </row>
    <row r="3642">
      <c r="A3642" s="2">
        <f>IFERROR(__xludf.DUMMYFUNCTION("""COMPUTED_VALUE"""),41081.666666666664)</f>
        <v>41081.66667</v>
      </c>
      <c r="B3642" s="1">
        <f>IFERROR(__xludf.DUMMYFUNCTION("""COMPUTED_VALUE"""),2299.16)</f>
        <v>2299.16</v>
      </c>
    </row>
    <row r="3643">
      <c r="A3643" s="2">
        <f>IFERROR(__xludf.DUMMYFUNCTION("""COMPUTED_VALUE"""),41082.666666666664)</f>
        <v>41082.66667</v>
      </c>
      <c r="B3643" s="1">
        <f>IFERROR(__xludf.DUMMYFUNCTION("""COMPUTED_VALUE"""),2315.65)</f>
        <v>2315.65</v>
      </c>
    </row>
    <row r="3644">
      <c r="A3644" s="2">
        <f>IFERROR(__xludf.DUMMYFUNCTION("""COMPUTED_VALUE"""),41085.666666666664)</f>
        <v>41085.66667</v>
      </c>
      <c r="B3644" s="1">
        <f>IFERROR(__xludf.DUMMYFUNCTION("""COMPUTED_VALUE"""),2278.98)</f>
        <v>2278.98</v>
      </c>
    </row>
    <row r="3645">
      <c r="A3645" s="2">
        <f>IFERROR(__xludf.DUMMYFUNCTION("""COMPUTED_VALUE"""),41086.666666666664)</f>
        <v>41086.66667</v>
      </c>
      <c r="B3645" s="1">
        <f>IFERROR(__xludf.DUMMYFUNCTION("""COMPUTED_VALUE"""),2289.86)</f>
        <v>2289.86</v>
      </c>
    </row>
    <row r="3646">
      <c r="A3646" s="2">
        <f>IFERROR(__xludf.DUMMYFUNCTION("""COMPUTED_VALUE"""),41087.666666666664)</f>
        <v>41087.66667</v>
      </c>
      <c r="B3646" s="1">
        <f>IFERROR(__xludf.DUMMYFUNCTION("""COMPUTED_VALUE"""),2310.98)</f>
        <v>2310.98</v>
      </c>
    </row>
    <row r="3647">
      <c r="A3647" s="2">
        <f>IFERROR(__xludf.DUMMYFUNCTION("""COMPUTED_VALUE"""),41088.666666666664)</f>
        <v>41088.66667</v>
      </c>
      <c r="B3647" s="1">
        <f>IFERROR(__xludf.DUMMYFUNCTION("""COMPUTED_VALUE"""),2306.22)</f>
        <v>2306.22</v>
      </c>
    </row>
    <row r="3648">
      <c r="A3648" s="2">
        <f>IFERROR(__xludf.DUMMYFUNCTION("""COMPUTED_VALUE"""),41089.666666666664)</f>
        <v>41089.66667</v>
      </c>
      <c r="B3648" s="1">
        <f>IFERROR(__xludf.DUMMYFUNCTION("""COMPUTED_VALUE"""),2363.79)</f>
        <v>2363.79</v>
      </c>
    </row>
    <row r="3649">
      <c r="A3649" s="2">
        <f>IFERROR(__xludf.DUMMYFUNCTION("""COMPUTED_VALUE"""),41092.666666666664)</f>
        <v>41092.66667</v>
      </c>
      <c r="B3649" s="1">
        <f>IFERROR(__xludf.DUMMYFUNCTION("""COMPUTED_VALUE"""),2369.75)</f>
        <v>2369.75</v>
      </c>
    </row>
    <row r="3650">
      <c r="A3650" s="2">
        <f>IFERROR(__xludf.DUMMYFUNCTION("""COMPUTED_VALUE"""),41093.666666666664)</f>
        <v>41093.66667</v>
      </c>
      <c r="B3650" s="1">
        <f>IFERROR(__xludf.DUMMYFUNCTION("""COMPUTED_VALUE"""),2385.06)</f>
        <v>2385.06</v>
      </c>
    </row>
    <row r="3651">
      <c r="A3651" s="2">
        <f>IFERROR(__xludf.DUMMYFUNCTION("""COMPUTED_VALUE"""),41095.666666666664)</f>
        <v>41095.66667</v>
      </c>
      <c r="B3651" s="1">
        <f>IFERROR(__xludf.DUMMYFUNCTION("""COMPUTED_VALUE"""),2373.91)</f>
        <v>2373.91</v>
      </c>
    </row>
    <row r="3652">
      <c r="A3652" s="2">
        <f>IFERROR(__xludf.DUMMYFUNCTION("""COMPUTED_VALUE"""),41096.666666666664)</f>
        <v>41096.66667</v>
      </c>
      <c r="B3652" s="1">
        <f>IFERROR(__xludf.DUMMYFUNCTION("""COMPUTED_VALUE"""),2352.34)</f>
        <v>2352.34</v>
      </c>
    </row>
    <row r="3653">
      <c r="A3653" s="2">
        <f>IFERROR(__xludf.DUMMYFUNCTION("""COMPUTED_VALUE"""),41099.666666666664)</f>
        <v>41099.66667</v>
      </c>
      <c r="B3653" s="1">
        <f>IFERROR(__xludf.DUMMYFUNCTION("""COMPUTED_VALUE"""),2348.52)</f>
        <v>2348.52</v>
      </c>
    </row>
    <row r="3654">
      <c r="A3654" s="2">
        <f>IFERROR(__xludf.DUMMYFUNCTION("""COMPUTED_VALUE"""),41100.666666666664)</f>
        <v>41100.66667</v>
      </c>
      <c r="B3654" s="1">
        <f>IFERROR(__xludf.DUMMYFUNCTION("""COMPUTED_VALUE"""),2329.46)</f>
        <v>2329.46</v>
      </c>
    </row>
    <row r="3655">
      <c r="A3655" s="2">
        <f>IFERROR(__xludf.DUMMYFUNCTION("""COMPUTED_VALUE"""),41101.666666666664)</f>
        <v>41101.66667</v>
      </c>
      <c r="B3655" s="1">
        <f>IFERROR(__xludf.DUMMYFUNCTION("""COMPUTED_VALUE"""),2329.71)</f>
        <v>2329.71</v>
      </c>
    </row>
    <row r="3656">
      <c r="A3656" s="2">
        <f>IFERROR(__xludf.DUMMYFUNCTION("""COMPUTED_VALUE"""),41102.666666666664)</f>
        <v>41102.66667</v>
      </c>
      <c r="B3656" s="1">
        <f>IFERROR(__xludf.DUMMYFUNCTION("""COMPUTED_VALUE"""),2318.09)</f>
        <v>2318.09</v>
      </c>
    </row>
    <row r="3657">
      <c r="A3657" s="2">
        <f>IFERROR(__xludf.DUMMYFUNCTION("""COMPUTED_VALUE"""),41103.666666666664)</f>
        <v>41103.66667</v>
      </c>
      <c r="B3657" s="1">
        <f>IFERROR(__xludf.DUMMYFUNCTION("""COMPUTED_VALUE"""),2356.4)</f>
        <v>2356.4</v>
      </c>
    </row>
    <row r="3658">
      <c r="A3658" s="2">
        <f>IFERROR(__xludf.DUMMYFUNCTION("""COMPUTED_VALUE"""),41106.666666666664)</f>
        <v>41106.66667</v>
      </c>
      <c r="B3658" s="1">
        <f>IFERROR(__xludf.DUMMYFUNCTION("""COMPUTED_VALUE"""),2350.94)</f>
        <v>2350.94</v>
      </c>
    </row>
    <row r="3659">
      <c r="A3659" s="2">
        <f>IFERROR(__xludf.DUMMYFUNCTION("""COMPUTED_VALUE"""),41107.666666666664)</f>
        <v>41107.66667</v>
      </c>
      <c r="B3659" s="1">
        <f>IFERROR(__xludf.DUMMYFUNCTION("""COMPUTED_VALUE"""),2368.36)</f>
        <v>2368.36</v>
      </c>
    </row>
    <row r="3660">
      <c r="A3660" s="2">
        <f>IFERROR(__xludf.DUMMYFUNCTION("""COMPUTED_VALUE"""),41108.666666666664)</f>
        <v>41108.66667</v>
      </c>
      <c r="B3660" s="1">
        <f>IFERROR(__xludf.DUMMYFUNCTION("""COMPUTED_VALUE"""),2384.54)</f>
        <v>2384.54</v>
      </c>
    </row>
    <row r="3661">
      <c r="A3661" s="2">
        <f>IFERROR(__xludf.DUMMYFUNCTION("""COMPUTED_VALUE"""),41109.666666666664)</f>
        <v>41109.66667</v>
      </c>
      <c r="B3661" s="1">
        <f>IFERROR(__xludf.DUMMYFUNCTION("""COMPUTED_VALUE"""),2391.27)</f>
        <v>2391.27</v>
      </c>
    </row>
    <row r="3662">
      <c r="A3662" s="2">
        <f>IFERROR(__xludf.DUMMYFUNCTION("""COMPUTED_VALUE"""),41110.666666666664)</f>
        <v>41110.66667</v>
      </c>
      <c r="B3662" s="1">
        <f>IFERROR(__xludf.DUMMYFUNCTION("""COMPUTED_VALUE"""),2367.26)</f>
        <v>2367.26</v>
      </c>
    </row>
    <row r="3663">
      <c r="A3663" s="2">
        <f>IFERROR(__xludf.DUMMYFUNCTION("""COMPUTED_VALUE"""),41113.666666666664)</f>
        <v>41113.66667</v>
      </c>
      <c r="B3663" s="1">
        <f>IFERROR(__xludf.DUMMYFUNCTION("""COMPUTED_VALUE"""),2346.22)</f>
        <v>2346.22</v>
      </c>
    </row>
    <row r="3664">
      <c r="A3664" s="2">
        <f>IFERROR(__xludf.DUMMYFUNCTION("""COMPUTED_VALUE"""),41114.666666666664)</f>
        <v>41114.66667</v>
      </c>
      <c r="B3664" s="1">
        <f>IFERROR(__xludf.DUMMYFUNCTION("""COMPUTED_VALUE"""),2325.02)</f>
        <v>2325.02</v>
      </c>
    </row>
    <row r="3665">
      <c r="A3665" s="2">
        <f>IFERROR(__xludf.DUMMYFUNCTION("""COMPUTED_VALUE"""),41115.666666666664)</f>
        <v>41115.66667</v>
      </c>
      <c r="B3665" s="1">
        <f>IFERROR(__xludf.DUMMYFUNCTION("""COMPUTED_VALUE"""),2324.33)</f>
        <v>2324.33</v>
      </c>
    </row>
    <row r="3666">
      <c r="A3666" s="2">
        <f>IFERROR(__xludf.DUMMYFUNCTION("""COMPUTED_VALUE"""),41116.666666666664)</f>
        <v>41116.66667</v>
      </c>
      <c r="B3666" s="1">
        <f>IFERROR(__xludf.DUMMYFUNCTION("""COMPUTED_VALUE"""),2362.85)</f>
        <v>2362.85</v>
      </c>
    </row>
    <row r="3667">
      <c r="A3667" s="2">
        <f>IFERROR(__xludf.DUMMYFUNCTION("""COMPUTED_VALUE"""),41117.666666666664)</f>
        <v>41117.66667</v>
      </c>
      <c r="B3667" s="1">
        <f>IFERROR(__xludf.DUMMYFUNCTION("""COMPUTED_VALUE"""),2408.07)</f>
        <v>2408.07</v>
      </c>
    </row>
    <row r="3668">
      <c r="A3668" s="2">
        <f>IFERROR(__xludf.DUMMYFUNCTION("""COMPUTED_VALUE"""),41120.666666666664)</f>
        <v>41120.66667</v>
      </c>
      <c r="B3668" s="1">
        <f>IFERROR(__xludf.DUMMYFUNCTION("""COMPUTED_VALUE"""),2406.99)</f>
        <v>2406.99</v>
      </c>
    </row>
    <row r="3669">
      <c r="A3669" s="2">
        <f>IFERROR(__xludf.DUMMYFUNCTION("""COMPUTED_VALUE"""),41121.666666666664)</f>
        <v>41121.66667</v>
      </c>
      <c r="B3669" s="1">
        <f>IFERROR(__xludf.DUMMYFUNCTION("""COMPUTED_VALUE"""),2396.62)</f>
        <v>2396.62</v>
      </c>
    </row>
    <row r="3670">
      <c r="A3670" s="2">
        <f>IFERROR(__xludf.DUMMYFUNCTION("""COMPUTED_VALUE"""),41122.666666666664)</f>
        <v>41122.66667</v>
      </c>
      <c r="B3670" s="1">
        <f>IFERROR(__xludf.DUMMYFUNCTION("""COMPUTED_VALUE"""),2389.73)</f>
        <v>2389.73</v>
      </c>
    </row>
    <row r="3671">
      <c r="A3671" s="2">
        <f>IFERROR(__xludf.DUMMYFUNCTION("""COMPUTED_VALUE"""),41123.666666666664)</f>
        <v>41123.66667</v>
      </c>
      <c r="B3671" s="1">
        <f>IFERROR(__xludf.DUMMYFUNCTION("""COMPUTED_VALUE"""),2372.31)</f>
        <v>2372.31</v>
      </c>
    </row>
    <row r="3672">
      <c r="A3672" s="2">
        <f>IFERROR(__xludf.DUMMYFUNCTION("""COMPUTED_VALUE"""),41124.666666666664)</f>
        <v>41124.66667</v>
      </c>
      <c r="B3672" s="1">
        <f>IFERROR(__xludf.DUMMYFUNCTION("""COMPUTED_VALUE"""),2417.77)</f>
        <v>2417.77</v>
      </c>
    </row>
    <row r="3673">
      <c r="A3673" s="2">
        <f>IFERROR(__xludf.DUMMYFUNCTION("""COMPUTED_VALUE"""),41127.666666666664)</f>
        <v>41127.66667</v>
      </c>
      <c r="B3673" s="1">
        <f>IFERROR(__xludf.DUMMYFUNCTION("""COMPUTED_VALUE"""),2423.46)</f>
        <v>2423.46</v>
      </c>
    </row>
    <row r="3674">
      <c r="A3674" s="2">
        <f>IFERROR(__xludf.DUMMYFUNCTION("""COMPUTED_VALUE"""),41128.666666666664)</f>
        <v>41128.66667</v>
      </c>
      <c r="B3674" s="1">
        <f>IFERROR(__xludf.DUMMYFUNCTION("""COMPUTED_VALUE"""),2435.88)</f>
        <v>2435.88</v>
      </c>
    </row>
    <row r="3675">
      <c r="A3675" s="2">
        <f>IFERROR(__xludf.DUMMYFUNCTION("""COMPUTED_VALUE"""),41129.666666666664)</f>
        <v>41129.66667</v>
      </c>
      <c r="B3675" s="1">
        <f>IFERROR(__xludf.DUMMYFUNCTION("""COMPUTED_VALUE"""),2438.16)</f>
        <v>2438.16</v>
      </c>
    </row>
    <row r="3676">
      <c r="A3676" s="2">
        <f>IFERROR(__xludf.DUMMYFUNCTION("""COMPUTED_VALUE"""),41130.666666666664)</f>
        <v>41130.66667</v>
      </c>
      <c r="B3676" s="1">
        <f>IFERROR(__xludf.DUMMYFUNCTION("""COMPUTED_VALUE"""),2440.23)</f>
        <v>2440.23</v>
      </c>
    </row>
    <row r="3677">
      <c r="A3677" s="2">
        <f>IFERROR(__xludf.DUMMYFUNCTION("""COMPUTED_VALUE"""),41131.666666666664)</f>
        <v>41131.66667</v>
      </c>
      <c r="B3677" s="1">
        <f>IFERROR(__xludf.DUMMYFUNCTION("""COMPUTED_VALUE"""),2445.64)</f>
        <v>2445.64</v>
      </c>
    </row>
    <row r="3678">
      <c r="A3678" s="2">
        <f>IFERROR(__xludf.DUMMYFUNCTION("""COMPUTED_VALUE"""),41134.666666666664)</f>
        <v>41134.66667</v>
      </c>
      <c r="B3678" s="1">
        <f>IFERROR(__xludf.DUMMYFUNCTION("""COMPUTED_VALUE"""),2443.05)</f>
        <v>2443.05</v>
      </c>
    </row>
    <row r="3679">
      <c r="A3679" s="2">
        <f>IFERROR(__xludf.DUMMYFUNCTION("""COMPUTED_VALUE"""),41135.666666666664)</f>
        <v>41135.66667</v>
      </c>
      <c r="B3679" s="1">
        <f>IFERROR(__xludf.DUMMYFUNCTION("""COMPUTED_VALUE"""),2443.16)</f>
        <v>2443.16</v>
      </c>
    </row>
    <row r="3680">
      <c r="A3680" s="2">
        <f>IFERROR(__xludf.DUMMYFUNCTION("""COMPUTED_VALUE"""),41136.666666666664)</f>
        <v>41136.66667</v>
      </c>
      <c r="B3680" s="1">
        <f>IFERROR(__xludf.DUMMYFUNCTION("""COMPUTED_VALUE"""),2446.82)</f>
        <v>2446.82</v>
      </c>
    </row>
    <row r="3681">
      <c r="A3681" s="2">
        <f>IFERROR(__xludf.DUMMYFUNCTION("""COMPUTED_VALUE"""),41137.666666666664)</f>
        <v>41137.66667</v>
      </c>
      <c r="B3681" s="1">
        <f>IFERROR(__xludf.DUMMYFUNCTION("""COMPUTED_VALUE"""),2464.38)</f>
        <v>2464.38</v>
      </c>
    </row>
    <row r="3682">
      <c r="A3682" s="2">
        <f>IFERROR(__xludf.DUMMYFUNCTION("""COMPUTED_VALUE"""),41138.666666666664)</f>
        <v>41138.66667</v>
      </c>
      <c r="B3682" s="1">
        <f>IFERROR(__xludf.DUMMYFUNCTION("""COMPUTED_VALUE"""),2469.0)</f>
        <v>2469</v>
      </c>
    </row>
    <row r="3683">
      <c r="A3683" s="2">
        <f>IFERROR(__xludf.DUMMYFUNCTION("""COMPUTED_VALUE"""),41141.666666666664)</f>
        <v>41141.66667</v>
      </c>
      <c r="B3683" s="1">
        <f>IFERROR(__xludf.DUMMYFUNCTION("""COMPUTED_VALUE"""),2468.99)</f>
        <v>2468.99</v>
      </c>
    </row>
    <row r="3684">
      <c r="A3684" s="2">
        <f>IFERROR(__xludf.DUMMYFUNCTION("""COMPUTED_VALUE"""),41142.666666666664)</f>
        <v>41142.66667</v>
      </c>
      <c r="B3684" s="1">
        <f>IFERROR(__xludf.DUMMYFUNCTION("""COMPUTED_VALUE"""),2460.41)</f>
        <v>2460.41</v>
      </c>
    </row>
    <row r="3685">
      <c r="A3685" s="2">
        <f>IFERROR(__xludf.DUMMYFUNCTION("""COMPUTED_VALUE"""),41143.666666666664)</f>
        <v>41143.66667</v>
      </c>
      <c r="B3685" s="1">
        <f>IFERROR(__xludf.DUMMYFUNCTION("""COMPUTED_VALUE"""),2461.12)</f>
        <v>2461.12</v>
      </c>
    </row>
    <row r="3686">
      <c r="A3686" s="2">
        <f>IFERROR(__xludf.DUMMYFUNCTION("""COMPUTED_VALUE"""),41144.666666666664)</f>
        <v>41144.66667</v>
      </c>
      <c r="B3686" s="1">
        <f>IFERROR(__xludf.DUMMYFUNCTION("""COMPUTED_VALUE"""),2441.29)</f>
        <v>2441.29</v>
      </c>
    </row>
    <row r="3687">
      <c r="A3687" s="2">
        <f>IFERROR(__xludf.DUMMYFUNCTION("""COMPUTED_VALUE"""),41145.666666666664)</f>
        <v>41145.66667</v>
      </c>
      <c r="B3687" s="1">
        <f>IFERROR(__xludf.DUMMYFUNCTION("""COMPUTED_VALUE"""),2457.4)</f>
        <v>2457.4</v>
      </c>
    </row>
    <row r="3688">
      <c r="A3688" s="2">
        <f>IFERROR(__xludf.DUMMYFUNCTION("""COMPUTED_VALUE"""),41148.666666666664)</f>
        <v>41148.66667</v>
      </c>
      <c r="B3688" s="1">
        <f>IFERROR(__xludf.DUMMYFUNCTION("""COMPUTED_VALUE"""),2456.22)</f>
        <v>2456.22</v>
      </c>
    </row>
    <row r="3689">
      <c r="A3689" s="2">
        <f>IFERROR(__xludf.DUMMYFUNCTION("""COMPUTED_VALUE"""),41149.666666666664)</f>
        <v>41149.66667</v>
      </c>
      <c r="B3689" s="1">
        <f>IFERROR(__xludf.DUMMYFUNCTION("""COMPUTED_VALUE"""),2454.39)</f>
        <v>2454.39</v>
      </c>
    </row>
    <row r="3690">
      <c r="A3690" s="2">
        <f>IFERROR(__xludf.DUMMYFUNCTION("""COMPUTED_VALUE"""),41150.666666666664)</f>
        <v>41150.66667</v>
      </c>
      <c r="B3690" s="1">
        <f>IFERROR(__xludf.DUMMYFUNCTION("""COMPUTED_VALUE"""),2457.05)</f>
        <v>2457.05</v>
      </c>
    </row>
    <row r="3691">
      <c r="A3691" s="2">
        <f>IFERROR(__xludf.DUMMYFUNCTION("""COMPUTED_VALUE"""),41151.666666666664)</f>
        <v>41151.66667</v>
      </c>
      <c r="B3691" s="1">
        <f>IFERROR(__xludf.DUMMYFUNCTION("""COMPUTED_VALUE"""),2438.2)</f>
        <v>2438.2</v>
      </c>
    </row>
    <row r="3692">
      <c r="A3692" s="2">
        <f>IFERROR(__xludf.DUMMYFUNCTION("""COMPUTED_VALUE"""),41152.666666666664)</f>
        <v>41152.66667</v>
      </c>
      <c r="B3692" s="1">
        <f>IFERROR(__xludf.DUMMYFUNCTION("""COMPUTED_VALUE"""),2450.6)</f>
        <v>2450.6</v>
      </c>
    </row>
    <row r="3693">
      <c r="A3693" s="2">
        <f>IFERROR(__xludf.DUMMYFUNCTION("""COMPUTED_VALUE"""),41156.666666666664)</f>
        <v>41156.66667</v>
      </c>
      <c r="B3693" s="1">
        <f>IFERROR(__xludf.DUMMYFUNCTION("""COMPUTED_VALUE"""),2447.8)</f>
        <v>2447.8</v>
      </c>
    </row>
    <row r="3694">
      <c r="A3694" s="2">
        <f>IFERROR(__xludf.DUMMYFUNCTION("""COMPUTED_VALUE"""),41157.666666666664)</f>
        <v>41157.66667</v>
      </c>
      <c r="B3694" s="1">
        <f>IFERROR(__xludf.DUMMYFUNCTION("""COMPUTED_VALUE"""),2445.81)</f>
        <v>2445.81</v>
      </c>
    </row>
    <row r="3695">
      <c r="A3695" s="2">
        <f>IFERROR(__xludf.DUMMYFUNCTION("""COMPUTED_VALUE"""),41158.666666666664)</f>
        <v>41158.66667</v>
      </c>
      <c r="B3695" s="1">
        <f>IFERROR(__xludf.DUMMYFUNCTION("""COMPUTED_VALUE"""),2496.12)</f>
        <v>2496.12</v>
      </c>
    </row>
    <row r="3696">
      <c r="A3696" s="2">
        <f>IFERROR(__xludf.DUMMYFUNCTION("""COMPUTED_VALUE"""),41159.666666666664)</f>
        <v>41159.66667</v>
      </c>
      <c r="B3696" s="1">
        <f>IFERROR(__xludf.DUMMYFUNCTION("""COMPUTED_VALUE"""),2506.37)</f>
        <v>2506.37</v>
      </c>
    </row>
    <row r="3697">
      <c r="A3697" s="2">
        <f>IFERROR(__xludf.DUMMYFUNCTION("""COMPUTED_VALUE"""),41162.666666666664)</f>
        <v>41162.66667</v>
      </c>
      <c r="B3697" s="1">
        <f>IFERROR(__xludf.DUMMYFUNCTION("""COMPUTED_VALUE"""),2491.11)</f>
        <v>2491.11</v>
      </c>
    </row>
    <row r="3698">
      <c r="A3698" s="2">
        <f>IFERROR(__xludf.DUMMYFUNCTION("""COMPUTED_VALUE"""),41163.666666666664)</f>
        <v>41163.66667</v>
      </c>
      <c r="B3698" s="1">
        <f>IFERROR(__xludf.DUMMYFUNCTION("""COMPUTED_VALUE"""),2498.95)</f>
        <v>2498.95</v>
      </c>
    </row>
    <row r="3699">
      <c r="A3699" s="2">
        <f>IFERROR(__xludf.DUMMYFUNCTION("""COMPUTED_VALUE"""),41164.666666666664)</f>
        <v>41164.66667</v>
      </c>
      <c r="B3699" s="1">
        <f>IFERROR(__xludf.DUMMYFUNCTION("""COMPUTED_VALUE"""),2504.84)</f>
        <v>2504.84</v>
      </c>
    </row>
    <row r="3700">
      <c r="A3700" s="2">
        <f>IFERROR(__xludf.DUMMYFUNCTION("""COMPUTED_VALUE"""),41165.666666666664)</f>
        <v>41165.66667</v>
      </c>
      <c r="B3700" s="1">
        <f>IFERROR(__xludf.DUMMYFUNCTION("""COMPUTED_VALUE"""),2546.03)</f>
        <v>2546.03</v>
      </c>
    </row>
    <row r="3701">
      <c r="A3701" s="2">
        <f>IFERROR(__xludf.DUMMYFUNCTION("""COMPUTED_VALUE"""),41166.666666666664)</f>
        <v>41166.66667</v>
      </c>
      <c r="B3701" s="1">
        <f>IFERROR(__xludf.DUMMYFUNCTION("""COMPUTED_VALUE"""),2556.13)</f>
        <v>2556.13</v>
      </c>
    </row>
    <row r="3702">
      <c r="A3702" s="2">
        <f>IFERROR(__xludf.DUMMYFUNCTION("""COMPUTED_VALUE"""),41169.666666666664)</f>
        <v>41169.66667</v>
      </c>
      <c r="B3702" s="1">
        <f>IFERROR(__xludf.DUMMYFUNCTION("""COMPUTED_VALUE"""),2548.26)</f>
        <v>2548.26</v>
      </c>
    </row>
    <row r="3703">
      <c r="A3703" s="2">
        <f>IFERROR(__xludf.DUMMYFUNCTION("""COMPUTED_VALUE"""),41170.666666666664)</f>
        <v>41170.66667</v>
      </c>
      <c r="B3703" s="1">
        <f>IFERROR(__xludf.DUMMYFUNCTION("""COMPUTED_VALUE"""),2545.05)</f>
        <v>2545.05</v>
      </c>
    </row>
    <row r="3704">
      <c r="A3704" s="2">
        <f>IFERROR(__xludf.DUMMYFUNCTION("""COMPUTED_VALUE"""),41171.666666666664)</f>
        <v>41171.66667</v>
      </c>
      <c r="B3704" s="1">
        <f>IFERROR(__xludf.DUMMYFUNCTION("""COMPUTED_VALUE"""),2548.11)</f>
        <v>2548.11</v>
      </c>
    </row>
    <row r="3705">
      <c r="A3705" s="2">
        <f>IFERROR(__xludf.DUMMYFUNCTION("""COMPUTED_VALUE"""),41172.666666666664)</f>
        <v>41172.66667</v>
      </c>
      <c r="B3705" s="1">
        <f>IFERROR(__xludf.DUMMYFUNCTION("""COMPUTED_VALUE"""),2547.11)</f>
        <v>2547.11</v>
      </c>
    </row>
    <row r="3706">
      <c r="A3706" s="2">
        <f>IFERROR(__xludf.DUMMYFUNCTION("""COMPUTED_VALUE"""),41173.666666666664)</f>
        <v>41173.66667</v>
      </c>
      <c r="B3706" s="1">
        <f>IFERROR(__xludf.DUMMYFUNCTION("""COMPUTED_VALUE"""),2546.92)</f>
        <v>2546.92</v>
      </c>
    </row>
    <row r="3707">
      <c r="A3707" s="2">
        <f>IFERROR(__xludf.DUMMYFUNCTION("""COMPUTED_VALUE"""),41176.666666666664)</f>
        <v>41176.66667</v>
      </c>
      <c r="B3707" s="1">
        <f>IFERROR(__xludf.DUMMYFUNCTION("""COMPUTED_VALUE"""),2541.23)</f>
        <v>2541.23</v>
      </c>
    </row>
    <row r="3708">
      <c r="A3708" s="2">
        <f>IFERROR(__xludf.DUMMYFUNCTION("""COMPUTED_VALUE"""),41177.666666666664)</f>
        <v>41177.66667</v>
      </c>
      <c r="B3708" s="1">
        <f>IFERROR(__xludf.DUMMYFUNCTION("""COMPUTED_VALUE"""),2514.83)</f>
        <v>2514.83</v>
      </c>
    </row>
    <row r="3709">
      <c r="A3709" s="2">
        <f>IFERROR(__xludf.DUMMYFUNCTION("""COMPUTED_VALUE"""),41178.666666666664)</f>
        <v>41178.66667</v>
      </c>
      <c r="B3709" s="1">
        <f>IFERROR(__xludf.DUMMYFUNCTION("""COMPUTED_VALUE"""),2500.92)</f>
        <v>2500.92</v>
      </c>
    </row>
    <row r="3710">
      <c r="A3710" s="2">
        <f>IFERROR(__xludf.DUMMYFUNCTION("""COMPUTED_VALUE"""),41179.666666666664)</f>
        <v>41179.66667</v>
      </c>
      <c r="B3710" s="1">
        <f>IFERROR(__xludf.DUMMYFUNCTION("""COMPUTED_VALUE"""),2525.23)</f>
        <v>2525.23</v>
      </c>
    </row>
    <row r="3711">
      <c r="A3711" s="2">
        <f>IFERROR(__xludf.DUMMYFUNCTION("""COMPUTED_VALUE"""),41180.666666666664)</f>
        <v>41180.66667</v>
      </c>
      <c r="B3711" s="1">
        <f>IFERROR(__xludf.DUMMYFUNCTION("""COMPUTED_VALUE"""),2513.93)</f>
        <v>2513.93</v>
      </c>
    </row>
    <row r="3712">
      <c r="A3712" s="2">
        <f>IFERROR(__xludf.DUMMYFUNCTION("""COMPUTED_VALUE"""),41183.666666666664)</f>
        <v>41183.66667</v>
      </c>
      <c r="B3712" s="1">
        <f>IFERROR(__xludf.DUMMYFUNCTION("""COMPUTED_VALUE"""),2520.71)</f>
        <v>2520.71</v>
      </c>
    </row>
    <row r="3713">
      <c r="A3713" s="2">
        <f>IFERROR(__xludf.DUMMYFUNCTION("""COMPUTED_VALUE"""),41184.666666666664)</f>
        <v>41184.66667</v>
      </c>
      <c r="B3713" s="1">
        <f>IFERROR(__xludf.DUMMYFUNCTION("""COMPUTED_VALUE"""),2523.08)</f>
        <v>2523.08</v>
      </c>
    </row>
    <row r="3714">
      <c r="A3714" s="2">
        <f>IFERROR(__xludf.DUMMYFUNCTION("""COMPUTED_VALUE"""),41185.666666666664)</f>
        <v>41185.66667</v>
      </c>
      <c r="B3714" s="1">
        <f>IFERROR(__xludf.DUMMYFUNCTION("""COMPUTED_VALUE"""),2532.79)</f>
        <v>2532.79</v>
      </c>
    </row>
    <row r="3715">
      <c r="A3715" s="2">
        <f>IFERROR(__xludf.DUMMYFUNCTION("""COMPUTED_VALUE"""),41186.666666666664)</f>
        <v>41186.66667</v>
      </c>
      <c r="B3715" s="1">
        <f>IFERROR(__xludf.DUMMYFUNCTION("""COMPUTED_VALUE"""),2550.98)</f>
        <v>2550.98</v>
      </c>
    </row>
    <row r="3716">
      <c r="A3716" s="2">
        <f>IFERROR(__xludf.DUMMYFUNCTION("""COMPUTED_VALUE"""),41187.666666666664)</f>
        <v>41187.66667</v>
      </c>
      <c r="B3716" s="1">
        <f>IFERROR(__xludf.DUMMYFUNCTION("""COMPUTED_VALUE"""),2551.03)</f>
        <v>2551.03</v>
      </c>
    </row>
    <row r="3717">
      <c r="A3717" s="2">
        <f>IFERROR(__xludf.DUMMYFUNCTION("""COMPUTED_VALUE"""),41190.666666666664)</f>
        <v>41190.66667</v>
      </c>
      <c r="B3717" s="1">
        <f>IFERROR(__xludf.DUMMYFUNCTION("""COMPUTED_VALUE"""),2542.21)</f>
        <v>2542.21</v>
      </c>
    </row>
    <row r="3718">
      <c r="A3718" s="2">
        <f>IFERROR(__xludf.DUMMYFUNCTION("""COMPUTED_VALUE"""),41191.666666666664)</f>
        <v>41191.66667</v>
      </c>
      <c r="B3718" s="1">
        <f>IFERROR(__xludf.DUMMYFUNCTION("""COMPUTED_VALUE"""),2517.14)</f>
        <v>2517.14</v>
      </c>
    </row>
    <row r="3719">
      <c r="A3719" s="2">
        <f>IFERROR(__xludf.DUMMYFUNCTION("""COMPUTED_VALUE"""),41192.666666666664)</f>
        <v>41192.66667</v>
      </c>
      <c r="B3719" s="1">
        <f>IFERROR(__xludf.DUMMYFUNCTION("""COMPUTED_VALUE"""),2501.75)</f>
        <v>2501.75</v>
      </c>
    </row>
    <row r="3720">
      <c r="A3720" s="2">
        <f>IFERROR(__xludf.DUMMYFUNCTION("""COMPUTED_VALUE"""),41193.666666666664)</f>
        <v>41193.66667</v>
      </c>
      <c r="B3720" s="1">
        <f>IFERROR(__xludf.DUMMYFUNCTION("""COMPUTED_VALUE"""),2502.66)</f>
        <v>2502.66</v>
      </c>
    </row>
    <row r="3721">
      <c r="A3721" s="2">
        <f>IFERROR(__xludf.DUMMYFUNCTION("""COMPUTED_VALUE"""),41194.666666666664)</f>
        <v>41194.66667</v>
      </c>
      <c r="B3721" s="1">
        <f>IFERROR(__xludf.DUMMYFUNCTION("""COMPUTED_VALUE"""),2495.28)</f>
        <v>2495.28</v>
      </c>
    </row>
    <row r="3722">
      <c r="A3722" s="2">
        <f>IFERROR(__xludf.DUMMYFUNCTION("""COMPUTED_VALUE"""),41197.666666666664)</f>
        <v>41197.66667</v>
      </c>
      <c r="B3722" s="1">
        <f>IFERROR(__xludf.DUMMYFUNCTION("""COMPUTED_VALUE"""),2515.44)</f>
        <v>2515.44</v>
      </c>
    </row>
    <row r="3723">
      <c r="A3723" s="2">
        <f>IFERROR(__xludf.DUMMYFUNCTION("""COMPUTED_VALUE"""),41198.666666666664)</f>
        <v>41198.66667</v>
      </c>
      <c r="B3723" s="1">
        <f>IFERROR(__xludf.DUMMYFUNCTION("""COMPUTED_VALUE"""),2541.28)</f>
        <v>2541.28</v>
      </c>
    </row>
    <row r="3724">
      <c r="A3724" s="2">
        <f>IFERROR(__xludf.DUMMYFUNCTION("""COMPUTED_VALUE"""),41199.666666666664)</f>
        <v>41199.66667</v>
      </c>
      <c r="B3724" s="1">
        <f>IFERROR(__xludf.DUMMYFUNCTION("""COMPUTED_VALUE"""),2552.05)</f>
        <v>2552.05</v>
      </c>
    </row>
    <row r="3725">
      <c r="A3725" s="2">
        <f>IFERROR(__xludf.DUMMYFUNCTION("""COMPUTED_VALUE"""),41200.666666666664)</f>
        <v>41200.66667</v>
      </c>
      <c r="B3725" s="1">
        <f>IFERROR(__xludf.DUMMYFUNCTION("""COMPUTED_VALUE"""),2545.95)</f>
        <v>2545.95</v>
      </c>
    </row>
    <row r="3726">
      <c r="A3726" s="2">
        <f>IFERROR(__xludf.DUMMYFUNCTION("""COMPUTED_VALUE"""),41201.666666666664)</f>
        <v>41201.66667</v>
      </c>
      <c r="B3726" s="1">
        <f>IFERROR(__xludf.DUMMYFUNCTION("""COMPUTED_VALUE"""),2503.8)</f>
        <v>2503.8</v>
      </c>
    </row>
    <row r="3727">
      <c r="A3727" s="2">
        <f>IFERROR(__xludf.DUMMYFUNCTION("""COMPUTED_VALUE"""),41204.666666666664)</f>
        <v>41204.66667</v>
      </c>
      <c r="B3727" s="1">
        <f>IFERROR(__xludf.DUMMYFUNCTION("""COMPUTED_VALUE"""),2504.96)</f>
        <v>2504.96</v>
      </c>
    </row>
    <row r="3728">
      <c r="A3728" s="2">
        <f>IFERROR(__xludf.DUMMYFUNCTION("""COMPUTED_VALUE"""),41205.666666666664)</f>
        <v>41205.66667</v>
      </c>
      <c r="B3728" s="1">
        <f>IFERROR(__xludf.DUMMYFUNCTION("""COMPUTED_VALUE"""),2468.78)</f>
        <v>2468.78</v>
      </c>
    </row>
    <row r="3729">
      <c r="A3729" s="2">
        <f>IFERROR(__xludf.DUMMYFUNCTION("""COMPUTED_VALUE"""),41206.666666666664)</f>
        <v>41206.66667</v>
      </c>
      <c r="B3729" s="1">
        <f>IFERROR(__xludf.DUMMYFUNCTION("""COMPUTED_VALUE"""),2461.18)</f>
        <v>2461.18</v>
      </c>
    </row>
    <row r="3730">
      <c r="A3730" s="2">
        <f>IFERROR(__xludf.DUMMYFUNCTION("""COMPUTED_VALUE"""),41207.666666666664)</f>
        <v>41207.66667</v>
      </c>
      <c r="B3730" s="1">
        <f>IFERROR(__xludf.DUMMYFUNCTION("""COMPUTED_VALUE"""),2468.6)</f>
        <v>2468.6</v>
      </c>
    </row>
    <row r="3731">
      <c r="A3731" s="2">
        <f>IFERROR(__xludf.DUMMYFUNCTION("""COMPUTED_VALUE"""),41208.666666666664)</f>
        <v>41208.66667</v>
      </c>
      <c r="B3731" s="1">
        <f>IFERROR(__xludf.DUMMYFUNCTION("""COMPUTED_VALUE"""),2466.8)</f>
        <v>2466.8</v>
      </c>
    </row>
    <row r="3732">
      <c r="A3732" s="2">
        <f>IFERROR(__xludf.DUMMYFUNCTION("""COMPUTED_VALUE"""),41213.666666666664)</f>
        <v>41213.66667</v>
      </c>
      <c r="B3732" s="1">
        <f>IFERROR(__xludf.DUMMYFUNCTION("""COMPUTED_VALUE"""),2467.51)</f>
        <v>2467.51</v>
      </c>
    </row>
    <row r="3733">
      <c r="A3733" s="2">
        <f>IFERROR(__xludf.DUMMYFUNCTION("""COMPUTED_VALUE"""),41214.666666666664)</f>
        <v>41214.66667</v>
      </c>
      <c r="B3733" s="1">
        <f>IFERROR(__xludf.DUMMYFUNCTION("""COMPUTED_VALUE"""),2494.67)</f>
        <v>2494.67</v>
      </c>
    </row>
    <row r="3734">
      <c r="A3734" s="2">
        <f>IFERROR(__xludf.DUMMYFUNCTION("""COMPUTED_VALUE"""),41215.666666666664)</f>
        <v>41215.66667</v>
      </c>
      <c r="B3734" s="1">
        <f>IFERROR(__xludf.DUMMYFUNCTION("""COMPUTED_VALUE"""),2471.3)</f>
        <v>2471.3</v>
      </c>
    </row>
    <row r="3735">
      <c r="A3735" s="2">
        <f>IFERROR(__xludf.DUMMYFUNCTION("""COMPUTED_VALUE"""),41218.666666666664)</f>
        <v>41218.66667</v>
      </c>
      <c r="B3735" s="1">
        <f>IFERROR(__xludf.DUMMYFUNCTION("""COMPUTED_VALUE"""),2476.94)</f>
        <v>2476.94</v>
      </c>
    </row>
    <row r="3736">
      <c r="A3736" s="2">
        <f>IFERROR(__xludf.DUMMYFUNCTION("""COMPUTED_VALUE"""),41219.666666666664)</f>
        <v>41219.66667</v>
      </c>
      <c r="B3736" s="1">
        <f>IFERROR(__xludf.DUMMYFUNCTION("""COMPUTED_VALUE"""),2496.46)</f>
        <v>2496.46</v>
      </c>
    </row>
    <row r="3737">
      <c r="A3737" s="2">
        <f>IFERROR(__xludf.DUMMYFUNCTION("""COMPUTED_VALUE"""),41220.666666666664)</f>
        <v>41220.66667</v>
      </c>
      <c r="B3737" s="1">
        <f>IFERROR(__xludf.DUMMYFUNCTION("""COMPUTED_VALUE"""),2439.48)</f>
        <v>2439.48</v>
      </c>
    </row>
    <row r="3738">
      <c r="A3738" s="2">
        <f>IFERROR(__xludf.DUMMYFUNCTION("""COMPUTED_VALUE"""),41221.666666666664)</f>
        <v>41221.66667</v>
      </c>
      <c r="B3738" s="1">
        <f>IFERROR(__xludf.DUMMYFUNCTION("""COMPUTED_VALUE"""),2409.72)</f>
        <v>2409.72</v>
      </c>
    </row>
    <row r="3739">
      <c r="A3739" s="2">
        <f>IFERROR(__xludf.DUMMYFUNCTION("""COMPUTED_VALUE"""),41222.666666666664)</f>
        <v>41222.66667</v>
      </c>
      <c r="B3739" s="1">
        <f>IFERROR(__xludf.DUMMYFUNCTION("""COMPUTED_VALUE"""),2413.92)</f>
        <v>2413.92</v>
      </c>
    </row>
    <row r="3740">
      <c r="A3740" s="2">
        <f>IFERROR(__xludf.DUMMYFUNCTION("""COMPUTED_VALUE"""),41225.666666666664)</f>
        <v>41225.66667</v>
      </c>
      <c r="B3740" s="1">
        <f>IFERROR(__xludf.DUMMYFUNCTION("""COMPUTED_VALUE"""),2414.24)</f>
        <v>2414.24</v>
      </c>
    </row>
    <row r="3741">
      <c r="A3741" s="2">
        <f>IFERROR(__xludf.DUMMYFUNCTION("""COMPUTED_VALUE"""),41226.666666666664)</f>
        <v>41226.66667</v>
      </c>
      <c r="B3741" s="1">
        <f>IFERROR(__xludf.DUMMYFUNCTION("""COMPUTED_VALUE"""),2405.38)</f>
        <v>2405.38</v>
      </c>
    </row>
    <row r="3742">
      <c r="A3742" s="2">
        <f>IFERROR(__xludf.DUMMYFUNCTION("""COMPUTED_VALUE"""),41227.666666666664)</f>
        <v>41227.66667</v>
      </c>
      <c r="B3742" s="1">
        <f>IFERROR(__xludf.DUMMYFUNCTION("""COMPUTED_VALUE"""),2372.94)</f>
        <v>2372.94</v>
      </c>
    </row>
    <row r="3743">
      <c r="A3743" s="2">
        <f>IFERROR(__xludf.DUMMYFUNCTION("""COMPUTED_VALUE"""),41228.666666666664)</f>
        <v>41228.66667</v>
      </c>
      <c r="B3743" s="1">
        <f>IFERROR(__xludf.DUMMYFUNCTION("""COMPUTED_VALUE"""),2369.32)</f>
        <v>2369.32</v>
      </c>
    </row>
    <row r="3744">
      <c r="A3744" s="2">
        <f>IFERROR(__xludf.DUMMYFUNCTION("""COMPUTED_VALUE"""),41229.666666666664)</f>
        <v>41229.66667</v>
      </c>
      <c r="B3744" s="1">
        <f>IFERROR(__xludf.DUMMYFUNCTION("""COMPUTED_VALUE"""),2381.02)</f>
        <v>2381.02</v>
      </c>
    </row>
    <row r="3745">
      <c r="A3745" s="2">
        <f>IFERROR(__xludf.DUMMYFUNCTION("""COMPUTED_VALUE"""),41232.666666666664)</f>
        <v>41232.66667</v>
      </c>
      <c r="B3745" s="1">
        <f>IFERROR(__xludf.DUMMYFUNCTION("""COMPUTED_VALUE"""),2428.47)</f>
        <v>2428.47</v>
      </c>
    </row>
    <row r="3746">
      <c r="A3746" s="2">
        <f>IFERROR(__xludf.DUMMYFUNCTION("""COMPUTED_VALUE"""),41233.666666666664)</f>
        <v>41233.66667</v>
      </c>
      <c r="B3746" s="1">
        <f>IFERROR(__xludf.DUMMYFUNCTION("""COMPUTED_VALUE"""),2424.38)</f>
        <v>2424.38</v>
      </c>
    </row>
    <row r="3747">
      <c r="A3747" s="2">
        <f>IFERROR(__xludf.DUMMYFUNCTION("""COMPUTED_VALUE"""),41234.666666666664)</f>
        <v>41234.66667</v>
      </c>
      <c r="B3747" s="1">
        <f>IFERROR(__xludf.DUMMYFUNCTION("""COMPUTED_VALUE"""),2435.93)</f>
        <v>2435.93</v>
      </c>
    </row>
    <row r="3748">
      <c r="A3748" s="2">
        <f>IFERROR(__xludf.DUMMYFUNCTION("""COMPUTED_VALUE"""),41236.666666666664)</f>
        <v>41236.66667</v>
      </c>
      <c r="B3748" s="1">
        <f>IFERROR(__xludf.DUMMYFUNCTION("""COMPUTED_VALUE"""),2468.06)</f>
        <v>2468.06</v>
      </c>
    </row>
    <row r="3749">
      <c r="A3749" s="2">
        <f>IFERROR(__xludf.DUMMYFUNCTION("""COMPUTED_VALUE"""),41239.666666666664)</f>
        <v>41239.66667</v>
      </c>
      <c r="B3749" s="1">
        <f>IFERROR(__xludf.DUMMYFUNCTION("""COMPUTED_VALUE"""),2463.04)</f>
        <v>2463.04</v>
      </c>
    </row>
    <row r="3750">
      <c r="A3750" s="2">
        <f>IFERROR(__xludf.DUMMYFUNCTION("""COMPUTED_VALUE"""),41240.666666666664)</f>
        <v>41240.66667</v>
      </c>
      <c r="B3750" s="1">
        <f>IFERROR(__xludf.DUMMYFUNCTION("""COMPUTED_VALUE"""),2450.24)</f>
        <v>2450.24</v>
      </c>
    </row>
    <row r="3751">
      <c r="A3751" s="2">
        <f>IFERROR(__xludf.DUMMYFUNCTION("""COMPUTED_VALUE"""),41241.666666666664)</f>
        <v>41241.66667</v>
      </c>
      <c r="B3751" s="1">
        <f>IFERROR(__xludf.DUMMYFUNCTION("""COMPUTED_VALUE"""),2469.72)</f>
        <v>2469.72</v>
      </c>
    </row>
    <row r="3752">
      <c r="A3752" s="2">
        <f>IFERROR(__xludf.DUMMYFUNCTION("""COMPUTED_VALUE"""),41242.666666666664)</f>
        <v>41242.66667</v>
      </c>
      <c r="B3752" s="1">
        <f>IFERROR(__xludf.DUMMYFUNCTION("""COMPUTED_VALUE"""),2481.01)</f>
        <v>2481.01</v>
      </c>
    </row>
    <row r="3753">
      <c r="A3753" s="2">
        <f>IFERROR(__xludf.DUMMYFUNCTION("""COMPUTED_VALUE"""),41243.666666666664)</f>
        <v>41243.66667</v>
      </c>
      <c r="B3753" s="1">
        <f>IFERROR(__xludf.DUMMYFUNCTION("""COMPUTED_VALUE"""),2481.82)</f>
        <v>2481.82</v>
      </c>
    </row>
    <row r="3754">
      <c r="A3754" s="2">
        <f>IFERROR(__xludf.DUMMYFUNCTION("""COMPUTED_VALUE"""),41246.666666666664)</f>
        <v>41246.66667</v>
      </c>
      <c r="B3754" s="1">
        <f>IFERROR(__xludf.DUMMYFUNCTION("""COMPUTED_VALUE"""),2470.07)</f>
        <v>2470.07</v>
      </c>
    </row>
    <row r="3755">
      <c r="A3755" s="2">
        <f>IFERROR(__xludf.DUMMYFUNCTION("""COMPUTED_VALUE"""),41247.666666666664)</f>
        <v>41247.66667</v>
      </c>
      <c r="B3755" s="1">
        <f>IFERROR(__xludf.DUMMYFUNCTION("""COMPUTED_VALUE"""),2465.9)</f>
        <v>2465.9</v>
      </c>
    </row>
    <row r="3756">
      <c r="A3756" s="2">
        <f>IFERROR(__xludf.DUMMYFUNCTION("""COMPUTED_VALUE"""),41248.666666666664)</f>
        <v>41248.66667</v>
      </c>
      <c r="B3756" s="1">
        <f>IFERROR(__xludf.DUMMYFUNCTION("""COMPUTED_VALUE"""),2470.59)</f>
        <v>2470.59</v>
      </c>
    </row>
    <row r="3757">
      <c r="A3757" s="2">
        <f>IFERROR(__xludf.DUMMYFUNCTION("""COMPUTED_VALUE"""),41249.666666666664)</f>
        <v>41249.66667</v>
      </c>
      <c r="B3757" s="1">
        <f>IFERROR(__xludf.DUMMYFUNCTION("""COMPUTED_VALUE"""),2479.4)</f>
        <v>2479.4</v>
      </c>
    </row>
    <row r="3758">
      <c r="A3758" s="2">
        <f>IFERROR(__xludf.DUMMYFUNCTION("""COMPUTED_VALUE"""),41250.666666666664)</f>
        <v>41250.66667</v>
      </c>
      <c r="B3758" s="1">
        <f>IFERROR(__xludf.DUMMYFUNCTION("""COMPUTED_VALUE"""),2486.84)</f>
        <v>2486.84</v>
      </c>
    </row>
    <row r="3759">
      <c r="A3759" s="2">
        <f>IFERROR(__xludf.DUMMYFUNCTION("""COMPUTED_VALUE"""),41253.666666666664)</f>
        <v>41253.66667</v>
      </c>
      <c r="B3759" s="1">
        <f>IFERROR(__xludf.DUMMYFUNCTION("""COMPUTED_VALUE"""),2487.78)</f>
        <v>2487.78</v>
      </c>
    </row>
    <row r="3760">
      <c r="A3760" s="2">
        <f>IFERROR(__xludf.DUMMYFUNCTION("""COMPUTED_VALUE"""),41254.666666666664)</f>
        <v>41254.66667</v>
      </c>
      <c r="B3760" s="1">
        <f>IFERROR(__xludf.DUMMYFUNCTION("""COMPUTED_VALUE"""),2504.08)</f>
        <v>2504.08</v>
      </c>
    </row>
    <row r="3761">
      <c r="A3761" s="2">
        <f>IFERROR(__xludf.DUMMYFUNCTION("""COMPUTED_VALUE"""),41255.666666666664)</f>
        <v>41255.66667</v>
      </c>
      <c r="B3761" s="1">
        <f>IFERROR(__xludf.DUMMYFUNCTION("""COMPUTED_VALUE"""),2505.76)</f>
        <v>2505.76</v>
      </c>
    </row>
    <row r="3762">
      <c r="A3762" s="2">
        <f>IFERROR(__xludf.DUMMYFUNCTION("""COMPUTED_VALUE"""),41256.666666666664)</f>
        <v>41256.66667</v>
      </c>
      <c r="B3762" s="1">
        <f>IFERROR(__xludf.DUMMYFUNCTION("""COMPUTED_VALUE"""),2490.56)</f>
        <v>2490.56</v>
      </c>
    </row>
    <row r="3763">
      <c r="A3763" s="2">
        <f>IFERROR(__xludf.DUMMYFUNCTION("""COMPUTED_VALUE"""),41257.666666666664)</f>
        <v>41257.66667</v>
      </c>
      <c r="B3763" s="1">
        <f>IFERROR(__xludf.DUMMYFUNCTION("""COMPUTED_VALUE"""),2480.36)</f>
        <v>2480.36</v>
      </c>
    </row>
    <row r="3764">
      <c r="A3764" s="2">
        <f>IFERROR(__xludf.DUMMYFUNCTION("""COMPUTED_VALUE"""),41260.666666666664)</f>
        <v>41260.66667</v>
      </c>
      <c r="B3764" s="1">
        <f>IFERROR(__xludf.DUMMYFUNCTION("""COMPUTED_VALUE"""),2509.84)</f>
        <v>2509.84</v>
      </c>
    </row>
    <row r="3765">
      <c r="A3765" s="2">
        <f>IFERROR(__xludf.DUMMYFUNCTION("""COMPUTED_VALUE"""),41261.666666666664)</f>
        <v>41261.66667</v>
      </c>
      <c r="B3765" s="1">
        <f>IFERROR(__xludf.DUMMYFUNCTION("""COMPUTED_VALUE"""),2538.72)</f>
        <v>2538.72</v>
      </c>
    </row>
    <row r="3766">
      <c r="A3766" s="2">
        <f>IFERROR(__xludf.DUMMYFUNCTION("""COMPUTED_VALUE"""),41262.666666666664)</f>
        <v>41262.66667</v>
      </c>
      <c r="B3766" s="1">
        <f>IFERROR(__xludf.DUMMYFUNCTION("""COMPUTED_VALUE"""),2519.54)</f>
        <v>2519.54</v>
      </c>
    </row>
    <row r="3767">
      <c r="A3767" s="2">
        <f>IFERROR(__xludf.DUMMYFUNCTION("""COMPUTED_VALUE"""),41263.666666666664)</f>
        <v>41263.66667</v>
      </c>
      <c r="B3767" s="1">
        <f>IFERROR(__xludf.DUMMYFUNCTION("""COMPUTED_VALUE"""),2533.91)</f>
        <v>2533.91</v>
      </c>
    </row>
    <row r="3768">
      <c r="A3768" s="2">
        <f>IFERROR(__xludf.DUMMYFUNCTION("""COMPUTED_VALUE"""),41264.666666666664)</f>
        <v>41264.66667</v>
      </c>
      <c r="B3768" s="1">
        <f>IFERROR(__xludf.DUMMYFUNCTION("""COMPUTED_VALUE"""),2510.32)</f>
        <v>2510.32</v>
      </c>
    </row>
    <row r="3769">
      <c r="A3769" s="2">
        <f>IFERROR(__xludf.DUMMYFUNCTION("""COMPUTED_VALUE"""),41267.666666666664)</f>
        <v>41267.66667</v>
      </c>
      <c r="B3769" s="1">
        <f>IFERROR(__xludf.DUMMYFUNCTION("""COMPUTED_VALUE"""),2504.51)</f>
        <v>2504.51</v>
      </c>
    </row>
    <row r="3770">
      <c r="A3770" s="2">
        <f>IFERROR(__xludf.DUMMYFUNCTION("""COMPUTED_VALUE"""),41269.666666666664)</f>
        <v>41269.66667</v>
      </c>
      <c r="B3770" s="1">
        <f>IFERROR(__xludf.DUMMYFUNCTION("""COMPUTED_VALUE"""),2492.52)</f>
        <v>2492.52</v>
      </c>
    </row>
    <row r="3771">
      <c r="A3771" s="2">
        <f>IFERROR(__xludf.DUMMYFUNCTION("""COMPUTED_VALUE"""),41270.666666666664)</f>
        <v>41270.66667</v>
      </c>
      <c r="B3771" s="1">
        <f>IFERROR(__xludf.DUMMYFUNCTION("""COMPUTED_VALUE"""),2489.5)</f>
        <v>2489.5</v>
      </c>
    </row>
    <row r="3772">
      <c r="A3772" s="2">
        <f>IFERROR(__xludf.DUMMYFUNCTION("""COMPUTED_VALUE"""),41271.666666666664)</f>
        <v>41271.66667</v>
      </c>
      <c r="B3772" s="1">
        <f>IFERROR(__xludf.DUMMYFUNCTION("""COMPUTED_VALUE"""),2462.46)</f>
        <v>2462.46</v>
      </c>
    </row>
    <row r="3773">
      <c r="A3773" s="2">
        <f>IFERROR(__xludf.DUMMYFUNCTION("""COMPUTED_VALUE"""),41274.666666666664)</f>
        <v>41274.66667</v>
      </c>
      <c r="B3773" s="1">
        <f>IFERROR(__xludf.DUMMYFUNCTION("""COMPUTED_VALUE"""),2504.43)</f>
        <v>2504.43</v>
      </c>
    </row>
    <row r="3774">
      <c r="A3774" s="2">
        <f>IFERROR(__xludf.DUMMYFUNCTION("""COMPUTED_VALUE"""),41276.666666666664)</f>
        <v>41276.66667</v>
      </c>
      <c r="B3774" s="1">
        <f>IFERROR(__xludf.DUMMYFUNCTION("""COMPUTED_VALUE"""),2568.55)</f>
        <v>2568.55</v>
      </c>
    </row>
    <row r="3775">
      <c r="A3775" s="2">
        <f>IFERROR(__xludf.DUMMYFUNCTION("""COMPUTED_VALUE"""),41277.666666666664)</f>
        <v>41277.66667</v>
      </c>
      <c r="B3775" s="1">
        <f>IFERROR(__xludf.DUMMYFUNCTION("""COMPUTED_VALUE"""),2563.19)</f>
        <v>2563.19</v>
      </c>
    </row>
    <row r="3776">
      <c r="A3776" s="2">
        <f>IFERROR(__xludf.DUMMYFUNCTION("""COMPUTED_VALUE"""),41278.666666666664)</f>
        <v>41278.66667</v>
      </c>
      <c r="B3776" s="1">
        <f>IFERROR(__xludf.DUMMYFUNCTION("""COMPUTED_VALUE"""),2575.66)</f>
        <v>2575.66</v>
      </c>
    </row>
    <row r="3777">
      <c r="A3777" s="2">
        <f>IFERROR(__xludf.DUMMYFUNCTION("""COMPUTED_VALUE"""),41281.666666666664)</f>
        <v>41281.66667</v>
      </c>
      <c r="B3777" s="1">
        <f>IFERROR(__xludf.DUMMYFUNCTION("""COMPUTED_VALUE"""),2567.63)</f>
        <v>2567.63</v>
      </c>
    </row>
    <row r="3778">
      <c r="A3778" s="2">
        <f>IFERROR(__xludf.DUMMYFUNCTION("""COMPUTED_VALUE"""),41282.666666666664)</f>
        <v>41282.66667</v>
      </c>
      <c r="B3778" s="1">
        <f>IFERROR(__xludf.DUMMYFUNCTION("""COMPUTED_VALUE"""),2560.17)</f>
        <v>2560.17</v>
      </c>
    </row>
    <row r="3779">
      <c r="A3779" s="2">
        <f>IFERROR(__xludf.DUMMYFUNCTION("""COMPUTED_VALUE"""),41283.666666666664)</f>
        <v>41283.66667</v>
      </c>
      <c r="B3779" s="1">
        <f>IFERROR(__xludf.DUMMYFUNCTION("""COMPUTED_VALUE"""),2567.02)</f>
        <v>2567.02</v>
      </c>
    </row>
    <row r="3780">
      <c r="A3780" s="2">
        <f>IFERROR(__xludf.DUMMYFUNCTION("""COMPUTED_VALUE"""),41284.666666666664)</f>
        <v>41284.66667</v>
      </c>
      <c r="B3780" s="1">
        <f>IFERROR(__xludf.DUMMYFUNCTION("""COMPUTED_VALUE"""),2586.52)</f>
        <v>2586.52</v>
      </c>
    </row>
    <row r="3781">
      <c r="A3781" s="2">
        <f>IFERROR(__xludf.DUMMYFUNCTION("""COMPUTED_VALUE"""),41285.666666666664)</f>
        <v>41285.66667</v>
      </c>
      <c r="B3781" s="1">
        <f>IFERROR(__xludf.DUMMYFUNCTION("""COMPUTED_VALUE"""),2586.69)</f>
        <v>2586.69</v>
      </c>
    </row>
    <row r="3782">
      <c r="A3782" s="2">
        <f>IFERROR(__xludf.DUMMYFUNCTION("""COMPUTED_VALUE"""),41288.666666666664)</f>
        <v>41288.66667</v>
      </c>
      <c r="B3782" s="1">
        <f>IFERROR(__xludf.DUMMYFUNCTION("""COMPUTED_VALUE"""),2584.27)</f>
        <v>2584.27</v>
      </c>
    </row>
    <row r="3783">
      <c r="A3783" s="2">
        <f>IFERROR(__xludf.DUMMYFUNCTION("""COMPUTED_VALUE"""),41289.666666666664)</f>
        <v>41289.66667</v>
      </c>
      <c r="B3783" s="1">
        <f>IFERROR(__xludf.DUMMYFUNCTION("""COMPUTED_VALUE"""),2587.2)</f>
        <v>2587.2</v>
      </c>
    </row>
    <row r="3784">
      <c r="A3784" s="2">
        <f>IFERROR(__xludf.DUMMYFUNCTION("""COMPUTED_VALUE"""),41290.666666666664)</f>
        <v>41290.66667</v>
      </c>
      <c r="B3784" s="1">
        <f>IFERROR(__xludf.DUMMYFUNCTION("""COMPUTED_VALUE"""),2588.02)</f>
        <v>2588.02</v>
      </c>
    </row>
    <row r="3785">
      <c r="A3785" s="2">
        <f>IFERROR(__xludf.DUMMYFUNCTION("""COMPUTED_VALUE"""),41291.666666666664)</f>
        <v>41291.66667</v>
      </c>
      <c r="B3785" s="1">
        <f>IFERROR(__xludf.DUMMYFUNCTION("""COMPUTED_VALUE"""),2602.64)</f>
        <v>2602.64</v>
      </c>
    </row>
    <row r="3786">
      <c r="A3786" s="2">
        <f>IFERROR(__xludf.DUMMYFUNCTION("""COMPUTED_VALUE"""),41292.666666666664)</f>
        <v>41292.66667</v>
      </c>
      <c r="B3786" s="1">
        <f>IFERROR(__xludf.DUMMYFUNCTION("""COMPUTED_VALUE"""),2611.54)</f>
        <v>2611.54</v>
      </c>
    </row>
    <row r="3787">
      <c r="A3787" s="2">
        <f>IFERROR(__xludf.DUMMYFUNCTION("""COMPUTED_VALUE"""),41296.666666666664)</f>
        <v>41296.66667</v>
      </c>
      <c r="B3787" s="1">
        <f>IFERROR(__xludf.DUMMYFUNCTION("""COMPUTED_VALUE"""),2623.22)</f>
        <v>2623.22</v>
      </c>
    </row>
    <row r="3788">
      <c r="A3788" s="2">
        <f>IFERROR(__xludf.DUMMYFUNCTION("""COMPUTED_VALUE"""),41297.666666666664)</f>
        <v>41297.66667</v>
      </c>
      <c r="B3788" s="1">
        <f>IFERROR(__xludf.DUMMYFUNCTION("""COMPUTED_VALUE"""),2627.23)</f>
        <v>2627.23</v>
      </c>
    </row>
    <row r="3789">
      <c r="A3789" s="2">
        <f>IFERROR(__xludf.DUMMYFUNCTION("""COMPUTED_VALUE"""),41298.666666666664)</f>
        <v>41298.66667</v>
      </c>
      <c r="B3789" s="1">
        <f>IFERROR(__xludf.DUMMYFUNCTION("""COMPUTED_VALUE"""),2627.25)</f>
        <v>2627.25</v>
      </c>
    </row>
    <row r="3790">
      <c r="A3790" s="2">
        <f>IFERROR(__xludf.DUMMYFUNCTION("""COMPUTED_VALUE"""),41299.666666666664)</f>
        <v>41299.66667</v>
      </c>
      <c r="B3790" s="1">
        <f>IFERROR(__xludf.DUMMYFUNCTION("""COMPUTED_VALUE"""),2641.64)</f>
        <v>2641.64</v>
      </c>
    </row>
    <row r="3791">
      <c r="A3791" s="2">
        <f>IFERROR(__xludf.DUMMYFUNCTION("""COMPUTED_VALUE"""),41302.666666666664)</f>
        <v>41302.66667</v>
      </c>
      <c r="B3791" s="1">
        <f>IFERROR(__xludf.DUMMYFUNCTION("""COMPUTED_VALUE"""),2636.76)</f>
        <v>2636.76</v>
      </c>
    </row>
    <row r="3792">
      <c r="A3792" s="2">
        <f>IFERROR(__xludf.DUMMYFUNCTION("""COMPUTED_VALUE"""),41303.666666666664)</f>
        <v>41303.66667</v>
      </c>
      <c r="B3792" s="1">
        <f>IFERROR(__xludf.DUMMYFUNCTION("""COMPUTED_VALUE"""),2650.3)</f>
        <v>2650.3</v>
      </c>
    </row>
    <row r="3793">
      <c r="A3793" s="2">
        <f>IFERROR(__xludf.DUMMYFUNCTION("""COMPUTED_VALUE"""),41304.666666666664)</f>
        <v>41304.66667</v>
      </c>
      <c r="B3793" s="1">
        <f>IFERROR(__xludf.DUMMYFUNCTION("""COMPUTED_VALUE"""),2640.09)</f>
        <v>2640.09</v>
      </c>
    </row>
    <row r="3794">
      <c r="A3794" s="2">
        <f>IFERROR(__xludf.DUMMYFUNCTION("""COMPUTED_VALUE"""),41305.666666666664)</f>
        <v>41305.66667</v>
      </c>
      <c r="B3794" s="1">
        <f>IFERROR(__xludf.DUMMYFUNCTION("""COMPUTED_VALUE"""),2633.99)</f>
        <v>2633.99</v>
      </c>
    </row>
    <row r="3795">
      <c r="A3795" s="2">
        <f>IFERROR(__xludf.DUMMYFUNCTION("""COMPUTED_VALUE"""),41306.666666666664)</f>
        <v>41306.66667</v>
      </c>
      <c r="B3795" s="1">
        <f>IFERROR(__xludf.DUMMYFUNCTION("""COMPUTED_VALUE"""),2660.64)</f>
        <v>2660.64</v>
      </c>
    </row>
    <row r="3796">
      <c r="A3796" s="2">
        <f>IFERROR(__xludf.DUMMYFUNCTION("""COMPUTED_VALUE"""),41309.666666666664)</f>
        <v>41309.66667</v>
      </c>
      <c r="B3796" s="1">
        <f>IFERROR(__xludf.DUMMYFUNCTION("""COMPUTED_VALUE"""),2629.99)</f>
        <v>2629.99</v>
      </c>
    </row>
    <row r="3797">
      <c r="A3797" s="2">
        <f>IFERROR(__xludf.DUMMYFUNCTION("""COMPUTED_VALUE"""),41310.666666666664)</f>
        <v>41310.66667</v>
      </c>
      <c r="B3797" s="1">
        <f>IFERROR(__xludf.DUMMYFUNCTION("""COMPUTED_VALUE"""),2657.45)</f>
        <v>2657.45</v>
      </c>
    </row>
    <row r="3798">
      <c r="A3798" s="2">
        <f>IFERROR(__xludf.DUMMYFUNCTION("""COMPUTED_VALUE"""),41311.666666666664)</f>
        <v>41311.66667</v>
      </c>
      <c r="B3798" s="1">
        <f>IFERROR(__xludf.DUMMYFUNCTION("""COMPUTED_VALUE"""),2659.23)</f>
        <v>2659.23</v>
      </c>
    </row>
    <row r="3799">
      <c r="A3799" s="2">
        <f>IFERROR(__xludf.DUMMYFUNCTION("""COMPUTED_VALUE"""),41312.666666666664)</f>
        <v>41312.66667</v>
      </c>
      <c r="B3799" s="1">
        <f>IFERROR(__xludf.DUMMYFUNCTION("""COMPUTED_VALUE"""),2654.75)</f>
        <v>2654.75</v>
      </c>
    </row>
    <row r="3800">
      <c r="A3800" s="2">
        <f>IFERROR(__xludf.DUMMYFUNCTION("""COMPUTED_VALUE"""),41313.666666666664)</f>
        <v>41313.66667</v>
      </c>
      <c r="B3800" s="1">
        <f>IFERROR(__xludf.DUMMYFUNCTION("""COMPUTED_VALUE"""),2670.86)</f>
        <v>2670.86</v>
      </c>
    </row>
    <row r="3801">
      <c r="A3801" s="2">
        <f>IFERROR(__xludf.DUMMYFUNCTION("""COMPUTED_VALUE"""),41316.666666666664)</f>
        <v>41316.66667</v>
      </c>
      <c r="B3801" s="1">
        <f>IFERROR(__xludf.DUMMYFUNCTION("""COMPUTED_VALUE"""),2669.24)</f>
        <v>2669.24</v>
      </c>
    </row>
    <row r="3802">
      <c r="A3802" s="2">
        <f>IFERROR(__xludf.DUMMYFUNCTION("""COMPUTED_VALUE"""),41317.666666666664)</f>
        <v>41317.66667</v>
      </c>
      <c r="B3802" s="1">
        <f>IFERROR(__xludf.DUMMYFUNCTION("""COMPUTED_VALUE"""),2673.63)</f>
        <v>2673.63</v>
      </c>
    </row>
    <row r="3803">
      <c r="A3803" s="2">
        <f>IFERROR(__xludf.DUMMYFUNCTION("""COMPUTED_VALUE"""),41318.666666666664)</f>
        <v>41318.66667</v>
      </c>
      <c r="B3803" s="1">
        <f>IFERROR(__xludf.DUMMYFUNCTION("""COMPUTED_VALUE"""),2675.36)</f>
        <v>2675.36</v>
      </c>
    </row>
    <row r="3804">
      <c r="A3804" s="2">
        <f>IFERROR(__xludf.DUMMYFUNCTION("""COMPUTED_VALUE"""),41319.666666666664)</f>
        <v>41319.66667</v>
      </c>
      <c r="B3804" s="1">
        <f>IFERROR(__xludf.DUMMYFUNCTION("""COMPUTED_VALUE"""),2678.45)</f>
        <v>2678.45</v>
      </c>
    </row>
    <row r="3805">
      <c r="A3805" s="2">
        <f>IFERROR(__xludf.DUMMYFUNCTION("""COMPUTED_VALUE"""),41320.666666666664)</f>
        <v>41320.66667</v>
      </c>
      <c r="B3805" s="1">
        <f>IFERROR(__xludf.DUMMYFUNCTION("""COMPUTED_VALUE"""),2675.97)</f>
        <v>2675.97</v>
      </c>
    </row>
    <row r="3806">
      <c r="A3806" s="2">
        <f>IFERROR(__xludf.DUMMYFUNCTION("""COMPUTED_VALUE"""),41324.666666666664)</f>
        <v>41324.66667</v>
      </c>
      <c r="B3806" s="1">
        <f>IFERROR(__xludf.DUMMYFUNCTION("""COMPUTED_VALUE"""),2695.83)</f>
        <v>2695.83</v>
      </c>
    </row>
    <row r="3807">
      <c r="A3807" s="2">
        <f>IFERROR(__xludf.DUMMYFUNCTION("""COMPUTED_VALUE"""),41325.666666666664)</f>
        <v>41325.66667</v>
      </c>
      <c r="B3807" s="1">
        <f>IFERROR(__xludf.DUMMYFUNCTION("""COMPUTED_VALUE"""),2662.82)</f>
        <v>2662.82</v>
      </c>
    </row>
    <row r="3808">
      <c r="A3808" s="2">
        <f>IFERROR(__xludf.DUMMYFUNCTION("""COMPUTED_VALUE"""),41326.666666666664)</f>
        <v>41326.66667</v>
      </c>
      <c r="B3808" s="1">
        <f>IFERROR(__xludf.DUMMYFUNCTION("""COMPUTED_VALUE"""),2646.14)</f>
        <v>2646.14</v>
      </c>
    </row>
    <row r="3809">
      <c r="A3809" s="2">
        <f>IFERROR(__xludf.DUMMYFUNCTION("""COMPUTED_VALUE"""),41327.666666666664)</f>
        <v>41327.66667</v>
      </c>
      <c r="B3809" s="1">
        <f>IFERROR(__xludf.DUMMYFUNCTION("""COMPUTED_VALUE"""),2669.97)</f>
        <v>2669.97</v>
      </c>
    </row>
    <row r="3810">
      <c r="A3810" s="2">
        <f>IFERROR(__xludf.DUMMYFUNCTION("""COMPUTED_VALUE"""),41330.666666666664)</f>
        <v>41330.66667</v>
      </c>
      <c r="B3810" s="1">
        <f>IFERROR(__xludf.DUMMYFUNCTION("""COMPUTED_VALUE"""),2621.46)</f>
        <v>2621.46</v>
      </c>
    </row>
    <row r="3811">
      <c r="A3811" s="2">
        <f>IFERROR(__xludf.DUMMYFUNCTION("""COMPUTED_VALUE"""),41331.666666666664)</f>
        <v>41331.66667</v>
      </c>
      <c r="B3811" s="1">
        <f>IFERROR(__xludf.DUMMYFUNCTION("""COMPUTED_VALUE"""),2637.48)</f>
        <v>2637.48</v>
      </c>
    </row>
    <row r="3812">
      <c r="A3812" s="2">
        <f>IFERROR(__xludf.DUMMYFUNCTION("""COMPUTED_VALUE"""),41332.666666666664)</f>
        <v>41332.66667</v>
      </c>
      <c r="B3812" s="1">
        <f>IFERROR(__xludf.DUMMYFUNCTION("""COMPUTED_VALUE"""),2671.46)</f>
        <v>2671.46</v>
      </c>
    </row>
    <row r="3813">
      <c r="A3813" s="2">
        <f>IFERROR(__xludf.DUMMYFUNCTION("""COMPUTED_VALUE"""),41333.666666666664)</f>
        <v>41333.66667</v>
      </c>
      <c r="B3813" s="1">
        <f>IFERROR(__xludf.DUMMYFUNCTION("""COMPUTED_VALUE"""),2669.81)</f>
        <v>2669.81</v>
      </c>
    </row>
    <row r="3814">
      <c r="A3814" s="2">
        <f>IFERROR(__xludf.DUMMYFUNCTION("""COMPUTED_VALUE"""),41334.666666666664)</f>
        <v>41334.66667</v>
      </c>
      <c r="B3814" s="1">
        <f>IFERROR(__xludf.DUMMYFUNCTION("""COMPUTED_VALUE"""),2676.13)</f>
        <v>2676.13</v>
      </c>
    </row>
    <row r="3815">
      <c r="A3815" s="2">
        <f>IFERROR(__xludf.DUMMYFUNCTION("""COMPUTED_VALUE"""),41337.666666666664)</f>
        <v>41337.66667</v>
      </c>
      <c r="B3815" s="1">
        <f>IFERROR(__xludf.DUMMYFUNCTION("""COMPUTED_VALUE"""),2688.51)</f>
        <v>2688.51</v>
      </c>
    </row>
    <row r="3816">
      <c r="A3816" s="2">
        <f>IFERROR(__xludf.DUMMYFUNCTION("""COMPUTED_VALUE"""),41338.666666666664)</f>
        <v>41338.66667</v>
      </c>
      <c r="B3816" s="1">
        <f>IFERROR(__xludf.DUMMYFUNCTION("""COMPUTED_VALUE"""),2714.26)</f>
        <v>2714.26</v>
      </c>
    </row>
    <row r="3817">
      <c r="A3817" s="2">
        <f>IFERROR(__xludf.DUMMYFUNCTION("""COMPUTED_VALUE"""),41339.666666666664)</f>
        <v>41339.66667</v>
      </c>
      <c r="B3817" s="1">
        <f>IFERROR(__xludf.DUMMYFUNCTION("""COMPUTED_VALUE"""),2717.29)</f>
        <v>2717.29</v>
      </c>
    </row>
    <row r="3818">
      <c r="A3818" s="2">
        <f>IFERROR(__xludf.DUMMYFUNCTION("""COMPUTED_VALUE"""),41340.666666666664)</f>
        <v>41340.66667</v>
      </c>
      <c r="B3818" s="1">
        <f>IFERROR(__xludf.DUMMYFUNCTION("""COMPUTED_VALUE"""),2723.01)</f>
        <v>2723.01</v>
      </c>
    </row>
    <row r="3819">
      <c r="A3819" s="2">
        <f>IFERROR(__xludf.DUMMYFUNCTION("""COMPUTED_VALUE"""),41341.666666666664)</f>
        <v>41341.66667</v>
      </c>
      <c r="B3819" s="1">
        <f>IFERROR(__xludf.DUMMYFUNCTION("""COMPUTED_VALUE"""),2735.48)</f>
        <v>2735.48</v>
      </c>
    </row>
    <row r="3820">
      <c r="A3820" s="2">
        <f>IFERROR(__xludf.DUMMYFUNCTION("""COMPUTED_VALUE"""),41344.666666666664)</f>
        <v>41344.66667</v>
      </c>
      <c r="B3820" s="1">
        <f>IFERROR(__xludf.DUMMYFUNCTION("""COMPUTED_VALUE"""),2744.56)</f>
        <v>2744.56</v>
      </c>
    </row>
    <row r="3821">
      <c r="A3821" s="2">
        <f>IFERROR(__xludf.DUMMYFUNCTION("""COMPUTED_VALUE"""),41345.666666666664)</f>
        <v>41345.66667</v>
      </c>
      <c r="B3821" s="1">
        <f>IFERROR(__xludf.DUMMYFUNCTION("""COMPUTED_VALUE"""),2738.21)</f>
        <v>2738.21</v>
      </c>
    </row>
    <row r="3822">
      <c r="A3822" s="2">
        <f>IFERROR(__xludf.DUMMYFUNCTION("""COMPUTED_VALUE"""),41346.666666666664)</f>
        <v>41346.66667</v>
      </c>
      <c r="B3822" s="1">
        <f>IFERROR(__xludf.DUMMYFUNCTION("""COMPUTED_VALUE"""),2741.95)</f>
        <v>2741.95</v>
      </c>
    </row>
    <row r="3823">
      <c r="A3823" s="2">
        <f>IFERROR(__xludf.DUMMYFUNCTION("""COMPUTED_VALUE"""),41347.666666666664)</f>
        <v>41347.66667</v>
      </c>
      <c r="B3823" s="1">
        <f>IFERROR(__xludf.DUMMYFUNCTION("""COMPUTED_VALUE"""),2758.24)</f>
        <v>2758.24</v>
      </c>
    </row>
    <row r="3824">
      <c r="A3824" s="2">
        <f>IFERROR(__xludf.DUMMYFUNCTION("""COMPUTED_VALUE"""),41348.666666666664)</f>
        <v>41348.66667</v>
      </c>
      <c r="B3824" s="1">
        <f>IFERROR(__xludf.DUMMYFUNCTION("""COMPUTED_VALUE"""),2753.83)</f>
        <v>2753.83</v>
      </c>
    </row>
    <row r="3825">
      <c r="A3825" s="2">
        <f>IFERROR(__xludf.DUMMYFUNCTION("""COMPUTED_VALUE"""),41351.666666666664)</f>
        <v>41351.66667</v>
      </c>
      <c r="B3825" s="1">
        <f>IFERROR(__xludf.DUMMYFUNCTION("""COMPUTED_VALUE"""),2738.65)</f>
        <v>2738.65</v>
      </c>
    </row>
    <row r="3826">
      <c r="A3826" s="2">
        <f>IFERROR(__xludf.DUMMYFUNCTION("""COMPUTED_VALUE"""),41352.666666666664)</f>
        <v>41352.66667</v>
      </c>
      <c r="B3826" s="1">
        <f>IFERROR(__xludf.DUMMYFUNCTION("""COMPUTED_VALUE"""),2732.04)</f>
        <v>2732.04</v>
      </c>
    </row>
    <row r="3827">
      <c r="A3827" s="2">
        <f>IFERROR(__xludf.DUMMYFUNCTION("""COMPUTED_VALUE"""),41353.666666666664)</f>
        <v>41353.66667</v>
      </c>
      <c r="B3827" s="1">
        <f>IFERROR(__xludf.DUMMYFUNCTION("""COMPUTED_VALUE"""),2750.39)</f>
        <v>2750.39</v>
      </c>
    </row>
    <row r="3828">
      <c r="A3828" s="2">
        <f>IFERROR(__xludf.DUMMYFUNCTION("""COMPUTED_VALUE"""),41354.666666666664)</f>
        <v>41354.66667</v>
      </c>
      <c r="B3828" s="1">
        <f>IFERROR(__xludf.DUMMYFUNCTION("""COMPUTED_VALUE"""),2727.63)</f>
        <v>2727.63</v>
      </c>
    </row>
    <row r="3829">
      <c r="A3829" s="2">
        <f>IFERROR(__xludf.DUMMYFUNCTION("""COMPUTED_VALUE"""),41355.666666666664)</f>
        <v>41355.66667</v>
      </c>
      <c r="B3829" s="1">
        <f>IFERROR(__xludf.DUMMYFUNCTION("""COMPUTED_VALUE"""),2747.25)</f>
        <v>2747.25</v>
      </c>
    </row>
    <row r="3830">
      <c r="A3830" s="2">
        <f>IFERROR(__xludf.DUMMYFUNCTION("""COMPUTED_VALUE"""),41358.666666666664)</f>
        <v>41358.66667</v>
      </c>
      <c r="B3830" s="1">
        <f>IFERROR(__xludf.DUMMYFUNCTION("""COMPUTED_VALUE"""),2738.08)</f>
        <v>2738.08</v>
      </c>
    </row>
    <row r="3831">
      <c r="A3831" s="2">
        <f>IFERROR(__xludf.DUMMYFUNCTION("""COMPUTED_VALUE"""),41359.666666666664)</f>
        <v>41359.66667</v>
      </c>
      <c r="B3831" s="1">
        <f>IFERROR(__xludf.DUMMYFUNCTION("""COMPUTED_VALUE"""),2759.39)</f>
        <v>2759.39</v>
      </c>
    </row>
    <row r="3832">
      <c r="A3832" s="2">
        <f>IFERROR(__xludf.DUMMYFUNCTION("""COMPUTED_VALUE"""),41360.666666666664)</f>
        <v>41360.66667</v>
      </c>
      <c r="B3832" s="1">
        <f>IFERROR(__xludf.DUMMYFUNCTION("""COMPUTED_VALUE"""),2758.69)</f>
        <v>2758.69</v>
      </c>
    </row>
    <row r="3833">
      <c r="A3833" s="2">
        <f>IFERROR(__xludf.DUMMYFUNCTION("""COMPUTED_VALUE"""),41361.666666666664)</f>
        <v>41361.66667</v>
      </c>
      <c r="B3833" s="1">
        <f>IFERROR(__xludf.DUMMYFUNCTION("""COMPUTED_VALUE"""),2770.04)</f>
        <v>2770.04</v>
      </c>
    </row>
    <row r="3834">
      <c r="A3834" s="2">
        <f>IFERROR(__xludf.DUMMYFUNCTION("""COMPUTED_VALUE"""),41365.666666666664)</f>
        <v>41365.66667</v>
      </c>
      <c r="B3834" s="1">
        <f>IFERROR(__xludf.DUMMYFUNCTION("""COMPUTED_VALUE"""),2757.66)</f>
        <v>2757.66</v>
      </c>
    </row>
    <row r="3835">
      <c r="A3835" s="2">
        <f>IFERROR(__xludf.DUMMYFUNCTION("""COMPUTED_VALUE"""),41366.666666666664)</f>
        <v>41366.66667</v>
      </c>
      <c r="B3835" s="1">
        <f>IFERROR(__xludf.DUMMYFUNCTION("""COMPUTED_VALUE"""),2772.08)</f>
        <v>2772.08</v>
      </c>
    </row>
    <row r="3836">
      <c r="A3836" s="2">
        <f>IFERROR(__xludf.DUMMYFUNCTION("""COMPUTED_VALUE"""),41367.666666666664)</f>
        <v>41367.66667</v>
      </c>
      <c r="B3836" s="1">
        <f>IFERROR(__xludf.DUMMYFUNCTION("""COMPUTED_VALUE"""),2742.87)</f>
        <v>2742.87</v>
      </c>
    </row>
    <row r="3837">
      <c r="A3837" s="2">
        <f>IFERROR(__xludf.DUMMYFUNCTION("""COMPUTED_VALUE"""),41368.666666666664)</f>
        <v>41368.66667</v>
      </c>
      <c r="B3837" s="1">
        <f>IFERROR(__xludf.DUMMYFUNCTION("""COMPUTED_VALUE"""),2754.49)</f>
        <v>2754.49</v>
      </c>
    </row>
    <row r="3838">
      <c r="A3838" s="2">
        <f>IFERROR(__xludf.DUMMYFUNCTION("""COMPUTED_VALUE"""),41369.666666666664)</f>
        <v>41369.66667</v>
      </c>
      <c r="B3838" s="1">
        <f>IFERROR(__xludf.DUMMYFUNCTION("""COMPUTED_VALUE"""),2742.84)</f>
        <v>2742.84</v>
      </c>
    </row>
    <row r="3839">
      <c r="A3839" s="2">
        <f>IFERROR(__xludf.DUMMYFUNCTION("""COMPUTED_VALUE"""),41372.666666666664)</f>
        <v>41372.66667</v>
      </c>
      <c r="B3839" s="1">
        <f>IFERROR(__xludf.DUMMYFUNCTION("""COMPUTED_VALUE"""),2760.15)</f>
        <v>2760.15</v>
      </c>
    </row>
    <row r="3840">
      <c r="A3840" s="2">
        <f>IFERROR(__xludf.DUMMYFUNCTION("""COMPUTED_VALUE"""),41373.666666666664)</f>
        <v>41373.66667</v>
      </c>
      <c r="B3840" s="1">
        <f>IFERROR(__xludf.DUMMYFUNCTION("""COMPUTED_VALUE"""),2770.83)</f>
        <v>2770.83</v>
      </c>
    </row>
    <row r="3841">
      <c r="A3841" s="2">
        <f>IFERROR(__xludf.DUMMYFUNCTION("""COMPUTED_VALUE"""),41374.666666666664)</f>
        <v>41374.66667</v>
      </c>
      <c r="B3841" s="1">
        <f>IFERROR(__xludf.DUMMYFUNCTION("""COMPUTED_VALUE"""),2804.62)</f>
        <v>2804.62</v>
      </c>
    </row>
    <row r="3842">
      <c r="A3842" s="2">
        <f>IFERROR(__xludf.DUMMYFUNCTION("""COMPUTED_VALUE"""),41375.666666666664)</f>
        <v>41375.66667</v>
      </c>
      <c r="B3842" s="1">
        <f>IFERROR(__xludf.DUMMYFUNCTION("""COMPUTED_VALUE"""),2814.77)</f>
        <v>2814.77</v>
      </c>
    </row>
    <row r="3843">
      <c r="A3843" s="2">
        <f>IFERROR(__xludf.DUMMYFUNCTION("""COMPUTED_VALUE"""),41376.666666666664)</f>
        <v>41376.66667</v>
      </c>
      <c r="B3843" s="1">
        <f>IFERROR(__xludf.DUMMYFUNCTION("""COMPUTED_VALUE"""),2807.03)</f>
        <v>2807.03</v>
      </c>
    </row>
    <row r="3844">
      <c r="A3844" s="2">
        <f>IFERROR(__xludf.DUMMYFUNCTION("""COMPUTED_VALUE"""),41379.666666666664)</f>
        <v>41379.66667</v>
      </c>
      <c r="B3844" s="1">
        <f>IFERROR(__xludf.DUMMYFUNCTION("""COMPUTED_VALUE"""),2742.62)</f>
        <v>2742.62</v>
      </c>
    </row>
    <row r="3845">
      <c r="A3845" s="2">
        <f>IFERROR(__xludf.DUMMYFUNCTION("""COMPUTED_VALUE"""),41380.666666666664)</f>
        <v>41380.66667</v>
      </c>
      <c r="B3845" s="1">
        <f>IFERROR(__xludf.DUMMYFUNCTION("""COMPUTED_VALUE"""),2781.86)</f>
        <v>2781.86</v>
      </c>
    </row>
    <row r="3846">
      <c r="A3846" s="2">
        <f>IFERROR(__xludf.DUMMYFUNCTION("""COMPUTED_VALUE"""),41381.666666666664)</f>
        <v>41381.66667</v>
      </c>
      <c r="B3846" s="1">
        <f>IFERROR(__xludf.DUMMYFUNCTION("""COMPUTED_VALUE"""),2742.0)</f>
        <v>2742</v>
      </c>
    </row>
    <row r="3847">
      <c r="A3847" s="2">
        <f>IFERROR(__xludf.DUMMYFUNCTION("""COMPUTED_VALUE"""),41382.666666666664)</f>
        <v>41382.66667</v>
      </c>
      <c r="B3847" s="1">
        <f>IFERROR(__xludf.DUMMYFUNCTION("""COMPUTED_VALUE"""),2723.63)</f>
        <v>2723.63</v>
      </c>
    </row>
    <row r="3848">
      <c r="A3848" s="2">
        <f>IFERROR(__xludf.DUMMYFUNCTION("""COMPUTED_VALUE"""),41383.666666666664)</f>
        <v>41383.66667</v>
      </c>
      <c r="B3848" s="1">
        <f>IFERROR(__xludf.DUMMYFUNCTION("""COMPUTED_VALUE"""),2747.82)</f>
        <v>2747.82</v>
      </c>
    </row>
    <row r="3849">
      <c r="A3849" s="2">
        <f>IFERROR(__xludf.DUMMYFUNCTION("""COMPUTED_VALUE"""),41386.666666666664)</f>
        <v>41386.66667</v>
      </c>
      <c r="B3849" s="1">
        <f>IFERROR(__xludf.DUMMYFUNCTION("""COMPUTED_VALUE"""),2760.74)</f>
        <v>2760.74</v>
      </c>
    </row>
    <row r="3850">
      <c r="A3850" s="2">
        <f>IFERROR(__xludf.DUMMYFUNCTION("""COMPUTED_VALUE"""),41387.666666666664)</f>
        <v>41387.66667</v>
      </c>
      <c r="B3850" s="1">
        <f>IFERROR(__xludf.DUMMYFUNCTION("""COMPUTED_VALUE"""),2789.56)</f>
        <v>2789.56</v>
      </c>
    </row>
    <row r="3851">
      <c r="A3851" s="2">
        <f>IFERROR(__xludf.DUMMYFUNCTION("""COMPUTED_VALUE"""),41388.666666666664)</f>
        <v>41388.66667</v>
      </c>
      <c r="B3851" s="1">
        <f>IFERROR(__xludf.DUMMYFUNCTION("""COMPUTED_VALUE"""),2789.58)</f>
        <v>2789.58</v>
      </c>
    </row>
    <row r="3852">
      <c r="A3852" s="2">
        <f>IFERROR(__xludf.DUMMYFUNCTION("""COMPUTED_VALUE"""),41389.666666666664)</f>
        <v>41389.66667</v>
      </c>
      <c r="B3852" s="1">
        <f>IFERROR(__xludf.DUMMYFUNCTION("""COMPUTED_VALUE"""),2801.19)</f>
        <v>2801.19</v>
      </c>
    </row>
    <row r="3853">
      <c r="A3853" s="2">
        <f>IFERROR(__xludf.DUMMYFUNCTION("""COMPUTED_VALUE"""),41390.666666666664)</f>
        <v>41390.66667</v>
      </c>
      <c r="B3853" s="1">
        <f>IFERROR(__xludf.DUMMYFUNCTION("""COMPUTED_VALUE"""),2796.12)</f>
        <v>2796.12</v>
      </c>
    </row>
    <row r="3854">
      <c r="A3854" s="2">
        <f>IFERROR(__xludf.DUMMYFUNCTION("""COMPUTED_VALUE"""),41393.666666666664)</f>
        <v>41393.66667</v>
      </c>
      <c r="B3854" s="1">
        <f>IFERROR(__xludf.DUMMYFUNCTION("""COMPUTED_VALUE"""),2816.34)</f>
        <v>2816.34</v>
      </c>
    </row>
    <row r="3855">
      <c r="A3855" s="2">
        <f>IFERROR(__xludf.DUMMYFUNCTION("""COMPUTED_VALUE"""),41394.666666666664)</f>
        <v>41394.66667</v>
      </c>
      <c r="B3855" s="1">
        <f>IFERROR(__xludf.DUMMYFUNCTION("""COMPUTED_VALUE"""),2823.39)</f>
        <v>2823.39</v>
      </c>
    </row>
    <row r="3856">
      <c r="A3856" s="2">
        <f>IFERROR(__xludf.DUMMYFUNCTION("""COMPUTED_VALUE"""),41395.666666666664)</f>
        <v>41395.66667</v>
      </c>
      <c r="B3856" s="1">
        <f>IFERROR(__xludf.DUMMYFUNCTION("""COMPUTED_VALUE"""),2797.15)</f>
        <v>2797.15</v>
      </c>
    </row>
    <row r="3857">
      <c r="A3857" s="2">
        <f>IFERROR(__xludf.DUMMYFUNCTION("""COMPUTED_VALUE"""),41396.666666666664)</f>
        <v>41396.66667</v>
      </c>
      <c r="B3857" s="1">
        <f>IFERROR(__xludf.DUMMYFUNCTION("""COMPUTED_VALUE"""),2823.59)</f>
        <v>2823.59</v>
      </c>
    </row>
    <row r="3858">
      <c r="A3858" s="2">
        <f>IFERROR(__xludf.DUMMYFUNCTION("""COMPUTED_VALUE"""),41397.666666666664)</f>
        <v>41397.66667</v>
      </c>
      <c r="B3858" s="1">
        <f>IFERROR(__xludf.DUMMYFUNCTION("""COMPUTED_VALUE"""),2853.57)</f>
        <v>2853.57</v>
      </c>
    </row>
    <row r="3859">
      <c r="A3859" s="2">
        <f>IFERROR(__xludf.DUMMYFUNCTION("""COMPUTED_VALUE"""),41400.666666666664)</f>
        <v>41400.66667</v>
      </c>
      <c r="B3859" s="1">
        <f>IFERROR(__xludf.DUMMYFUNCTION("""COMPUTED_VALUE"""),2859.34)</f>
        <v>2859.34</v>
      </c>
    </row>
    <row r="3860">
      <c r="A3860" s="2">
        <f>IFERROR(__xludf.DUMMYFUNCTION("""COMPUTED_VALUE"""),41401.666666666664)</f>
        <v>41401.66667</v>
      </c>
      <c r="B3860" s="1">
        <f>IFERROR(__xludf.DUMMYFUNCTION("""COMPUTED_VALUE"""),2874.3)</f>
        <v>2874.3</v>
      </c>
    </row>
    <row r="3861">
      <c r="A3861" s="2">
        <f>IFERROR(__xludf.DUMMYFUNCTION("""COMPUTED_VALUE"""),41402.666666666664)</f>
        <v>41402.66667</v>
      </c>
      <c r="B3861" s="1">
        <f>IFERROR(__xludf.DUMMYFUNCTION("""COMPUTED_VALUE"""),2886.35)</f>
        <v>2886.35</v>
      </c>
    </row>
    <row r="3862">
      <c r="A3862" s="2">
        <f>IFERROR(__xludf.DUMMYFUNCTION("""COMPUTED_VALUE"""),41403.666666666664)</f>
        <v>41403.66667</v>
      </c>
      <c r="B3862" s="1">
        <f>IFERROR(__xludf.DUMMYFUNCTION("""COMPUTED_VALUE"""),2876.96)</f>
        <v>2876.96</v>
      </c>
    </row>
    <row r="3863">
      <c r="A3863" s="2">
        <f>IFERROR(__xludf.DUMMYFUNCTION("""COMPUTED_VALUE"""),41404.666666666664)</f>
        <v>41404.66667</v>
      </c>
      <c r="B3863" s="1">
        <f>IFERROR(__xludf.DUMMYFUNCTION("""COMPUTED_VALUE"""),2890.74)</f>
        <v>2890.74</v>
      </c>
    </row>
    <row r="3864">
      <c r="A3864" s="2">
        <f>IFERROR(__xludf.DUMMYFUNCTION("""COMPUTED_VALUE"""),41407.666666666664)</f>
        <v>41407.66667</v>
      </c>
      <c r="B3864" s="1">
        <f>IFERROR(__xludf.DUMMYFUNCTION("""COMPUTED_VALUE"""),2890.89)</f>
        <v>2890.89</v>
      </c>
    </row>
    <row r="3865">
      <c r="A3865" s="2">
        <f>IFERROR(__xludf.DUMMYFUNCTION("""COMPUTED_VALUE"""),41408.666666666664)</f>
        <v>41408.66667</v>
      </c>
      <c r="B3865" s="1">
        <f>IFERROR(__xludf.DUMMYFUNCTION("""COMPUTED_VALUE"""),2920.5)</f>
        <v>2920.5</v>
      </c>
    </row>
    <row r="3866">
      <c r="A3866" s="2">
        <f>IFERROR(__xludf.DUMMYFUNCTION("""COMPUTED_VALUE"""),41409.666666666664)</f>
        <v>41409.66667</v>
      </c>
      <c r="B3866" s="1">
        <f>IFERROR(__xludf.DUMMYFUNCTION("""COMPUTED_VALUE"""),2936.06)</f>
        <v>2936.06</v>
      </c>
    </row>
    <row r="3867">
      <c r="A3867" s="2">
        <f>IFERROR(__xludf.DUMMYFUNCTION("""COMPUTED_VALUE"""),41410.666666666664)</f>
        <v>41410.66667</v>
      </c>
      <c r="B3867" s="1">
        <f>IFERROR(__xludf.DUMMYFUNCTION("""COMPUTED_VALUE"""),2922.26)</f>
        <v>2922.26</v>
      </c>
    </row>
    <row r="3868">
      <c r="A3868" s="2">
        <f>IFERROR(__xludf.DUMMYFUNCTION("""COMPUTED_VALUE"""),41411.666666666664)</f>
        <v>41411.66667</v>
      </c>
      <c r="B3868" s="1">
        <f>IFERROR(__xludf.DUMMYFUNCTION("""COMPUTED_VALUE"""),2950.1)</f>
        <v>2950.1</v>
      </c>
    </row>
    <row r="3869">
      <c r="A3869" s="2">
        <f>IFERROR(__xludf.DUMMYFUNCTION("""COMPUTED_VALUE"""),41414.666666666664)</f>
        <v>41414.66667</v>
      </c>
      <c r="B3869" s="1">
        <f>IFERROR(__xludf.DUMMYFUNCTION("""COMPUTED_VALUE"""),2950.47)</f>
        <v>2950.47</v>
      </c>
    </row>
    <row r="3870">
      <c r="A3870" s="2">
        <f>IFERROR(__xludf.DUMMYFUNCTION("""COMPUTED_VALUE"""),41415.666666666664)</f>
        <v>41415.66667</v>
      </c>
      <c r="B3870" s="1">
        <f>IFERROR(__xludf.DUMMYFUNCTION("""COMPUTED_VALUE"""),2955.61)</f>
        <v>2955.61</v>
      </c>
    </row>
    <row r="3871">
      <c r="A3871" s="2">
        <f>IFERROR(__xludf.DUMMYFUNCTION("""COMPUTED_VALUE"""),41416.666666666664)</f>
        <v>41416.66667</v>
      </c>
      <c r="B3871" s="1">
        <f>IFERROR(__xludf.DUMMYFUNCTION("""COMPUTED_VALUE"""),2931.24)</f>
        <v>2931.24</v>
      </c>
    </row>
    <row r="3872">
      <c r="A3872" s="2">
        <f>IFERROR(__xludf.DUMMYFUNCTION("""COMPUTED_VALUE"""),41417.666666666664)</f>
        <v>41417.66667</v>
      </c>
      <c r="B3872" s="1">
        <f>IFERROR(__xludf.DUMMYFUNCTION("""COMPUTED_VALUE"""),2923.01)</f>
        <v>2923.01</v>
      </c>
    </row>
    <row r="3873">
      <c r="A3873" s="2">
        <f>IFERROR(__xludf.DUMMYFUNCTION("""COMPUTED_VALUE"""),41418.666666666664)</f>
        <v>41418.66667</v>
      </c>
      <c r="B3873" s="1">
        <f>IFERROR(__xludf.DUMMYFUNCTION("""COMPUTED_VALUE"""),2921.81)</f>
        <v>2921.81</v>
      </c>
    </row>
    <row r="3874">
      <c r="A3874" s="2">
        <f>IFERROR(__xludf.DUMMYFUNCTION("""COMPUTED_VALUE"""),41422.666666666664)</f>
        <v>41422.66667</v>
      </c>
      <c r="B3874" s="1">
        <f>IFERROR(__xludf.DUMMYFUNCTION("""COMPUTED_VALUE"""),2940.4)</f>
        <v>2940.4</v>
      </c>
    </row>
    <row r="3875">
      <c r="A3875" s="2">
        <f>IFERROR(__xludf.DUMMYFUNCTION("""COMPUTED_VALUE"""),41423.666666666664)</f>
        <v>41423.66667</v>
      </c>
      <c r="B3875" s="1">
        <f>IFERROR(__xludf.DUMMYFUNCTION("""COMPUTED_VALUE"""),2919.73)</f>
        <v>2919.73</v>
      </c>
    </row>
    <row r="3876">
      <c r="A3876" s="2">
        <f>IFERROR(__xludf.DUMMYFUNCTION("""COMPUTED_VALUE"""),41424.666666666664)</f>
        <v>41424.66667</v>
      </c>
      <c r="B3876" s="1">
        <f>IFERROR(__xludf.DUMMYFUNCTION("""COMPUTED_VALUE"""),2930.9)</f>
        <v>2930.9</v>
      </c>
    </row>
    <row r="3877">
      <c r="A3877" s="2">
        <f>IFERROR(__xludf.DUMMYFUNCTION("""COMPUTED_VALUE"""),41425.666666666664)</f>
        <v>41425.66667</v>
      </c>
      <c r="B3877" s="1">
        <f>IFERROR(__xludf.DUMMYFUNCTION("""COMPUTED_VALUE"""),2889.45)</f>
        <v>2889.45</v>
      </c>
    </row>
    <row r="3878">
      <c r="A3878" s="2">
        <f>IFERROR(__xludf.DUMMYFUNCTION("""COMPUTED_VALUE"""),41428.666666666664)</f>
        <v>41428.66667</v>
      </c>
      <c r="B3878" s="1">
        <f>IFERROR(__xludf.DUMMYFUNCTION("""COMPUTED_VALUE"""),2906.61)</f>
        <v>2906.61</v>
      </c>
    </row>
    <row r="3879">
      <c r="A3879" s="2">
        <f>IFERROR(__xludf.DUMMYFUNCTION("""COMPUTED_VALUE"""),41429.666666666664)</f>
        <v>41429.66667</v>
      </c>
      <c r="B3879" s="1">
        <f>IFERROR(__xludf.DUMMYFUNCTION("""COMPUTED_VALUE"""),2890.89)</f>
        <v>2890.89</v>
      </c>
    </row>
    <row r="3880">
      <c r="A3880" s="2">
        <f>IFERROR(__xludf.DUMMYFUNCTION("""COMPUTED_VALUE"""),41430.666666666664)</f>
        <v>41430.66667</v>
      </c>
      <c r="B3880" s="1">
        <f>IFERROR(__xludf.DUMMYFUNCTION("""COMPUTED_VALUE"""),2851.17)</f>
        <v>2851.17</v>
      </c>
    </row>
    <row r="3881">
      <c r="A3881" s="2">
        <f>IFERROR(__xludf.DUMMYFUNCTION("""COMPUTED_VALUE"""),41431.666666666664)</f>
        <v>41431.66667</v>
      </c>
      <c r="B3881" s="1">
        <f>IFERROR(__xludf.DUMMYFUNCTION("""COMPUTED_VALUE"""),2876.1)</f>
        <v>2876.1</v>
      </c>
    </row>
    <row r="3882">
      <c r="A3882" s="2">
        <f>IFERROR(__xludf.DUMMYFUNCTION("""COMPUTED_VALUE"""),41432.666666666664)</f>
        <v>41432.66667</v>
      </c>
      <c r="B3882" s="1">
        <f>IFERROR(__xludf.DUMMYFUNCTION("""COMPUTED_VALUE"""),2913.41)</f>
        <v>2913.41</v>
      </c>
    </row>
    <row r="3883">
      <c r="A3883" s="2">
        <f>IFERROR(__xludf.DUMMYFUNCTION("""COMPUTED_VALUE"""),41435.666666666664)</f>
        <v>41435.66667</v>
      </c>
      <c r="B3883" s="1">
        <f>IFERROR(__xludf.DUMMYFUNCTION("""COMPUTED_VALUE"""),2912.45)</f>
        <v>2912.45</v>
      </c>
    </row>
    <row r="3884">
      <c r="A3884" s="2">
        <f>IFERROR(__xludf.DUMMYFUNCTION("""COMPUTED_VALUE"""),41436.666666666664)</f>
        <v>41436.66667</v>
      </c>
      <c r="B3884" s="1">
        <f>IFERROR(__xludf.DUMMYFUNCTION("""COMPUTED_VALUE"""),2883.05)</f>
        <v>2883.05</v>
      </c>
    </row>
    <row r="3885">
      <c r="A3885" s="2">
        <f>IFERROR(__xludf.DUMMYFUNCTION("""COMPUTED_VALUE"""),41437.666666666664)</f>
        <v>41437.66667</v>
      </c>
      <c r="B3885" s="1">
        <f>IFERROR(__xludf.DUMMYFUNCTION("""COMPUTED_VALUE"""),2858.94)</f>
        <v>2858.94</v>
      </c>
    </row>
    <row r="3886">
      <c r="A3886" s="2">
        <f>IFERROR(__xludf.DUMMYFUNCTION("""COMPUTED_VALUE"""),41438.666666666664)</f>
        <v>41438.66667</v>
      </c>
      <c r="B3886" s="1">
        <f>IFERROR(__xludf.DUMMYFUNCTION("""COMPUTED_VALUE"""),2901.89)</f>
        <v>2901.89</v>
      </c>
    </row>
    <row r="3887">
      <c r="A3887" s="2">
        <f>IFERROR(__xludf.DUMMYFUNCTION("""COMPUTED_VALUE"""),41439.666666666664)</f>
        <v>41439.66667</v>
      </c>
      <c r="B3887" s="1">
        <f>IFERROR(__xludf.DUMMYFUNCTION("""COMPUTED_VALUE"""),2885.23)</f>
        <v>2885.23</v>
      </c>
    </row>
    <row r="3888">
      <c r="A3888" s="2">
        <f>IFERROR(__xludf.DUMMYFUNCTION("""COMPUTED_VALUE"""),41442.666666666664)</f>
        <v>41442.66667</v>
      </c>
      <c r="B3888" s="1">
        <f>IFERROR(__xludf.DUMMYFUNCTION("""COMPUTED_VALUE"""),2907.08)</f>
        <v>2907.08</v>
      </c>
    </row>
    <row r="3889">
      <c r="A3889" s="2">
        <f>IFERROR(__xludf.DUMMYFUNCTION("""COMPUTED_VALUE"""),41443.666666666664)</f>
        <v>41443.66667</v>
      </c>
      <c r="B3889" s="1">
        <f>IFERROR(__xludf.DUMMYFUNCTION("""COMPUTED_VALUE"""),2929.77)</f>
        <v>2929.77</v>
      </c>
    </row>
    <row r="3890">
      <c r="A3890" s="2">
        <f>IFERROR(__xludf.DUMMYFUNCTION("""COMPUTED_VALUE"""),41444.666666666664)</f>
        <v>41444.66667</v>
      </c>
      <c r="B3890" s="1">
        <f>IFERROR(__xludf.DUMMYFUNCTION("""COMPUTED_VALUE"""),2889.24)</f>
        <v>2889.24</v>
      </c>
    </row>
    <row r="3891">
      <c r="A3891" s="2">
        <f>IFERROR(__xludf.DUMMYFUNCTION("""COMPUTED_VALUE"""),41445.666666666664)</f>
        <v>41445.66667</v>
      </c>
      <c r="B3891" s="1">
        <f>IFERROR(__xludf.DUMMYFUNCTION("""COMPUTED_VALUE"""),2817.0)</f>
        <v>2817</v>
      </c>
    </row>
    <row r="3892">
      <c r="A3892" s="2">
        <f>IFERROR(__xludf.DUMMYFUNCTION("""COMPUTED_VALUE"""),41446.666666666664)</f>
        <v>41446.66667</v>
      </c>
      <c r="B3892" s="1">
        <f>IFERROR(__xludf.DUMMYFUNCTION("""COMPUTED_VALUE"""),2824.96)</f>
        <v>2824.96</v>
      </c>
    </row>
    <row r="3893">
      <c r="A3893" s="2">
        <f>IFERROR(__xludf.DUMMYFUNCTION("""COMPUTED_VALUE"""),41449.666666666664)</f>
        <v>41449.66667</v>
      </c>
      <c r="B3893" s="1">
        <f>IFERROR(__xludf.DUMMYFUNCTION("""COMPUTED_VALUE"""),2790.66)</f>
        <v>2790.66</v>
      </c>
    </row>
    <row r="3894">
      <c r="A3894" s="2">
        <f>IFERROR(__xludf.DUMMYFUNCTION("""COMPUTED_VALUE"""),41450.666666666664)</f>
        <v>41450.66667</v>
      </c>
      <c r="B3894" s="1">
        <f>IFERROR(__xludf.DUMMYFUNCTION("""COMPUTED_VALUE"""),2817.16)</f>
        <v>2817.16</v>
      </c>
    </row>
    <row r="3895">
      <c r="A3895" s="2">
        <f>IFERROR(__xludf.DUMMYFUNCTION("""COMPUTED_VALUE"""),41451.666666666664)</f>
        <v>41451.66667</v>
      </c>
      <c r="B3895" s="1">
        <f>IFERROR(__xludf.DUMMYFUNCTION("""COMPUTED_VALUE"""),2844.47)</f>
        <v>2844.47</v>
      </c>
    </row>
    <row r="3896">
      <c r="A3896" s="2">
        <f>IFERROR(__xludf.DUMMYFUNCTION("""COMPUTED_VALUE"""),41452.666666666664)</f>
        <v>41452.66667</v>
      </c>
      <c r="B3896" s="1">
        <f>IFERROR(__xludf.DUMMYFUNCTION("""COMPUTED_VALUE"""),2862.68)</f>
        <v>2862.68</v>
      </c>
    </row>
    <row r="3897">
      <c r="A3897" s="2">
        <f>IFERROR(__xludf.DUMMYFUNCTION("""COMPUTED_VALUE"""),41453.666666666664)</f>
        <v>41453.66667</v>
      </c>
      <c r="B3897" s="1">
        <f>IFERROR(__xludf.DUMMYFUNCTION("""COMPUTED_VALUE"""),2850.64)</f>
        <v>2850.64</v>
      </c>
    </row>
    <row r="3898">
      <c r="A3898" s="2">
        <f>IFERROR(__xludf.DUMMYFUNCTION("""COMPUTED_VALUE"""),41456.666666666664)</f>
        <v>41456.66667</v>
      </c>
      <c r="B3898" s="1">
        <f>IFERROR(__xludf.DUMMYFUNCTION("""COMPUTED_VALUE"""),2866.07)</f>
        <v>2866.07</v>
      </c>
    </row>
    <row r="3899">
      <c r="A3899" s="2">
        <f>IFERROR(__xludf.DUMMYFUNCTION("""COMPUTED_VALUE"""),41457.666666666664)</f>
        <v>41457.66667</v>
      </c>
      <c r="B3899" s="1">
        <f>IFERROR(__xludf.DUMMYFUNCTION("""COMPUTED_VALUE"""),2865.47)</f>
        <v>2865.47</v>
      </c>
    </row>
    <row r="3900">
      <c r="A3900" s="2">
        <f>IFERROR(__xludf.DUMMYFUNCTION("""COMPUTED_VALUE"""),41458.666666666664)</f>
        <v>41458.66667</v>
      </c>
      <c r="B3900" s="1">
        <f>IFERROR(__xludf.DUMMYFUNCTION("""COMPUTED_VALUE"""),2867.85)</f>
        <v>2867.85</v>
      </c>
    </row>
    <row r="3901">
      <c r="A3901" s="2">
        <f>IFERROR(__xludf.DUMMYFUNCTION("""COMPUTED_VALUE"""),41460.666666666664)</f>
        <v>41460.66667</v>
      </c>
      <c r="B3901" s="1">
        <f>IFERROR(__xludf.DUMMYFUNCTION("""COMPUTED_VALUE"""),2897.12)</f>
        <v>2897.12</v>
      </c>
    </row>
    <row r="3902">
      <c r="A3902" s="2">
        <f>IFERROR(__xludf.DUMMYFUNCTION("""COMPUTED_VALUE"""),41463.666666666664)</f>
        <v>41463.66667</v>
      </c>
      <c r="B3902" s="1">
        <f>IFERROR(__xludf.DUMMYFUNCTION("""COMPUTED_VALUE"""),2913.2)</f>
        <v>2913.2</v>
      </c>
    </row>
    <row r="3903">
      <c r="A3903" s="2">
        <f>IFERROR(__xludf.DUMMYFUNCTION("""COMPUTED_VALUE"""),41464.666666666664)</f>
        <v>41464.66667</v>
      </c>
      <c r="B3903" s="1">
        <f>IFERROR(__xludf.DUMMYFUNCTION("""COMPUTED_VALUE"""),2934.32)</f>
        <v>2934.32</v>
      </c>
    </row>
    <row r="3904">
      <c r="A3904" s="2">
        <f>IFERROR(__xludf.DUMMYFUNCTION("""COMPUTED_VALUE"""),41465.666666666664)</f>
        <v>41465.66667</v>
      </c>
      <c r="B3904" s="1">
        <f>IFERROR(__xludf.DUMMYFUNCTION("""COMPUTED_VALUE"""),2934.97)</f>
        <v>2934.97</v>
      </c>
    </row>
    <row r="3905">
      <c r="A3905" s="2">
        <f>IFERROR(__xludf.DUMMYFUNCTION("""COMPUTED_VALUE"""),41466.666666666664)</f>
        <v>41466.66667</v>
      </c>
      <c r="B3905" s="1">
        <f>IFERROR(__xludf.DUMMYFUNCTION("""COMPUTED_VALUE"""),2975.05)</f>
        <v>2975.05</v>
      </c>
    </row>
    <row r="3906">
      <c r="A3906" s="2">
        <f>IFERROR(__xludf.DUMMYFUNCTION("""COMPUTED_VALUE"""),41467.666666666664)</f>
        <v>41467.66667</v>
      </c>
      <c r="B3906" s="1">
        <f>IFERROR(__xludf.DUMMYFUNCTION("""COMPUTED_VALUE"""),2984.23)</f>
        <v>2984.23</v>
      </c>
    </row>
    <row r="3907">
      <c r="A3907" s="2">
        <f>IFERROR(__xludf.DUMMYFUNCTION("""COMPUTED_VALUE"""),41470.666666666664)</f>
        <v>41470.66667</v>
      </c>
      <c r="B3907" s="1">
        <f>IFERROR(__xludf.DUMMYFUNCTION("""COMPUTED_VALUE"""),2988.35)</f>
        <v>2988.35</v>
      </c>
    </row>
    <row r="3908">
      <c r="A3908" s="2">
        <f>IFERROR(__xludf.DUMMYFUNCTION("""COMPUTED_VALUE"""),41471.666666666664)</f>
        <v>41471.66667</v>
      </c>
      <c r="B3908" s="1">
        <f>IFERROR(__xludf.DUMMYFUNCTION("""COMPUTED_VALUE"""),2977.26)</f>
        <v>2977.26</v>
      </c>
    </row>
    <row r="3909">
      <c r="A3909" s="2">
        <f>IFERROR(__xludf.DUMMYFUNCTION("""COMPUTED_VALUE"""),41472.666666666664)</f>
        <v>41472.66667</v>
      </c>
      <c r="B3909" s="1">
        <f>IFERROR(__xludf.DUMMYFUNCTION("""COMPUTED_VALUE"""),2985.85)</f>
        <v>2985.85</v>
      </c>
    </row>
    <row r="3910">
      <c r="A3910" s="2">
        <f>IFERROR(__xludf.DUMMYFUNCTION("""COMPUTED_VALUE"""),41473.666666666664)</f>
        <v>41473.66667</v>
      </c>
      <c r="B3910" s="1">
        <f>IFERROR(__xludf.DUMMYFUNCTION("""COMPUTED_VALUE"""),3001.21)</f>
        <v>3001.21</v>
      </c>
    </row>
    <row r="3911">
      <c r="A3911" s="2">
        <f>IFERROR(__xludf.DUMMYFUNCTION("""COMPUTED_VALUE"""),41474.666666666664)</f>
        <v>41474.66667</v>
      </c>
      <c r="B3911" s="1">
        <f>IFERROR(__xludf.DUMMYFUNCTION("""COMPUTED_VALUE"""),3006.13)</f>
        <v>3006.13</v>
      </c>
    </row>
    <row r="3912">
      <c r="A3912" s="2">
        <f>IFERROR(__xludf.DUMMYFUNCTION("""COMPUTED_VALUE"""),41477.666666666664)</f>
        <v>41477.66667</v>
      </c>
      <c r="B3912" s="1">
        <f>IFERROR(__xludf.DUMMYFUNCTION("""COMPUTED_VALUE"""),3012.3)</f>
        <v>3012.3</v>
      </c>
    </row>
    <row r="3913">
      <c r="A3913" s="2">
        <f>IFERROR(__xludf.DUMMYFUNCTION("""COMPUTED_VALUE"""),41478.666666666664)</f>
        <v>41478.66667</v>
      </c>
      <c r="B3913" s="1">
        <f>IFERROR(__xludf.DUMMYFUNCTION("""COMPUTED_VALUE"""),3006.72)</f>
        <v>3006.72</v>
      </c>
    </row>
    <row r="3914">
      <c r="A3914" s="2">
        <f>IFERROR(__xludf.DUMMYFUNCTION("""COMPUTED_VALUE"""),41479.666666666664)</f>
        <v>41479.66667</v>
      </c>
      <c r="B3914" s="1">
        <f>IFERROR(__xludf.DUMMYFUNCTION("""COMPUTED_VALUE"""),2995.3)</f>
        <v>2995.3</v>
      </c>
    </row>
    <row r="3915">
      <c r="A3915" s="2">
        <f>IFERROR(__xludf.DUMMYFUNCTION("""COMPUTED_VALUE"""),41480.666666666664)</f>
        <v>41480.66667</v>
      </c>
      <c r="B3915" s="1">
        <f>IFERROR(__xludf.DUMMYFUNCTION("""COMPUTED_VALUE"""),3003.0)</f>
        <v>3003</v>
      </c>
    </row>
    <row r="3916">
      <c r="A3916" s="2">
        <f>IFERROR(__xludf.DUMMYFUNCTION("""COMPUTED_VALUE"""),41481.666666666664)</f>
        <v>41481.66667</v>
      </c>
      <c r="B3916" s="1">
        <f>IFERROR(__xludf.DUMMYFUNCTION("""COMPUTED_VALUE"""),3005.51)</f>
        <v>3005.51</v>
      </c>
    </row>
    <row r="3917">
      <c r="A3917" s="2">
        <f>IFERROR(__xludf.DUMMYFUNCTION("""COMPUTED_VALUE"""),41484.666666666664)</f>
        <v>41484.66667</v>
      </c>
      <c r="B3917" s="1">
        <f>IFERROR(__xludf.DUMMYFUNCTION("""COMPUTED_VALUE"""),2994.45)</f>
        <v>2994.45</v>
      </c>
    </row>
    <row r="3918">
      <c r="A3918" s="2">
        <f>IFERROR(__xludf.DUMMYFUNCTION("""COMPUTED_VALUE"""),41485.666666666664)</f>
        <v>41485.66667</v>
      </c>
      <c r="B3918" s="1">
        <f>IFERROR(__xludf.DUMMYFUNCTION("""COMPUTED_VALUE"""),2995.68)</f>
        <v>2995.68</v>
      </c>
    </row>
    <row r="3919">
      <c r="A3919" s="2">
        <f>IFERROR(__xludf.DUMMYFUNCTION("""COMPUTED_VALUE"""),41486.666666666664)</f>
        <v>41486.66667</v>
      </c>
      <c r="B3919" s="1">
        <f>IFERROR(__xludf.DUMMYFUNCTION("""COMPUTED_VALUE"""),2995.72)</f>
        <v>2995.72</v>
      </c>
    </row>
    <row r="3920">
      <c r="A3920" s="2">
        <f>IFERROR(__xludf.DUMMYFUNCTION("""COMPUTED_VALUE"""),41487.666666666664)</f>
        <v>41487.66667</v>
      </c>
      <c r="B3920" s="1">
        <f>IFERROR(__xludf.DUMMYFUNCTION("""COMPUTED_VALUE"""),3033.59)</f>
        <v>3033.59</v>
      </c>
    </row>
    <row r="3921">
      <c r="A3921" s="2">
        <f>IFERROR(__xludf.DUMMYFUNCTION("""COMPUTED_VALUE"""),41488.666666666664)</f>
        <v>41488.66667</v>
      </c>
      <c r="B3921" s="1">
        <f>IFERROR(__xludf.DUMMYFUNCTION("""COMPUTED_VALUE"""),3038.62)</f>
        <v>3038.62</v>
      </c>
    </row>
    <row r="3922">
      <c r="A3922" s="2">
        <f>IFERROR(__xludf.DUMMYFUNCTION("""COMPUTED_VALUE"""),41491.666666666664)</f>
        <v>41491.66667</v>
      </c>
      <c r="B3922" s="1">
        <f>IFERROR(__xludf.DUMMYFUNCTION("""COMPUTED_VALUE"""),3034.43)</f>
        <v>3034.43</v>
      </c>
    </row>
    <row r="3923">
      <c r="A3923" s="2">
        <f>IFERROR(__xludf.DUMMYFUNCTION("""COMPUTED_VALUE"""),41492.666666666664)</f>
        <v>41492.66667</v>
      </c>
      <c r="B3923" s="1">
        <f>IFERROR(__xludf.DUMMYFUNCTION("""COMPUTED_VALUE"""),3017.16)</f>
        <v>3017.16</v>
      </c>
    </row>
    <row r="3924">
      <c r="A3924" s="2">
        <f>IFERROR(__xludf.DUMMYFUNCTION("""COMPUTED_VALUE"""),41493.666666666664)</f>
        <v>41493.66667</v>
      </c>
      <c r="B3924" s="1">
        <f>IFERROR(__xludf.DUMMYFUNCTION("""COMPUTED_VALUE"""),3006.63)</f>
        <v>3006.63</v>
      </c>
    </row>
    <row r="3925">
      <c r="A3925" s="2">
        <f>IFERROR(__xludf.DUMMYFUNCTION("""COMPUTED_VALUE"""),41494.666666666664)</f>
        <v>41494.66667</v>
      </c>
      <c r="B3925" s="1">
        <f>IFERROR(__xludf.DUMMYFUNCTION("""COMPUTED_VALUE"""),3019.0)</f>
        <v>3019</v>
      </c>
    </row>
    <row r="3926">
      <c r="A3926" s="2">
        <f>IFERROR(__xludf.DUMMYFUNCTION("""COMPUTED_VALUE"""),41495.666666666664)</f>
        <v>41495.66667</v>
      </c>
      <c r="B3926" s="1">
        <f>IFERROR(__xludf.DUMMYFUNCTION("""COMPUTED_VALUE"""),3008.78)</f>
        <v>3008.78</v>
      </c>
    </row>
    <row r="3927">
      <c r="A3927" s="2">
        <f>IFERROR(__xludf.DUMMYFUNCTION("""COMPUTED_VALUE"""),41498.666666666664)</f>
        <v>41498.66667</v>
      </c>
      <c r="B3927" s="1">
        <f>IFERROR(__xludf.DUMMYFUNCTION("""COMPUTED_VALUE"""),3005.41)</f>
        <v>3005.41</v>
      </c>
    </row>
    <row r="3928">
      <c r="A3928" s="2">
        <f>IFERROR(__xludf.DUMMYFUNCTION("""COMPUTED_VALUE"""),41499.666666666664)</f>
        <v>41499.66667</v>
      </c>
      <c r="B3928" s="1">
        <f>IFERROR(__xludf.DUMMYFUNCTION("""COMPUTED_VALUE"""),3014.42)</f>
        <v>3014.42</v>
      </c>
    </row>
    <row r="3929">
      <c r="A3929" s="2">
        <f>IFERROR(__xludf.DUMMYFUNCTION("""COMPUTED_VALUE"""),41500.666666666664)</f>
        <v>41500.66667</v>
      </c>
      <c r="B3929" s="1">
        <f>IFERROR(__xludf.DUMMYFUNCTION("""COMPUTED_VALUE"""),2999.43)</f>
        <v>2999.43</v>
      </c>
    </row>
    <row r="3930">
      <c r="A3930" s="2">
        <f>IFERROR(__xludf.DUMMYFUNCTION("""COMPUTED_VALUE"""),41501.666666666664)</f>
        <v>41501.66667</v>
      </c>
      <c r="B3930" s="1">
        <f>IFERROR(__xludf.DUMMYFUNCTION("""COMPUTED_VALUE"""),2957.09)</f>
        <v>2957.09</v>
      </c>
    </row>
    <row r="3931">
      <c r="A3931" s="2">
        <f>IFERROR(__xludf.DUMMYFUNCTION("""COMPUTED_VALUE"""),41502.666666666664)</f>
        <v>41502.66667</v>
      </c>
      <c r="B3931" s="1">
        <f>IFERROR(__xludf.DUMMYFUNCTION("""COMPUTED_VALUE"""),2947.47)</f>
        <v>2947.47</v>
      </c>
    </row>
    <row r="3932">
      <c r="A3932" s="2">
        <f>IFERROR(__xludf.DUMMYFUNCTION("""COMPUTED_VALUE"""),41505.666666666664)</f>
        <v>41505.66667</v>
      </c>
      <c r="B3932" s="1">
        <f>IFERROR(__xludf.DUMMYFUNCTION("""COMPUTED_VALUE"""),2930.27)</f>
        <v>2930.27</v>
      </c>
    </row>
    <row r="3933">
      <c r="A3933" s="2">
        <f>IFERROR(__xludf.DUMMYFUNCTION("""COMPUTED_VALUE"""),41506.666666666664)</f>
        <v>41506.66667</v>
      </c>
      <c r="B3933" s="1">
        <f>IFERROR(__xludf.DUMMYFUNCTION("""COMPUTED_VALUE"""),2941.58)</f>
        <v>2941.58</v>
      </c>
    </row>
    <row r="3934">
      <c r="A3934" s="2">
        <f>IFERROR(__xludf.DUMMYFUNCTION("""COMPUTED_VALUE"""),41507.666666666664)</f>
        <v>41507.66667</v>
      </c>
      <c r="B3934" s="1">
        <f>IFERROR(__xludf.DUMMYFUNCTION("""COMPUTED_VALUE"""),2924.72)</f>
        <v>2924.72</v>
      </c>
    </row>
    <row r="3935">
      <c r="A3935" s="2">
        <f>IFERROR(__xludf.DUMMYFUNCTION("""COMPUTED_VALUE"""),41508.666666666664)</f>
        <v>41508.66667</v>
      </c>
      <c r="B3935" s="1">
        <f>IFERROR(__xludf.DUMMYFUNCTION("""COMPUTED_VALUE"""),2949.96)</f>
        <v>2949.96</v>
      </c>
    </row>
    <row r="3936">
      <c r="A3936" s="2">
        <f>IFERROR(__xludf.DUMMYFUNCTION("""COMPUTED_VALUE"""),41509.666666666664)</f>
        <v>41509.66667</v>
      </c>
      <c r="B3936" s="1">
        <f>IFERROR(__xludf.DUMMYFUNCTION("""COMPUTED_VALUE"""),2962.05)</f>
        <v>2962.05</v>
      </c>
    </row>
    <row r="3937">
      <c r="A3937" s="2">
        <f>IFERROR(__xludf.DUMMYFUNCTION("""COMPUTED_VALUE"""),41512.666666666664)</f>
        <v>41512.66667</v>
      </c>
      <c r="B3937" s="1">
        <f>IFERROR(__xludf.DUMMYFUNCTION("""COMPUTED_VALUE"""),2950.12)</f>
        <v>2950.12</v>
      </c>
    </row>
    <row r="3938">
      <c r="A3938" s="2">
        <f>IFERROR(__xludf.DUMMYFUNCTION("""COMPUTED_VALUE"""),41513.666666666664)</f>
        <v>41513.66667</v>
      </c>
      <c r="B3938" s="1">
        <f>IFERROR(__xludf.DUMMYFUNCTION("""COMPUTED_VALUE"""),2903.29)</f>
        <v>2903.29</v>
      </c>
    </row>
    <row r="3939">
      <c r="A3939" s="2">
        <f>IFERROR(__xludf.DUMMYFUNCTION("""COMPUTED_VALUE"""),41514.666666666664)</f>
        <v>41514.66667</v>
      </c>
      <c r="B3939" s="1">
        <f>IFERROR(__xludf.DUMMYFUNCTION("""COMPUTED_VALUE"""),2911.83)</f>
        <v>2911.83</v>
      </c>
    </row>
    <row r="3940">
      <c r="A3940" s="2">
        <f>IFERROR(__xludf.DUMMYFUNCTION("""COMPUTED_VALUE"""),41515.666666666664)</f>
        <v>41515.66667</v>
      </c>
      <c r="B3940" s="1">
        <f>IFERROR(__xludf.DUMMYFUNCTION("""COMPUTED_VALUE"""),2917.97)</f>
        <v>2917.97</v>
      </c>
    </row>
    <row r="3941">
      <c r="A3941" s="2">
        <f>IFERROR(__xludf.DUMMYFUNCTION("""COMPUTED_VALUE"""),41516.666666666664)</f>
        <v>41516.66667</v>
      </c>
      <c r="B3941" s="1">
        <f>IFERROR(__xludf.DUMMYFUNCTION("""COMPUTED_VALUE"""),2908.95)</f>
        <v>2908.95</v>
      </c>
    </row>
    <row r="3942">
      <c r="A3942" s="2">
        <f>IFERROR(__xludf.DUMMYFUNCTION("""COMPUTED_VALUE"""),41520.666666666664)</f>
        <v>41520.66667</v>
      </c>
      <c r="B3942" s="1">
        <f>IFERROR(__xludf.DUMMYFUNCTION("""COMPUTED_VALUE"""),2921.23)</f>
        <v>2921.23</v>
      </c>
    </row>
    <row r="3943">
      <c r="A3943" s="2">
        <f>IFERROR(__xludf.DUMMYFUNCTION("""COMPUTED_VALUE"""),41521.666666666664)</f>
        <v>41521.66667</v>
      </c>
      <c r="B3943" s="1">
        <f>IFERROR(__xludf.DUMMYFUNCTION("""COMPUTED_VALUE"""),2945.62)</f>
        <v>2945.62</v>
      </c>
    </row>
    <row r="3944">
      <c r="A3944" s="2">
        <f>IFERROR(__xludf.DUMMYFUNCTION("""COMPUTED_VALUE"""),41522.666666666664)</f>
        <v>41522.66667</v>
      </c>
      <c r="B3944" s="1">
        <f>IFERROR(__xludf.DUMMYFUNCTION("""COMPUTED_VALUE"""),2949.27)</f>
        <v>2949.27</v>
      </c>
    </row>
    <row r="3945">
      <c r="A3945" s="2">
        <f>IFERROR(__xludf.DUMMYFUNCTION("""COMPUTED_VALUE"""),41523.666666666664)</f>
        <v>41523.66667</v>
      </c>
      <c r="B3945" s="1">
        <f>IFERROR(__xludf.DUMMYFUNCTION("""COMPUTED_VALUE"""),2949.81)</f>
        <v>2949.81</v>
      </c>
    </row>
    <row r="3946">
      <c r="A3946" s="2">
        <f>IFERROR(__xludf.DUMMYFUNCTION("""COMPUTED_VALUE"""),41526.666666666664)</f>
        <v>41526.66667</v>
      </c>
      <c r="B3946" s="1">
        <f>IFERROR(__xludf.DUMMYFUNCTION("""COMPUTED_VALUE"""),2979.45)</f>
        <v>2979.45</v>
      </c>
    </row>
    <row r="3947">
      <c r="A3947" s="2">
        <f>IFERROR(__xludf.DUMMYFUNCTION("""COMPUTED_VALUE"""),41527.666666666664)</f>
        <v>41527.66667</v>
      </c>
      <c r="B3947" s="1">
        <f>IFERROR(__xludf.DUMMYFUNCTION("""COMPUTED_VALUE"""),3001.36)</f>
        <v>3001.36</v>
      </c>
    </row>
    <row r="3948">
      <c r="A3948" s="2">
        <f>IFERROR(__xludf.DUMMYFUNCTION("""COMPUTED_VALUE"""),41528.666666666664)</f>
        <v>41528.66667</v>
      </c>
      <c r="B3948" s="1">
        <f>IFERROR(__xludf.DUMMYFUNCTION("""COMPUTED_VALUE"""),3010.94)</f>
        <v>3010.94</v>
      </c>
    </row>
    <row r="3949">
      <c r="A3949" s="2">
        <f>IFERROR(__xludf.DUMMYFUNCTION("""COMPUTED_VALUE"""),41529.666666666664)</f>
        <v>41529.66667</v>
      </c>
      <c r="B3949" s="1">
        <f>IFERROR(__xludf.DUMMYFUNCTION("""COMPUTED_VALUE"""),3001.61)</f>
        <v>3001.61</v>
      </c>
    </row>
    <row r="3950">
      <c r="A3950" s="2">
        <f>IFERROR(__xludf.DUMMYFUNCTION("""COMPUTED_VALUE"""),41530.666666666664)</f>
        <v>41530.66667</v>
      </c>
      <c r="B3950" s="1">
        <f>IFERROR(__xludf.DUMMYFUNCTION("""COMPUTED_VALUE"""),3009.79)</f>
        <v>3009.79</v>
      </c>
    </row>
    <row r="3951">
      <c r="A3951" s="2">
        <f>IFERROR(__xludf.DUMMYFUNCTION("""COMPUTED_VALUE"""),41533.666666666664)</f>
        <v>41533.66667</v>
      </c>
      <c r="B3951" s="1">
        <f>IFERROR(__xludf.DUMMYFUNCTION("""COMPUTED_VALUE"""),3026.94)</f>
        <v>3026.94</v>
      </c>
    </row>
    <row r="3952">
      <c r="A3952" s="2">
        <f>IFERROR(__xludf.DUMMYFUNCTION("""COMPUTED_VALUE"""),41534.666666666664)</f>
        <v>41534.66667</v>
      </c>
      <c r="B3952" s="1">
        <f>IFERROR(__xludf.DUMMYFUNCTION("""COMPUTED_VALUE"""),3039.75)</f>
        <v>3039.75</v>
      </c>
    </row>
    <row r="3953">
      <c r="A3953" s="2">
        <f>IFERROR(__xludf.DUMMYFUNCTION("""COMPUTED_VALUE"""),41535.666666666664)</f>
        <v>41535.66667</v>
      </c>
      <c r="B3953" s="1">
        <f>IFERROR(__xludf.DUMMYFUNCTION("""COMPUTED_VALUE"""),3076.8)</f>
        <v>3076.8</v>
      </c>
    </row>
    <row r="3954">
      <c r="A3954" s="2">
        <f>IFERROR(__xludf.DUMMYFUNCTION("""COMPUTED_VALUE"""),41536.666666666664)</f>
        <v>41536.66667</v>
      </c>
      <c r="B3954" s="1">
        <f>IFERROR(__xludf.DUMMYFUNCTION("""COMPUTED_VALUE"""),3071.61)</f>
        <v>3071.61</v>
      </c>
    </row>
    <row r="3955">
      <c r="A3955" s="2">
        <f>IFERROR(__xludf.DUMMYFUNCTION("""COMPUTED_VALUE"""),41537.666666666664)</f>
        <v>41537.66667</v>
      </c>
      <c r="B3955" s="1">
        <f>IFERROR(__xludf.DUMMYFUNCTION("""COMPUTED_VALUE"""),3049.47)</f>
        <v>3049.47</v>
      </c>
    </row>
    <row r="3956">
      <c r="A3956" s="2">
        <f>IFERROR(__xludf.DUMMYFUNCTION("""COMPUTED_VALUE"""),41540.666666666664)</f>
        <v>41540.66667</v>
      </c>
      <c r="B3956" s="1">
        <f>IFERROR(__xludf.DUMMYFUNCTION("""COMPUTED_VALUE"""),3035.08)</f>
        <v>3035.08</v>
      </c>
    </row>
    <row r="3957">
      <c r="A3957" s="2">
        <f>IFERROR(__xludf.DUMMYFUNCTION("""COMPUTED_VALUE"""),41541.666666666664)</f>
        <v>41541.66667</v>
      </c>
      <c r="B3957" s="1">
        <f>IFERROR(__xludf.DUMMYFUNCTION("""COMPUTED_VALUE"""),3027.51)</f>
        <v>3027.51</v>
      </c>
    </row>
    <row r="3958">
      <c r="A3958" s="2">
        <f>IFERROR(__xludf.DUMMYFUNCTION("""COMPUTED_VALUE"""),41542.666666666664)</f>
        <v>41542.66667</v>
      </c>
      <c r="B3958" s="1">
        <f>IFERROR(__xludf.DUMMYFUNCTION("""COMPUTED_VALUE"""),3019.31)</f>
        <v>3019.31</v>
      </c>
    </row>
    <row r="3959">
      <c r="A3959" s="2">
        <f>IFERROR(__xludf.DUMMYFUNCTION("""COMPUTED_VALUE"""),41543.666666666664)</f>
        <v>41543.66667</v>
      </c>
      <c r="B3959" s="1">
        <f>IFERROR(__xludf.DUMMYFUNCTION("""COMPUTED_VALUE"""),3030.42)</f>
        <v>3030.42</v>
      </c>
    </row>
    <row r="3960">
      <c r="A3960" s="2">
        <f>IFERROR(__xludf.DUMMYFUNCTION("""COMPUTED_VALUE"""),41544.666666666664)</f>
        <v>41544.66667</v>
      </c>
      <c r="B3960" s="1">
        <f>IFERROR(__xludf.DUMMYFUNCTION("""COMPUTED_VALUE"""),3018.24)</f>
        <v>3018.24</v>
      </c>
    </row>
    <row r="3961">
      <c r="A3961" s="2">
        <f>IFERROR(__xludf.DUMMYFUNCTION("""COMPUTED_VALUE"""),41547.666666666664)</f>
        <v>41547.66667</v>
      </c>
      <c r="B3961" s="1">
        <f>IFERROR(__xludf.DUMMYFUNCTION("""COMPUTED_VALUE"""),3000.18)</f>
        <v>3000.18</v>
      </c>
    </row>
    <row r="3962">
      <c r="A3962" s="2">
        <f>IFERROR(__xludf.DUMMYFUNCTION("""COMPUTED_VALUE"""),41548.666666666664)</f>
        <v>41548.66667</v>
      </c>
      <c r="B3962" s="1">
        <f>IFERROR(__xludf.DUMMYFUNCTION("""COMPUTED_VALUE"""),3024.38)</f>
        <v>3024.38</v>
      </c>
    </row>
    <row r="3963">
      <c r="A3963" s="2">
        <f>IFERROR(__xludf.DUMMYFUNCTION("""COMPUTED_VALUE"""),41549.666666666664)</f>
        <v>41549.66667</v>
      </c>
      <c r="B3963" s="1">
        <f>IFERROR(__xludf.DUMMYFUNCTION("""COMPUTED_VALUE"""),3022.95)</f>
        <v>3022.95</v>
      </c>
    </row>
    <row r="3964">
      <c r="A3964" s="2">
        <f>IFERROR(__xludf.DUMMYFUNCTION("""COMPUTED_VALUE"""),41550.666666666664)</f>
        <v>41550.66667</v>
      </c>
      <c r="B3964" s="1">
        <f>IFERROR(__xludf.DUMMYFUNCTION("""COMPUTED_VALUE"""),2995.82)</f>
        <v>2995.82</v>
      </c>
    </row>
    <row r="3965">
      <c r="A3965" s="2">
        <f>IFERROR(__xludf.DUMMYFUNCTION("""COMPUTED_VALUE"""),41551.666666666664)</f>
        <v>41551.66667</v>
      </c>
      <c r="B3965" s="1">
        <f>IFERROR(__xludf.DUMMYFUNCTION("""COMPUTED_VALUE"""),3017.04)</f>
        <v>3017.04</v>
      </c>
    </row>
    <row r="3966">
      <c r="A3966" s="2">
        <f>IFERROR(__xludf.DUMMYFUNCTION("""COMPUTED_VALUE"""),41554.666666666664)</f>
        <v>41554.66667</v>
      </c>
      <c r="B3966" s="1">
        <f>IFERROR(__xludf.DUMMYFUNCTION("""COMPUTED_VALUE"""),2991.39)</f>
        <v>2991.39</v>
      </c>
    </row>
    <row r="3967">
      <c r="A3967" s="2">
        <f>IFERROR(__xludf.DUMMYFUNCTION("""COMPUTED_VALUE"""),41555.666666666664)</f>
        <v>41555.66667</v>
      </c>
      <c r="B3967" s="1">
        <f>IFERROR(__xludf.DUMMYFUNCTION("""COMPUTED_VALUE"""),2955.41)</f>
        <v>2955.41</v>
      </c>
    </row>
    <row r="3968">
      <c r="A3968" s="2">
        <f>IFERROR(__xludf.DUMMYFUNCTION("""COMPUTED_VALUE"""),41556.666666666664)</f>
        <v>41556.66667</v>
      </c>
      <c r="B3968" s="1">
        <f>IFERROR(__xludf.DUMMYFUNCTION("""COMPUTED_VALUE"""),2957.4)</f>
        <v>2957.4</v>
      </c>
    </row>
    <row r="3969">
      <c r="A3969" s="2">
        <f>IFERROR(__xludf.DUMMYFUNCTION("""COMPUTED_VALUE"""),41557.666666666664)</f>
        <v>41557.66667</v>
      </c>
      <c r="B3969" s="1">
        <f>IFERROR(__xludf.DUMMYFUNCTION("""COMPUTED_VALUE"""),3022.42)</f>
        <v>3022.42</v>
      </c>
    </row>
    <row r="3970">
      <c r="A3970" s="2">
        <f>IFERROR(__xludf.DUMMYFUNCTION("""COMPUTED_VALUE"""),41558.666666666664)</f>
        <v>41558.66667</v>
      </c>
      <c r="B3970" s="1">
        <f>IFERROR(__xludf.DUMMYFUNCTION("""COMPUTED_VALUE"""),3041.43)</f>
        <v>3041.43</v>
      </c>
    </row>
    <row r="3971">
      <c r="A3971" s="2">
        <f>IFERROR(__xludf.DUMMYFUNCTION("""COMPUTED_VALUE"""),41561.666666666664)</f>
        <v>41561.66667</v>
      </c>
      <c r="B3971" s="1">
        <f>IFERROR(__xludf.DUMMYFUNCTION("""COMPUTED_VALUE"""),3053.83)</f>
        <v>3053.83</v>
      </c>
    </row>
    <row r="3972">
      <c r="A3972" s="2">
        <f>IFERROR(__xludf.DUMMYFUNCTION("""COMPUTED_VALUE"""),41562.666666666664)</f>
        <v>41562.66667</v>
      </c>
      <c r="B3972" s="1">
        <f>IFERROR(__xludf.DUMMYFUNCTION("""COMPUTED_VALUE"""),3032.27)</f>
        <v>3032.27</v>
      </c>
    </row>
    <row r="3973">
      <c r="A3973" s="2">
        <f>IFERROR(__xludf.DUMMYFUNCTION("""COMPUTED_VALUE"""),41563.666666666664)</f>
        <v>41563.66667</v>
      </c>
      <c r="B3973" s="1">
        <f>IFERROR(__xludf.DUMMYFUNCTION("""COMPUTED_VALUE"""),3074.53)</f>
        <v>3074.53</v>
      </c>
    </row>
    <row r="3974">
      <c r="A3974" s="2">
        <f>IFERROR(__xludf.DUMMYFUNCTION("""COMPUTED_VALUE"""),41564.666666666664)</f>
        <v>41564.66667</v>
      </c>
      <c r="B3974" s="1">
        <f>IFERROR(__xludf.DUMMYFUNCTION("""COMPUTED_VALUE"""),3095.42)</f>
        <v>3095.42</v>
      </c>
    </row>
    <row r="3975">
      <c r="A3975" s="2">
        <f>IFERROR(__xludf.DUMMYFUNCTION("""COMPUTED_VALUE"""),41565.666666666664)</f>
        <v>41565.66667</v>
      </c>
      <c r="B3975" s="1">
        <f>IFERROR(__xludf.DUMMYFUNCTION("""COMPUTED_VALUE"""),3115.77)</f>
        <v>3115.77</v>
      </c>
    </row>
    <row r="3976">
      <c r="A3976" s="2">
        <f>IFERROR(__xludf.DUMMYFUNCTION("""COMPUTED_VALUE"""),41568.666666666664)</f>
        <v>41568.66667</v>
      </c>
      <c r="B3976" s="1">
        <f>IFERROR(__xludf.DUMMYFUNCTION("""COMPUTED_VALUE"""),3116.09)</f>
        <v>3116.09</v>
      </c>
    </row>
    <row r="3977">
      <c r="A3977" s="2">
        <f>IFERROR(__xludf.DUMMYFUNCTION("""COMPUTED_VALUE"""),41569.666666666664)</f>
        <v>41569.66667</v>
      </c>
      <c r="B3977" s="1">
        <f>IFERROR(__xludf.DUMMYFUNCTION("""COMPUTED_VALUE"""),3133.97)</f>
        <v>3133.97</v>
      </c>
    </row>
    <row r="3978">
      <c r="A3978" s="2">
        <f>IFERROR(__xludf.DUMMYFUNCTION("""COMPUTED_VALUE"""),41570.666666666664)</f>
        <v>41570.66667</v>
      </c>
      <c r="B3978" s="1">
        <f>IFERROR(__xludf.DUMMYFUNCTION("""COMPUTED_VALUE"""),3119.21)</f>
        <v>3119.21</v>
      </c>
    </row>
    <row r="3979">
      <c r="A3979" s="2">
        <f>IFERROR(__xludf.DUMMYFUNCTION("""COMPUTED_VALUE"""),41571.666666666664)</f>
        <v>41571.66667</v>
      </c>
      <c r="B3979" s="1">
        <f>IFERROR(__xludf.DUMMYFUNCTION("""COMPUTED_VALUE"""),3129.41)</f>
        <v>3129.41</v>
      </c>
    </row>
    <row r="3980">
      <c r="A3980" s="2">
        <f>IFERROR(__xludf.DUMMYFUNCTION("""COMPUTED_VALUE"""),41572.666666666664)</f>
        <v>41572.66667</v>
      </c>
      <c r="B3980" s="1">
        <f>IFERROR(__xludf.DUMMYFUNCTION("""COMPUTED_VALUE"""),3143.16)</f>
        <v>3143.16</v>
      </c>
    </row>
    <row r="3981">
      <c r="A3981" s="2">
        <f>IFERROR(__xludf.DUMMYFUNCTION("""COMPUTED_VALUE"""),41575.666666666664)</f>
        <v>41575.66667</v>
      </c>
      <c r="B3981" s="1">
        <f>IFERROR(__xludf.DUMMYFUNCTION("""COMPUTED_VALUE"""),3147.37)</f>
        <v>3147.37</v>
      </c>
    </row>
    <row r="3982">
      <c r="A3982" s="2">
        <f>IFERROR(__xludf.DUMMYFUNCTION("""COMPUTED_VALUE"""),41576.666666666664)</f>
        <v>41576.66667</v>
      </c>
      <c r="B3982" s="1">
        <f>IFERROR(__xludf.DUMMYFUNCTION("""COMPUTED_VALUE"""),3165.12)</f>
        <v>3165.12</v>
      </c>
    </row>
    <row r="3983">
      <c r="A3983" s="2">
        <f>IFERROR(__xludf.DUMMYFUNCTION("""COMPUTED_VALUE"""),41577.666666666664)</f>
        <v>41577.66667</v>
      </c>
      <c r="B3983" s="1">
        <f>IFERROR(__xludf.DUMMYFUNCTION("""COMPUTED_VALUE"""),3149.93)</f>
        <v>3149.93</v>
      </c>
    </row>
    <row r="3984">
      <c r="A3984" s="2">
        <f>IFERROR(__xludf.DUMMYFUNCTION("""COMPUTED_VALUE"""),41578.666666666664)</f>
        <v>41578.66667</v>
      </c>
      <c r="B3984" s="1">
        <f>IFERROR(__xludf.DUMMYFUNCTION("""COMPUTED_VALUE"""),3138.08)</f>
        <v>3138.08</v>
      </c>
    </row>
    <row r="3985">
      <c r="A3985" s="2">
        <f>IFERROR(__xludf.DUMMYFUNCTION("""COMPUTED_VALUE"""),41579.666666666664)</f>
        <v>41579.66667</v>
      </c>
      <c r="B3985" s="1">
        <f>IFERROR(__xludf.DUMMYFUNCTION("""COMPUTED_VALUE"""),3147.21)</f>
        <v>3147.21</v>
      </c>
    </row>
    <row r="3986">
      <c r="A3986" s="2">
        <f>IFERROR(__xludf.DUMMYFUNCTION("""COMPUTED_VALUE"""),41582.666666666664)</f>
        <v>41582.66667</v>
      </c>
      <c r="B3986" s="1">
        <f>IFERROR(__xludf.DUMMYFUNCTION("""COMPUTED_VALUE"""),3158.47)</f>
        <v>3158.47</v>
      </c>
    </row>
    <row r="3987">
      <c r="A3987" s="2">
        <f>IFERROR(__xludf.DUMMYFUNCTION("""COMPUTED_VALUE"""),41583.666666666664)</f>
        <v>41583.66667</v>
      </c>
      <c r="B3987" s="1">
        <f>IFERROR(__xludf.DUMMYFUNCTION("""COMPUTED_VALUE"""),3149.96)</f>
        <v>3149.96</v>
      </c>
    </row>
    <row r="3988">
      <c r="A3988" s="2">
        <f>IFERROR(__xludf.DUMMYFUNCTION("""COMPUTED_VALUE"""),41584.666666666664)</f>
        <v>41584.66667</v>
      </c>
      <c r="B3988" s="1">
        <f>IFERROR(__xludf.DUMMYFUNCTION("""COMPUTED_VALUE"""),3165.13)</f>
        <v>3165.13</v>
      </c>
    </row>
    <row r="3989">
      <c r="A3989" s="2">
        <f>IFERROR(__xludf.DUMMYFUNCTION("""COMPUTED_VALUE"""),41585.666666666664)</f>
        <v>41585.66667</v>
      </c>
      <c r="B3989" s="1">
        <f>IFERROR(__xludf.DUMMYFUNCTION("""COMPUTED_VALUE"""),3124.11)</f>
        <v>3124.11</v>
      </c>
    </row>
    <row r="3990">
      <c r="A3990" s="2">
        <f>IFERROR(__xludf.DUMMYFUNCTION("""COMPUTED_VALUE"""),41586.666666666664)</f>
        <v>41586.66667</v>
      </c>
      <c r="B3990" s="1">
        <f>IFERROR(__xludf.DUMMYFUNCTION("""COMPUTED_VALUE"""),3166.11)</f>
        <v>3166.11</v>
      </c>
    </row>
    <row r="3991">
      <c r="A3991" s="2">
        <f>IFERROR(__xludf.DUMMYFUNCTION("""COMPUTED_VALUE"""),41589.666666666664)</f>
        <v>41589.66667</v>
      </c>
      <c r="B3991" s="1">
        <f>IFERROR(__xludf.DUMMYFUNCTION("""COMPUTED_VALUE"""),3168.4)</f>
        <v>3168.4</v>
      </c>
    </row>
    <row r="3992">
      <c r="A3992" s="2">
        <f>IFERROR(__xludf.DUMMYFUNCTION("""COMPUTED_VALUE"""),41590.666666666664)</f>
        <v>41590.66667</v>
      </c>
      <c r="B3992" s="1">
        <f>IFERROR(__xludf.DUMMYFUNCTION("""COMPUTED_VALUE"""),3161.11)</f>
        <v>3161.11</v>
      </c>
    </row>
    <row r="3993">
      <c r="A3993" s="2">
        <f>IFERROR(__xludf.DUMMYFUNCTION("""COMPUTED_VALUE"""),41591.666666666664)</f>
        <v>41591.66667</v>
      </c>
      <c r="B3993" s="1">
        <f>IFERROR(__xludf.DUMMYFUNCTION("""COMPUTED_VALUE"""),3187.63)</f>
        <v>3187.63</v>
      </c>
    </row>
    <row r="3994">
      <c r="A3994" s="2">
        <f>IFERROR(__xludf.DUMMYFUNCTION("""COMPUTED_VALUE"""),41592.666666666664)</f>
        <v>41592.66667</v>
      </c>
      <c r="B3994" s="1">
        <f>IFERROR(__xludf.DUMMYFUNCTION("""COMPUTED_VALUE"""),3203.65)</f>
        <v>3203.65</v>
      </c>
    </row>
    <row r="3995">
      <c r="A3995" s="2">
        <f>IFERROR(__xludf.DUMMYFUNCTION("""COMPUTED_VALUE"""),41593.666666666664)</f>
        <v>41593.66667</v>
      </c>
      <c r="B3995" s="1">
        <f>IFERROR(__xludf.DUMMYFUNCTION("""COMPUTED_VALUE"""),3217.21)</f>
        <v>3217.21</v>
      </c>
    </row>
    <row r="3996">
      <c r="A3996" s="2">
        <f>IFERROR(__xludf.DUMMYFUNCTION("""COMPUTED_VALUE"""),41596.666666666664)</f>
        <v>41596.66667</v>
      </c>
      <c r="B3996" s="1">
        <f>IFERROR(__xludf.DUMMYFUNCTION("""COMPUTED_VALUE"""),3205.46)</f>
        <v>3205.46</v>
      </c>
    </row>
    <row r="3997">
      <c r="A3997" s="2">
        <f>IFERROR(__xludf.DUMMYFUNCTION("""COMPUTED_VALUE"""),41597.666666666664)</f>
        <v>41597.66667</v>
      </c>
      <c r="B3997" s="1">
        <f>IFERROR(__xludf.DUMMYFUNCTION("""COMPUTED_VALUE"""),3199.52)</f>
        <v>3199.52</v>
      </c>
    </row>
    <row r="3998">
      <c r="A3998" s="2">
        <f>IFERROR(__xludf.DUMMYFUNCTION("""COMPUTED_VALUE"""),41598.666666666664)</f>
        <v>41598.66667</v>
      </c>
      <c r="B3998" s="1">
        <f>IFERROR(__xludf.DUMMYFUNCTION("""COMPUTED_VALUE"""),3188.03)</f>
        <v>3188.03</v>
      </c>
    </row>
    <row r="3999">
      <c r="A3999" s="2">
        <f>IFERROR(__xludf.DUMMYFUNCTION("""COMPUTED_VALUE"""),41599.666666666664)</f>
        <v>41599.66667</v>
      </c>
      <c r="B3999" s="1">
        <f>IFERROR(__xludf.DUMMYFUNCTION("""COMPUTED_VALUE"""),3214.16)</f>
        <v>3214.16</v>
      </c>
    </row>
    <row r="4000">
      <c r="A4000" s="2">
        <f>IFERROR(__xludf.DUMMYFUNCTION("""COMPUTED_VALUE"""),41600.666666666664)</f>
        <v>41600.66667</v>
      </c>
      <c r="B4000" s="1">
        <f>IFERROR(__xludf.DUMMYFUNCTION("""COMPUTED_VALUE"""),3230.55)</f>
        <v>3230.55</v>
      </c>
    </row>
    <row r="4001">
      <c r="A4001" s="2">
        <f>IFERROR(__xludf.DUMMYFUNCTION("""COMPUTED_VALUE"""),41603.666666666664)</f>
        <v>41603.66667</v>
      </c>
      <c r="B4001" s="1">
        <f>IFERROR(__xludf.DUMMYFUNCTION("""COMPUTED_VALUE"""),3226.53)</f>
        <v>3226.53</v>
      </c>
    </row>
    <row r="4002">
      <c r="A4002" s="2">
        <f>IFERROR(__xludf.DUMMYFUNCTION("""COMPUTED_VALUE"""),41604.666666666664)</f>
        <v>41604.66667</v>
      </c>
      <c r="B4002" s="1">
        <f>IFERROR(__xludf.DUMMYFUNCTION("""COMPUTED_VALUE"""),3227.36)</f>
        <v>3227.36</v>
      </c>
    </row>
    <row r="4003">
      <c r="A4003" s="2">
        <f>IFERROR(__xludf.DUMMYFUNCTION("""COMPUTED_VALUE"""),41605.666666666664)</f>
        <v>41605.66667</v>
      </c>
      <c r="B4003" s="1">
        <f>IFERROR(__xludf.DUMMYFUNCTION("""COMPUTED_VALUE"""),3236.13)</f>
        <v>3236.13</v>
      </c>
    </row>
    <row r="4004">
      <c r="A4004" s="2">
        <f>IFERROR(__xludf.DUMMYFUNCTION("""COMPUTED_VALUE"""),41607.666666666664)</f>
        <v>41607.66667</v>
      </c>
      <c r="B4004" s="1">
        <f>IFERROR(__xludf.DUMMYFUNCTION("""COMPUTED_VALUE"""),3233.72)</f>
        <v>3233.72</v>
      </c>
    </row>
    <row r="4005">
      <c r="A4005" s="2">
        <f>IFERROR(__xludf.DUMMYFUNCTION("""COMPUTED_VALUE"""),41610.666666666664)</f>
        <v>41610.66667</v>
      </c>
      <c r="B4005" s="1">
        <f>IFERROR(__xludf.DUMMYFUNCTION("""COMPUTED_VALUE"""),3225.06)</f>
        <v>3225.06</v>
      </c>
    </row>
    <row r="4006">
      <c r="A4006" s="2">
        <f>IFERROR(__xludf.DUMMYFUNCTION("""COMPUTED_VALUE"""),41611.666666666664)</f>
        <v>41611.66667</v>
      </c>
      <c r="B4006" s="1">
        <f>IFERROR(__xludf.DUMMYFUNCTION("""COMPUTED_VALUE"""),3214.95)</f>
        <v>3214.95</v>
      </c>
    </row>
    <row r="4007">
      <c r="A4007" s="2">
        <f>IFERROR(__xludf.DUMMYFUNCTION("""COMPUTED_VALUE"""),41612.666666666664)</f>
        <v>41612.66667</v>
      </c>
      <c r="B4007" s="1">
        <f>IFERROR(__xludf.DUMMYFUNCTION("""COMPUTED_VALUE"""),3211.59)</f>
        <v>3211.59</v>
      </c>
    </row>
    <row r="4008">
      <c r="A4008" s="2">
        <f>IFERROR(__xludf.DUMMYFUNCTION("""COMPUTED_VALUE"""),41613.666666666664)</f>
        <v>41613.66667</v>
      </c>
      <c r="B4008" s="1">
        <f>IFERROR(__xludf.DUMMYFUNCTION("""COMPUTED_VALUE"""),3197.75)</f>
        <v>3197.75</v>
      </c>
    </row>
    <row r="4009">
      <c r="A4009" s="2">
        <f>IFERROR(__xludf.DUMMYFUNCTION("""COMPUTED_VALUE"""),41614.666666666664)</f>
        <v>41614.66667</v>
      </c>
      <c r="B4009" s="1">
        <f>IFERROR(__xludf.DUMMYFUNCTION("""COMPUTED_VALUE"""),3233.99)</f>
        <v>3233.99</v>
      </c>
    </row>
    <row r="4010">
      <c r="A4010" s="2">
        <f>IFERROR(__xludf.DUMMYFUNCTION("""COMPUTED_VALUE"""),41617.666666666664)</f>
        <v>41617.66667</v>
      </c>
      <c r="B4010" s="1">
        <f>IFERROR(__xludf.DUMMYFUNCTION("""COMPUTED_VALUE"""),3240.0)</f>
        <v>3240</v>
      </c>
    </row>
    <row r="4011">
      <c r="A4011" s="2">
        <f>IFERROR(__xludf.DUMMYFUNCTION("""COMPUTED_VALUE"""),41618.666666666664)</f>
        <v>41618.66667</v>
      </c>
      <c r="B4011" s="1">
        <f>IFERROR(__xludf.DUMMYFUNCTION("""COMPUTED_VALUE"""),3229.72)</f>
        <v>3229.72</v>
      </c>
    </row>
    <row r="4012">
      <c r="A4012" s="2">
        <f>IFERROR(__xludf.DUMMYFUNCTION("""COMPUTED_VALUE"""),41619.666666666664)</f>
        <v>41619.66667</v>
      </c>
      <c r="B4012" s="1">
        <f>IFERROR(__xludf.DUMMYFUNCTION("""COMPUTED_VALUE"""),3193.52)</f>
        <v>3193.52</v>
      </c>
    </row>
    <row r="4013">
      <c r="A4013" s="2">
        <f>IFERROR(__xludf.DUMMYFUNCTION("""COMPUTED_VALUE"""),41620.666666666664)</f>
        <v>41620.66667</v>
      </c>
      <c r="B4013" s="1">
        <f>IFERROR(__xludf.DUMMYFUNCTION("""COMPUTED_VALUE"""),3182.33)</f>
        <v>3182.33</v>
      </c>
    </row>
    <row r="4014">
      <c r="A4014" s="2">
        <f>IFERROR(__xludf.DUMMYFUNCTION("""COMPUTED_VALUE"""),41621.666666666664)</f>
        <v>41621.66667</v>
      </c>
      <c r="B4014" s="1">
        <f>IFERROR(__xludf.DUMMYFUNCTION("""COMPUTED_VALUE"""),3182.07)</f>
        <v>3182.07</v>
      </c>
    </row>
    <row r="4015">
      <c r="A4015" s="2">
        <f>IFERROR(__xludf.DUMMYFUNCTION("""COMPUTED_VALUE"""),41624.666666666664)</f>
        <v>41624.66667</v>
      </c>
      <c r="B4015" s="1">
        <f>IFERROR(__xludf.DUMMYFUNCTION("""COMPUTED_VALUE"""),3202.23)</f>
        <v>3202.23</v>
      </c>
    </row>
    <row r="4016">
      <c r="A4016" s="2">
        <f>IFERROR(__xludf.DUMMYFUNCTION("""COMPUTED_VALUE"""),41625.666666666664)</f>
        <v>41625.66667</v>
      </c>
      <c r="B4016" s="1">
        <f>IFERROR(__xludf.DUMMYFUNCTION("""COMPUTED_VALUE"""),3192.32)</f>
        <v>3192.32</v>
      </c>
    </row>
    <row r="4017">
      <c r="A4017" s="2">
        <f>IFERROR(__xludf.DUMMYFUNCTION("""COMPUTED_VALUE"""),41626.666666666664)</f>
        <v>41626.66667</v>
      </c>
      <c r="B4017" s="1">
        <f>IFERROR(__xludf.DUMMYFUNCTION("""COMPUTED_VALUE"""),3245.59)</f>
        <v>3245.59</v>
      </c>
    </row>
    <row r="4018">
      <c r="A4018" s="2">
        <f>IFERROR(__xludf.DUMMYFUNCTION("""COMPUTED_VALUE"""),41627.666666666664)</f>
        <v>41627.66667</v>
      </c>
      <c r="B4018" s="1">
        <f>IFERROR(__xludf.DUMMYFUNCTION("""COMPUTED_VALUE"""),3244.16)</f>
        <v>3244.16</v>
      </c>
    </row>
    <row r="4019">
      <c r="A4019" s="2">
        <f>IFERROR(__xludf.DUMMYFUNCTION("""COMPUTED_VALUE"""),41628.666666666664)</f>
        <v>41628.66667</v>
      </c>
      <c r="B4019" s="1">
        <f>IFERROR(__xludf.DUMMYFUNCTION("""COMPUTED_VALUE"""),3259.77)</f>
        <v>3259.77</v>
      </c>
    </row>
    <row r="4020">
      <c r="A4020" s="2">
        <f>IFERROR(__xludf.DUMMYFUNCTION("""COMPUTED_VALUE"""),41631.666666666664)</f>
        <v>41631.66667</v>
      </c>
      <c r="B4020" s="1">
        <f>IFERROR(__xludf.DUMMYFUNCTION("""COMPUTED_VALUE"""),3277.62)</f>
        <v>3277.62</v>
      </c>
    </row>
    <row r="4021">
      <c r="A4021" s="2">
        <f>IFERROR(__xludf.DUMMYFUNCTION("""COMPUTED_VALUE"""),41632.666666666664)</f>
        <v>41632.66667</v>
      </c>
      <c r="B4021" s="1">
        <f>IFERROR(__xludf.DUMMYFUNCTION("""COMPUTED_VALUE"""),3287.55)</f>
        <v>3287.55</v>
      </c>
    </row>
    <row r="4022">
      <c r="A4022" s="2">
        <f>IFERROR(__xludf.DUMMYFUNCTION("""COMPUTED_VALUE"""),41634.666666666664)</f>
        <v>41634.66667</v>
      </c>
      <c r="B4022" s="1">
        <f>IFERROR(__xludf.DUMMYFUNCTION("""COMPUTED_VALUE"""),3303.15)</f>
        <v>3303.15</v>
      </c>
    </row>
    <row r="4023">
      <c r="A4023" s="2">
        <f>IFERROR(__xludf.DUMMYFUNCTION("""COMPUTED_VALUE"""),41635.666666666664)</f>
        <v>41635.66667</v>
      </c>
      <c r="B4023" s="1">
        <f>IFERROR(__xludf.DUMMYFUNCTION("""COMPUTED_VALUE"""),3302.65)</f>
        <v>3302.65</v>
      </c>
    </row>
    <row r="4024">
      <c r="A4024" s="2">
        <f>IFERROR(__xludf.DUMMYFUNCTION("""COMPUTED_VALUE"""),41638.666666666664)</f>
        <v>41638.66667</v>
      </c>
      <c r="B4024" s="1">
        <f>IFERROR(__xludf.DUMMYFUNCTION("""COMPUTED_VALUE"""),3302.3)</f>
        <v>3302.3</v>
      </c>
    </row>
    <row r="4025">
      <c r="A4025" s="2">
        <f>IFERROR(__xludf.DUMMYFUNCTION("""COMPUTED_VALUE"""),41639.666666666664)</f>
        <v>41639.66667</v>
      </c>
      <c r="B4025" s="1">
        <f>IFERROR(__xludf.DUMMYFUNCTION("""COMPUTED_VALUE"""),3315.59)</f>
        <v>3315.59</v>
      </c>
    </row>
    <row r="4026">
      <c r="A4026" s="2">
        <f>IFERROR(__xludf.DUMMYFUNCTION("""COMPUTED_VALUE"""),41641.666666666664)</f>
        <v>41641.66667</v>
      </c>
      <c r="B4026" s="1">
        <f>IFERROR(__xludf.DUMMYFUNCTION("""COMPUTED_VALUE"""),3286.68)</f>
        <v>3286.68</v>
      </c>
    </row>
    <row r="4027">
      <c r="A4027" s="2">
        <f>IFERROR(__xludf.DUMMYFUNCTION("""COMPUTED_VALUE"""),41642.666666666664)</f>
        <v>41642.66667</v>
      </c>
      <c r="B4027" s="1">
        <f>IFERROR(__xludf.DUMMYFUNCTION("""COMPUTED_VALUE"""),3285.69)</f>
        <v>3285.69</v>
      </c>
    </row>
    <row r="4028">
      <c r="A4028" s="2">
        <f>IFERROR(__xludf.DUMMYFUNCTION("""COMPUTED_VALUE"""),41645.666666666664)</f>
        <v>41645.66667</v>
      </c>
      <c r="B4028" s="1">
        <f>IFERROR(__xludf.DUMMYFUNCTION("""COMPUTED_VALUE"""),3277.49)</f>
        <v>3277.49</v>
      </c>
    </row>
    <row r="4029">
      <c r="A4029" s="2">
        <f>IFERROR(__xludf.DUMMYFUNCTION("""COMPUTED_VALUE"""),41646.666666666664)</f>
        <v>41646.66667</v>
      </c>
      <c r="B4029" s="1">
        <f>IFERROR(__xludf.DUMMYFUNCTION("""COMPUTED_VALUE"""),3297.45)</f>
        <v>3297.45</v>
      </c>
    </row>
    <row r="4030">
      <c r="A4030" s="2">
        <f>IFERROR(__xludf.DUMMYFUNCTION("""COMPUTED_VALUE"""),41647.666666666664)</f>
        <v>41647.66667</v>
      </c>
      <c r="B4030" s="1">
        <f>IFERROR(__xludf.DUMMYFUNCTION("""COMPUTED_VALUE"""),3297.73)</f>
        <v>3297.73</v>
      </c>
    </row>
    <row r="4031">
      <c r="A4031" s="2">
        <f>IFERROR(__xludf.DUMMYFUNCTION("""COMPUTED_VALUE"""),41648.666666666664)</f>
        <v>41648.66667</v>
      </c>
      <c r="B4031" s="1">
        <f>IFERROR(__xludf.DUMMYFUNCTION("""COMPUTED_VALUE"""),3298.88)</f>
        <v>3298.88</v>
      </c>
    </row>
    <row r="4032">
      <c r="A4032" s="2">
        <f>IFERROR(__xludf.DUMMYFUNCTION("""COMPUTED_VALUE"""),41649.666666666664)</f>
        <v>41649.66667</v>
      </c>
      <c r="B4032" s="1">
        <f>IFERROR(__xludf.DUMMYFUNCTION("""COMPUTED_VALUE"""),3306.49)</f>
        <v>3306.49</v>
      </c>
    </row>
    <row r="4033">
      <c r="A4033" s="2">
        <f>IFERROR(__xludf.DUMMYFUNCTION("""COMPUTED_VALUE"""),41652.666666666664)</f>
        <v>41652.66667</v>
      </c>
      <c r="B4033" s="1">
        <f>IFERROR(__xludf.DUMMYFUNCTION("""COMPUTED_VALUE"""),3265.26)</f>
        <v>3265.26</v>
      </c>
    </row>
    <row r="4034">
      <c r="A4034" s="2">
        <f>IFERROR(__xludf.DUMMYFUNCTION("""COMPUTED_VALUE"""),41653.666666666664)</f>
        <v>41653.66667</v>
      </c>
      <c r="B4034" s="1">
        <f>IFERROR(__xludf.DUMMYFUNCTION("""COMPUTED_VALUE"""),3300.61)</f>
        <v>3300.61</v>
      </c>
    </row>
    <row r="4035">
      <c r="A4035" s="2">
        <f>IFERROR(__xludf.DUMMYFUNCTION("""COMPUTED_VALUE"""),41654.666666666664)</f>
        <v>41654.66667</v>
      </c>
      <c r="B4035" s="1">
        <f>IFERROR(__xludf.DUMMYFUNCTION("""COMPUTED_VALUE"""),3317.75)</f>
        <v>3317.75</v>
      </c>
    </row>
    <row r="4036">
      <c r="A4036" s="2">
        <f>IFERROR(__xludf.DUMMYFUNCTION("""COMPUTED_VALUE"""),41655.666666666664)</f>
        <v>41655.66667</v>
      </c>
      <c r="B4036" s="1">
        <f>IFERROR(__xludf.DUMMYFUNCTION("""COMPUTED_VALUE"""),3313.36)</f>
        <v>3313.36</v>
      </c>
    </row>
    <row r="4037">
      <c r="A4037" s="2">
        <f>IFERROR(__xludf.DUMMYFUNCTION("""COMPUTED_VALUE"""),41656.666666666664)</f>
        <v>41656.66667</v>
      </c>
      <c r="B4037" s="1">
        <f>IFERROR(__xludf.DUMMYFUNCTION("""COMPUTED_VALUE"""),3300.51)</f>
        <v>3300.51</v>
      </c>
    </row>
    <row r="4038">
      <c r="A4038" s="2">
        <f>IFERROR(__xludf.DUMMYFUNCTION("""COMPUTED_VALUE"""),41660.666666666664)</f>
        <v>41660.66667</v>
      </c>
      <c r="B4038" s="1">
        <f>IFERROR(__xludf.DUMMYFUNCTION("""COMPUTED_VALUE"""),3309.73)</f>
        <v>3309.73</v>
      </c>
    </row>
    <row r="4039">
      <c r="A4039" s="2">
        <f>IFERROR(__xludf.DUMMYFUNCTION("""COMPUTED_VALUE"""),41661.666666666664)</f>
        <v>41661.66667</v>
      </c>
      <c r="B4039" s="1">
        <f>IFERROR(__xludf.DUMMYFUNCTION("""COMPUTED_VALUE"""),3312.05)</f>
        <v>3312.05</v>
      </c>
    </row>
    <row r="4040">
      <c r="A4040" s="2">
        <f>IFERROR(__xludf.DUMMYFUNCTION("""COMPUTED_VALUE"""),41662.666666666664)</f>
        <v>41662.66667</v>
      </c>
      <c r="B4040" s="1">
        <f>IFERROR(__xludf.DUMMYFUNCTION("""COMPUTED_VALUE"""),3282.63)</f>
        <v>3282.63</v>
      </c>
    </row>
    <row r="4041">
      <c r="A4041" s="2">
        <f>IFERROR(__xludf.DUMMYFUNCTION("""COMPUTED_VALUE"""),41663.666666666664)</f>
        <v>41663.66667</v>
      </c>
      <c r="B4041" s="1">
        <f>IFERROR(__xludf.DUMMYFUNCTION("""COMPUTED_VALUE"""),3214.14)</f>
        <v>3214.14</v>
      </c>
    </row>
    <row r="4042">
      <c r="A4042" s="2">
        <f>IFERROR(__xludf.DUMMYFUNCTION("""COMPUTED_VALUE"""),41666.666666666664)</f>
        <v>41666.66667</v>
      </c>
      <c r="B4042" s="1">
        <f>IFERROR(__xludf.DUMMYFUNCTION("""COMPUTED_VALUE"""),3198.57)</f>
        <v>3198.57</v>
      </c>
    </row>
    <row r="4043">
      <c r="A4043" s="2">
        <f>IFERROR(__xludf.DUMMYFUNCTION("""COMPUTED_VALUE"""),41667.666666666664)</f>
        <v>41667.66667</v>
      </c>
      <c r="B4043" s="1">
        <f>IFERROR(__xludf.DUMMYFUNCTION("""COMPUTED_VALUE"""),3218.22)</f>
        <v>3218.22</v>
      </c>
    </row>
    <row r="4044">
      <c r="A4044" s="2">
        <f>IFERROR(__xludf.DUMMYFUNCTION("""COMPUTED_VALUE"""),41668.666666666664)</f>
        <v>41668.66667</v>
      </c>
      <c r="B4044" s="1">
        <f>IFERROR(__xludf.DUMMYFUNCTION("""COMPUTED_VALUE"""),3185.7)</f>
        <v>3185.7</v>
      </c>
    </row>
    <row r="4045">
      <c r="A4045" s="2">
        <f>IFERROR(__xludf.DUMMYFUNCTION("""COMPUTED_VALUE"""),41669.666666666664)</f>
        <v>41669.66667</v>
      </c>
      <c r="B4045" s="1">
        <f>IFERROR(__xludf.DUMMYFUNCTION("""COMPUTED_VALUE"""),3221.78)</f>
        <v>3221.78</v>
      </c>
    </row>
    <row r="4046">
      <c r="A4046" s="2">
        <f>IFERROR(__xludf.DUMMYFUNCTION("""COMPUTED_VALUE"""),41670.666666666664)</f>
        <v>41670.66667</v>
      </c>
      <c r="B4046" s="1">
        <f>IFERROR(__xludf.DUMMYFUNCTION("""COMPUTED_VALUE"""),3200.96)</f>
        <v>3200.96</v>
      </c>
    </row>
    <row r="4047">
      <c r="A4047" s="2">
        <f>IFERROR(__xludf.DUMMYFUNCTION("""COMPUTED_VALUE"""),41673.666666666664)</f>
        <v>41673.66667</v>
      </c>
      <c r="B4047" s="1">
        <f>IFERROR(__xludf.DUMMYFUNCTION("""COMPUTED_VALUE"""),3127.87)</f>
        <v>3127.87</v>
      </c>
    </row>
    <row r="4048">
      <c r="A4048" s="2">
        <f>IFERROR(__xludf.DUMMYFUNCTION("""COMPUTED_VALUE"""),41674.666666666664)</f>
        <v>41674.66667</v>
      </c>
      <c r="B4048" s="1">
        <f>IFERROR(__xludf.DUMMYFUNCTION("""COMPUTED_VALUE"""),3151.93)</f>
        <v>3151.93</v>
      </c>
    </row>
    <row r="4049">
      <c r="A4049" s="2">
        <f>IFERROR(__xludf.DUMMYFUNCTION("""COMPUTED_VALUE"""),41675.666666666664)</f>
        <v>41675.66667</v>
      </c>
      <c r="B4049" s="1">
        <f>IFERROR(__xludf.DUMMYFUNCTION("""COMPUTED_VALUE"""),3146.49)</f>
        <v>3146.49</v>
      </c>
    </row>
    <row r="4050">
      <c r="A4050" s="2">
        <f>IFERROR(__xludf.DUMMYFUNCTION("""COMPUTED_VALUE"""),41676.666666666664)</f>
        <v>41676.66667</v>
      </c>
      <c r="B4050" s="1">
        <f>IFERROR(__xludf.DUMMYFUNCTION("""COMPUTED_VALUE"""),3187.25)</f>
        <v>3187.25</v>
      </c>
    </row>
    <row r="4051">
      <c r="A4051" s="2">
        <f>IFERROR(__xludf.DUMMYFUNCTION("""COMPUTED_VALUE"""),41677.666666666664)</f>
        <v>41677.66667</v>
      </c>
      <c r="B4051" s="1">
        <f>IFERROR(__xludf.DUMMYFUNCTION("""COMPUTED_VALUE"""),3229.65)</f>
        <v>3229.65</v>
      </c>
    </row>
    <row r="4052">
      <c r="A4052" s="2">
        <f>IFERROR(__xludf.DUMMYFUNCTION("""COMPUTED_VALUE"""),41680.666666666664)</f>
        <v>41680.66667</v>
      </c>
      <c r="B4052" s="1">
        <f>IFERROR(__xludf.DUMMYFUNCTION("""COMPUTED_VALUE"""),3234.79)</f>
        <v>3234.79</v>
      </c>
    </row>
    <row r="4053">
      <c r="A4053" s="2">
        <f>IFERROR(__xludf.DUMMYFUNCTION("""COMPUTED_VALUE"""),41681.666666666664)</f>
        <v>41681.66667</v>
      </c>
      <c r="B4053" s="1">
        <f>IFERROR(__xludf.DUMMYFUNCTION("""COMPUTED_VALUE"""),3270.74)</f>
        <v>3270.74</v>
      </c>
    </row>
    <row r="4054">
      <c r="A4054" s="2">
        <f>IFERROR(__xludf.DUMMYFUNCTION("""COMPUTED_VALUE"""),41682.666666666664)</f>
        <v>41682.66667</v>
      </c>
      <c r="B4054" s="1">
        <f>IFERROR(__xludf.DUMMYFUNCTION("""COMPUTED_VALUE"""),3271.46)</f>
        <v>3271.46</v>
      </c>
    </row>
    <row r="4055">
      <c r="A4055" s="2">
        <f>IFERROR(__xludf.DUMMYFUNCTION("""COMPUTED_VALUE"""),41683.666666666664)</f>
        <v>41683.66667</v>
      </c>
      <c r="B4055" s="1">
        <f>IFERROR(__xludf.DUMMYFUNCTION("""COMPUTED_VALUE"""),3290.82)</f>
        <v>3290.82</v>
      </c>
    </row>
    <row r="4056">
      <c r="A4056" s="2">
        <f>IFERROR(__xludf.DUMMYFUNCTION("""COMPUTED_VALUE"""),41684.666666666664)</f>
        <v>41684.66667</v>
      </c>
      <c r="B4056" s="1">
        <f>IFERROR(__xludf.DUMMYFUNCTION("""COMPUTED_VALUE"""),3306.92)</f>
        <v>3306.92</v>
      </c>
    </row>
    <row r="4057">
      <c r="A4057" s="2">
        <f>IFERROR(__xludf.DUMMYFUNCTION("""COMPUTED_VALUE"""),41688.666666666664)</f>
        <v>41688.66667</v>
      </c>
      <c r="B4057" s="1">
        <f>IFERROR(__xludf.DUMMYFUNCTION("""COMPUTED_VALUE"""),3311.28)</f>
        <v>3311.28</v>
      </c>
    </row>
    <row r="4058">
      <c r="A4058" s="2">
        <f>IFERROR(__xludf.DUMMYFUNCTION("""COMPUTED_VALUE"""),41690.666666666664)</f>
        <v>41690.66667</v>
      </c>
      <c r="B4058" s="1">
        <f>IFERROR(__xludf.DUMMYFUNCTION("""COMPUTED_VALUE"""),3310.26)</f>
        <v>3310.26</v>
      </c>
    </row>
    <row r="4059">
      <c r="A4059" s="2">
        <f>IFERROR(__xludf.DUMMYFUNCTION("""COMPUTED_VALUE"""),41691.666666666664)</f>
        <v>41691.66667</v>
      </c>
      <c r="B4059" s="1">
        <f>IFERROR(__xludf.DUMMYFUNCTION("""COMPUTED_VALUE"""),3304.37)</f>
        <v>3304.37</v>
      </c>
    </row>
    <row r="4060">
      <c r="A4060" s="2">
        <f>IFERROR(__xludf.DUMMYFUNCTION("""COMPUTED_VALUE"""),41694.666666666664)</f>
        <v>41694.66667</v>
      </c>
      <c r="B4060" s="1">
        <f>IFERROR(__xludf.DUMMYFUNCTION("""COMPUTED_VALUE"""),3324.83)</f>
        <v>3324.83</v>
      </c>
    </row>
    <row r="4061">
      <c r="A4061" s="2">
        <f>IFERROR(__xludf.DUMMYFUNCTION("""COMPUTED_VALUE"""),41695.666666666664)</f>
        <v>41695.66667</v>
      </c>
      <c r="B4061" s="1">
        <f>IFERROR(__xludf.DUMMYFUNCTION("""COMPUTED_VALUE"""),3320.43)</f>
        <v>3320.43</v>
      </c>
    </row>
    <row r="4062">
      <c r="A4062" s="2">
        <f>IFERROR(__xludf.DUMMYFUNCTION("""COMPUTED_VALUE"""),41696.666666666664)</f>
        <v>41696.66667</v>
      </c>
      <c r="B4062" s="1">
        <f>IFERROR(__xludf.DUMMYFUNCTION("""COMPUTED_VALUE"""),3321.14)</f>
        <v>3321.14</v>
      </c>
    </row>
    <row r="4063">
      <c r="A4063" s="2">
        <f>IFERROR(__xludf.DUMMYFUNCTION("""COMPUTED_VALUE"""),41697.666666666664)</f>
        <v>41697.66667</v>
      </c>
      <c r="B4063" s="1">
        <f>IFERROR(__xludf.DUMMYFUNCTION("""COMPUTED_VALUE"""),3338.05)</f>
        <v>3338.05</v>
      </c>
    </row>
    <row r="4064">
      <c r="A4064" s="2">
        <f>IFERROR(__xludf.DUMMYFUNCTION("""COMPUTED_VALUE"""),41698.666666666664)</f>
        <v>41698.66667</v>
      </c>
      <c r="B4064" s="1">
        <f>IFERROR(__xludf.DUMMYFUNCTION("""COMPUTED_VALUE"""),3347.38)</f>
        <v>3347.38</v>
      </c>
    </row>
    <row r="4065">
      <c r="A4065" s="2">
        <f>IFERROR(__xludf.DUMMYFUNCTION("""COMPUTED_VALUE"""),41701.666666666664)</f>
        <v>41701.66667</v>
      </c>
      <c r="B4065" s="1">
        <f>IFERROR(__xludf.DUMMYFUNCTION("""COMPUTED_VALUE"""),3322.84)</f>
        <v>3322.84</v>
      </c>
    </row>
    <row r="4066">
      <c r="A4066" s="2">
        <f>IFERROR(__xludf.DUMMYFUNCTION("""COMPUTED_VALUE"""),41702.666666666664)</f>
        <v>41702.66667</v>
      </c>
      <c r="B4066" s="1">
        <f>IFERROR(__xludf.DUMMYFUNCTION("""COMPUTED_VALUE"""),3373.63)</f>
        <v>3373.63</v>
      </c>
    </row>
    <row r="4067">
      <c r="A4067" s="2">
        <f>IFERROR(__xludf.DUMMYFUNCTION("""COMPUTED_VALUE"""),41703.666666666664)</f>
        <v>41703.66667</v>
      </c>
      <c r="B4067" s="1">
        <f>IFERROR(__xludf.DUMMYFUNCTION("""COMPUTED_VALUE"""),3374.1)</f>
        <v>3374.1</v>
      </c>
    </row>
    <row r="4068">
      <c r="A4068" s="2">
        <f>IFERROR(__xludf.DUMMYFUNCTION("""COMPUTED_VALUE"""),41704.666666666664)</f>
        <v>41704.66667</v>
      </c>
      <c r="B4068" s="1">
        <f>IFERROR(__xludf.DUMMYFUNCTION("""COMPUTED_VALUE"""),3380.5)</f>
        <v>3380.5</v>
      </c>
    </row>
    <row r="4069">
      <c r="A4069" s="2">
        <f>IFERROR(__xludf.DUMMYFUNCTION("""COMPUTED_VALUE"""),41705.666666666664)</f>
        <v>41705.66667</v>
      </c>
      <c r="B4069" s="1">
        <f>IFERROR(__xludf.DUMMYFUNCTION("""COMPUTED_VALUE"""),3382.57)</f>
        <v>3382.57</v>
      </c>
    </row>
    <row r="4070">
      <c r="A4070" s="2">
        <f>IFERROR(__xludf.DUMMYFUNCTION("""COMPUTED_VALUE"""),41708.666666666664)</f>
        <v>41708.66667</v>
      </c>
      <c r="B4070" s="1">
        <f>IFERROR(__xludf.DUMMYFUNCTION("""COMPUTED_VALUE"""),3381.21)</f>
        <v>3381.21</v>
      </c>
    </row>
    <row r="4071">
      <c r="A4071" s="2">
        <f>IFERROR(__xludf.DUMMYFUNCTION("""COMPUTED_VALUE"""),41709.666666666664)</f>
        <v>41709.66667</v>
      </c>
      <c r="B4071" s="1">
        <f>IFERROR(__xludf.DUMMYFUNCTION("""COMPUTED_VALUE"""),3364.18)</f>
        <v>3364.18</v>
      </c>
    </row>
    <row r="4072">
      <c r="A4072" s="2">
        <f>IFERROR(__xludf.DUMMYFUNCTION("""COMPUTED_VALUE"""),41710.666666666664)</f>
        <v>41710.66667</v>
      </c>
      <c r="B4072" s="1">
        <f>IFERROR(__xludf.DUMMYFUNCTION("""COMPUTED_VALUE"""),3366.08)</f>
        <v>3366.08</v>
      </c>
    </row>
    <row r="4073">
      <c r="A4073" s="2">
        <f>IFERROR(__xludf.DUMMYFUNCTION("""COMPUTED_VALUE"""),41711.666666666664)</f>
        <v>41711.66667</v>
      </c>
      <c r="B4073" s="1">
        <f>IFERROR(__xludf.DUMMYFUNCTION("""COMPUTED_VALUE"""),3327.1)</f>
        <v>3327.1</v>
      </c>
    </row>
    <row r="4074">
      <c r="A4074" s="2">
        <f>IFERROR(__xludf.DUMMYFUNCTION("""COMPUTED_VALUE"""),41712.666666666664)</f>
        <v>41712.66667</v>
      </c>
      <c r="B4074" s="1">
        <f>IFERROR(__xludf.DUMMYFUNCTION("""COMPUTED_VALUE"""),3317.8)</f>
        <v>3317.8</v>
      </c>
    </row>
    <row r="4075">
      <c r="A4075" s="2">
        <f>IFERROR(__xludf.DUMMYFUNCTION("""COMPUTED_VALUE"""),41715.666666666664)</f>
        <v>41715.66667</v>
      </c>
      <c r="B4075" s="1">
        <f>IFERROR(__xludf.DUMMYFUNCTION("""COMPUTED_VALUE"""),3349.71)</f>
        <v>3349.71</v>
      </c>
    </row>
    <row r="4076">
      <c r="A4076" s="2">
        <f>IFERROR(__xludf.DUMMYFUNCTION("""COMPUTED_VALUE"""),41716.666666666664)</f>
        <v>41716.66667</v>
      </c>
      <c r="B4076" s="1">
        <f>IFERROR(__xludf.DUMMYFUNCTION("""COMPUTED_VALUE"""),3373.98)</f>
        <v>3373.98</v>
      </c>
    </row>
    <row r="4077">
      <c r="A4077" s="2">
        <f>IFERROR(__xludf.DUMMYFUNCTION("""COMPUTED_VALUE"""),41717.666666666664)</f>
        <v>41717.66667</v>
      </c>
      <c r="B4077" s="1">
        <f>IFERROR(__xludf.DUMMYFUNCTION("""COMPUTED_VALUE"""),3353.29)</f>
        <v>3353.29</v>
      </c>
    </row>
    <row r="4078">
      <c r="A4078" s="2">
        <f>IFERROR(__xludf.DUMMYFUNCTION("""COMPUTED_VALUE"""),41718.666666666664)</f>
        <v>41718.66667</v>
      </c>
      <c r="B4078" s="1">
        <f>IFERROR(__xludf.DUMMYFUNCTION("""COMPUTED_VALUE"""),3373.6)</f>
        <v>3373.6</v>
      </c>
    </row>
    <row r="4079">
      <c r="A4079" s="2">
        <f>IFERROR(__xludf.DUMMYFUNCTION("""COMPUTED_VALUE"""),41719.666666666664)</f>
        <v>41719.66667</v>
      </c>
      <c r="B4079" s="1">
        <f>IFERROR(__xludf.DUMMYFUNCTION("""COMPUTED_VALUE"""),3363.5)</f>
        <v>3363.5</v>
      </c>
    </row>
    <row r="4080">
      <c r="A4080" s="2">
        <f>IFERROR(__xludf.DUMMYFUNCTION("""COMPUTED_VALUE"""),41722.666666666664)</f>
        <v>41722.66667</v>
      </c>
      <c r="B4080" s="1">
        <f>IFERROR(__xludf.DUMMYFUNCTION("""COMPUTED_VALUE"""),3347.35)</f>
        <v>3347.35</v>
      </c>
    </row>
    <row r="4081">
      <c r="A4081" s="2">
        <f>IFERROR(__xludf.DUMMYFUNCTION("""COMPUTED_VALUE"""),41723.666666666664)</f>
        <v>41723.66667</v>
      </c>
      <c r="B4081" s="1">
        <f>IFERROR(__xludf.DUMMYFUNCTION("""COMPUTED_VALUE"""),3362.43)</f>
        <v>3362.43</v>
      </c>
    </row>
    <row r="4082">
      <c r="A4082" s="2">
        <f>IFERROR(__xludf.DUMMYFUNCTION("""COMPUTED_VALUE"""),41724.666666666664)</f>
        <v>41724.66667</v>
      </c>
      <c r="B4082" s="1">
        <f>IFERROR(__xludf.DUMMYFUNCTION("""COMPUTED_VALUE"""),3339.0)</f>
        <v>3339</v>
      </c>
    </row>
    <row r="4083">
      <c r="A4083" s="2">
        <f>IFERROR(__xludf.DUMMYFUNCTION("""COMPUTED_VALUE"""),41725.666666666664)</f>
        <v>41725.66667</v>
      </c>
      <c r="B4083" s="1">
        <f>IFERROR(__xludf.DUMMYFUNCTION("""COMPUTED_VALUE"""),3333.23)</f>
        <v>3333.23</v>
      </c>
    </row>
    <row r="4084">
      <c r="A4084" s="2">
        <f>IFERROR(__xludf.DUMMYFUNCTION("""COMPUTED_VALUE"""),41726.666666666664)</f>
        <v>41726.66667</v>
      </c>
      <c r="B4084" s="1">
        <f>IFERROR(__xludf.DUMMYFUNCTION("""COMPUTED_VALUE"""),3348.83)</f>
        <v>3348.83</v>
      </c>
    </row>
    <row r="4085">
      <c r="A4085" s="2">
        <f>IFERROR(__xludf.DUMMYFUNCTION("""COMPUTED_VALUE"""),41729.666666666664)</f>
        <v>41729.66667</v>
      </c>
      <c r="B4085" s="1">
        <f>IFERROR(__xludf.DUMMYFUNCTION("""COMPUTED_VALUE"""),3375.52)</f>
        <v>3375.52</v>
      </c>
    </row>
    <row r="4086">
      <c r="A4086" s="2">
        <f>IFERROR(__xludf.DUMMYFUNCTION("""COMPUTED_VALUE"""),41730.666666666664)</f>
        <v>41730.66667</v>
      </c>
      <c r="B4086" s="1">
        <f>IFERROR(__xludf.DUMMYFUNCTION("""COMPUTED_VALUE"""),3399.5)</f>
        <v>3399.5</v>
      </c>
    </row>
    <row r="4087">
      <c r="A4087" s="2">
        <f>IFERROR(__xludf.DUMMYFUNCTION("""COMPUTED_VALUE"""),41731.666666666664)</f>
        <v>41731.66667</v>
      </c>
      <c r="B4087" s="1">
        <f>IFERROR(__xludf.DUMMYFUNCTION("""COMPUTED_VALUE"""),3409.8)</f>
        <v>3409.8</v>
      </c>
    </row>
    <row r="4088">
      <c r="A4088" s="2">
        <f>IFERROR(__xludf.DUMMYFUNCTION("""COMPUTED_VALUE"""),41732.666666666664)</f>
        <v>41732.66667</v>
      </c>
      <c r="B4088" s="1">
        <f>IFERROR(__xludf.DUMMYFUNCTION("""COMPUTED_VALUE"""),3406.0)</f>
        <v>3406</v>
      </c>
    </row>
    <row r="4089">
      <c r="A4089" s="2">
        <f>IFERROR(__xludf.DUMMYFUNCTION("""COMPUTED_VALUE"""),41733.666666666664)</f>
        <v>41733.66667</v>
      </c>
      <c r="B4089" s="1">
        <f>IFERROR(__xludf.DUMMYFUNCTION("""COMPUTED_VALUE"""),3363.4)</f>
        <v>3363.4</v>
      </c>
    </row>
    <row r="4090">
      <c r="A4090" s="2">
        <f>IFERROR(__xludf.DUMMYFUNCTION("""COMPUTED_VALUE"""),41736.666666666664)</f>
        <v>41736.66667</v>
      </c>
      <c r="B4090" s="1">
        <f>IFERROR(__xludf.DUMMYFUNCTION("""COMPUTED_VALUE"""),3327.28)</f>
        <v>3327.28</v>
      </c>
    </row>
    <row r="4091">
      <c r="A4091" s="2">
        <f>IFERROR(__xludf.DUMMYFUNCTION("""COMPUTED_VALUE"""),41737.666666666664)</f>
        <v>41737.66667</v>
      </c>
      <c r="B4091" s="1">
        <f>IFERROR(__xludf.DUMMYFUNCTION("""COMPUTED_VALUE"""),3340.85)</f>
        <v>3340.85</v>
      </c>
    </row>
    <row r="4092">
      <c r="A4092" s="2">
        <f>IFERROR(__xludf.DUMMYFUNCTION("""COMPUTED_VALUE"""),41738.666666666664)</f>
        <v>41738.66667</v>
      </c>
      <c r="B4092" s="1">
        <f>IFERROR(__xludf.DUMMYFUNCTION("""COMPUTED_VALUE"""),3377.61)</f>
        <v>3377.61</v>
      </c>
    </row>
    <row r="4093">
      <c r="A4093" s="2">
        <f>IFERROR(__xludf.DUMMYFUNCTION("""COMPUTED_VALUE"""),41739.666666666664)</f>
        <v>41739.66667</v>
      </c>
      <c r="B4093" s="1">
        <f>IFERROR(__xludf.DUMMYFUNCTION("""COMPUTED_VALUE"""),3307.08)</f>
        <v>3307.08</v>
      </c>
    </row>
    <row r="4094">
      <c r="A4094" s="2">
        <f>IFERROR(__xludf.DUMMYFUNCTION("""COMPUTED_VALUE"""),41740.666666666664)</f>
        <v>41740.66667</v>
      </c>
      <c r="B4094" s="1">
        <f>IFERROR(__xludf.DUMMYFUNCTION("""COMPUTED_VALUE"""),3276.04)</f>
        <v>3276.04</v>
      </c>
    </row>
    <row r="4095">
      <c r="A4095" s="2">
        <f>IFERROR(__xludf.DUMMYFUNCTION("""COMPUTED_VALUE"""),41743.666666666664)</f>
        <v>41743.66667</v>
      </c>
      <c r="B4095" s="1">
        <f>IFERROR(__xludf.DUMMYFUNCTION("""COMPUTED_VALUE"""),3302.98)</f>
        <v>3302.98</v>
      </c>
    </row>
    <row r="4096">
      <c r="A4096" s="2">
        <f>IFERROR(__xludf.DUMMYFUNCTION("""COMPUTED_VALUE"""),41744.666666666664)</f>
        <v>41744.66667</v>
      </c>
      <c r="B4096" s="1">
        <f>IFERROR(__xludf.DUMMYFUNCTION("""COMPUTED_VALUE"""),3325.3)</f>
        <v>3325.3</v>
      </c>
    </row>
    <row r="4097">
      <c r="A4097" s="2">
        <f>IFERROR(__xludf.DUMMYFUNCTION("""COMPUTED_VALUE"""),41745.666666666664)</f>
        <v>41745.66667</v>
      </c>
      <c r="B4097" s="1">
        <f>IFERROR(__xludf.DUMMYFUNCTION("""COMPUTED_VALUE"""),3360.26)</f>
        <v>3360.26</v>
      </c>
    </row>
    <row r="4098">
      <c r="A4098" s="2">
        <f>IFERROR(__xludf.DUMMYFUNCTION("""COMPUTED_VALUE"""),41746.666666666664)</f>
        <v>41746.66667</v>
      </c>
      <c r="B4098" s="1">
        <f>IFERROR(__xludf.DUMMYFUNCTION("""COMPUTED_VALUE"""),3364.99)</f>
        <v>3364.99</v>
      </c>
    </row>
    <row r="4099">
      <c r="A4099" s="2">
        <f>IFERROR(__xludf.DUMMYFUNCTION("""COMPUTED_VALUE"""),41750.666666666664)</f>
        <v>41750.66667</v>
      </c>
      <c r="B4099" s="1">
        <f>IFERROR(__xludf.DUMMYFUNCTION("""COMPUTED_VALUE"""),3377.76)</f>
        <v>3377.76</v>
      </c>
    </row>
    <row r="4100">
      <c r="A4100" s="2">
        <f>IFERROR(__xludf.DUMMYFUNCTION("""COMPUTED_VALUE"""),41751.666666666664)</f>
        <v>41751.66667</v>
      </c>
      <c r="B4100" s="1">
        <f>IFERROR(__xludf.DUMMYFUNCTION("""COMPUTED_VALUE"""),3391.58)</f>
        <v>3391.58</v>
      </c>
    </row>
    <row r="4101">
      <c r="A4101" s="2">
        <f>IFERROR(__xludf.DUMMYFUNCTION("""COMPUTED_VALUE"""),41752.666666666664)</f>
        <v>41752.66667</v>
      </c>
      <c r="B4101" s="1">
        <f>IFERROR(__xludf.DUMMYFUNCTION("""COMPUTED_VALUE"""),3384.5)</f>
        <v>3384.5</v>
      </c>
    </row>
    <row r="4102">
      <c r="A4102" s="2">
        <f>IFERROR(__xludf.DUMMYFUNCTION("""COMPUTED_VALUE"""),41753.666666666664)</f>
        <v>41753.66667</v>
      </c>
      <c r="B4102" s="1">
        <f>IFERROR(__xludf.DUMMYFUNCTION("""COMPUTED_VALUE"""),3390.39)</f>
        <v>3390.39</v>
      </c>
    </row>
    <row r="4103">
      <c r="A4103" s="2">
        <f>IFERROR(__xludf.DUMMYFUNCTION("""COMPUTED_VALUE"""),41754.666666666664)</f>
        <v>41754.66667</v>
      </c>
      <c r="B4103" s="1">
        <f>IFERROR(__xludf.DUMMYFUNCTION("""COMPUTED_VALUE"""),3362.94)</f>
        <v>3362.94</v>
      </c>
    </row>
    <row r="4104">
      <c r="A4104" s="2">
        <f>IFERROR(__xludf.DUMMYFUNCTION("""COMPUTED_VALUE"""),41757.666666666664)</f>
        <v>41757.66667</v>
      </c>
      <c r="B4104" s="1">
        <f>IFERROR(__xludf.DUMMYFUNCTION("""COMPUTED_VALUE"""),3374.05)</f>
        <v>3374.05</v>
      </c>
    </row>
    <row r="4105">
      <c r="A4105" s="2">
        <f>IFERROR(__xludf.DUMMYFUNCTION("""COMPUTED_VALUE"""),41758.666666666664)</f>
        <v>41758.66667</v>
      </c>
      <c r="B4105" s="1">
        <f>IFERROR(__xludf.DUMMYFUNCTION("""COMPUTED_VALUE"""),3390.16)</f>
        <v>3390.16</v>
      </c>
    </row>
    <row r="4106">
      <c r="A4106" s="2">
        <f>IFERROR(__xludf.DUMMYFUNCTION("""COMPUTED_VALUE"""),41759.666666666664)</f>
        <v>41759.66667</v>
      </c>
      <c r="B4106" s="1">
        <f>IFERROR(__xludf.DUMMYFUNCTION("""COMPUTED_VALUE"""),3400.46)</f>
        <v>3400.46</v>
      </c>
    </row>
    <row r="4107">
      <c r="A4107" s="2">
        <f>IFERROR(__xludf.DUMMYFUNCTION("""COMPUTED_VALUE"""),41760.666666666664)</f>
        <v>41760.66667</v>
      </c>
      <c r="B4107" s="1">
        <f>IFERROR(__xludf.DUMMYFUNCTION("""COMPUTED_VALUE"""),3400.2)</f>
        <v>3400.2</v>
      </c>
    </row>
    <row r="4108">
      <c r="A4108" s="2">
        <f>IFERROR(__xludf.DUMMYFUNCTION("""COMPUTED_VALUE"""),41761.666666666664)</f>
        <v>41761.66667</v>
      </c>
      <c r="B4108" s="1">
        <f>IFERROR(__xludf.DUMMYFUNCTION("""COMPUTED_VALUE"""),3395.61)</f>
        <v>3395.61</v>
      </c>
    </row>
    <row r="4109">
      <c r="A4109" s="2">
        <f>IFERROR(__xludf.DUMMYFUNCTION("""COMPUTED_VALUE"""),41764.666666666664)</f>
        <v>41764.66667</v>
      </c>
      <c r="B4109" s="1">
        <f>IFERROR(__xludf.DUMMYFUNCTION("""COMPUTED_VALUE"""),3402.23)</f>
        <v>3402.23</v>
      </c>
    </row>
    <row r="4110">
      <c r="A4110" s="2">
        <f>IFERROR(__xludf.DUMMYFUNCTION("""COMPUTED_VALUE"""),41765.666666666664)</f>
        <v>41765.66667</v>
      </c>
      <c r="B4110" s="1">
        <f>IFERROR(__xludf.DUMMYFUNCTION("""COMPUTED_VALUE"""),3371.73)</f>
        <v>3371.73</v>
      </c>
    </row>
    <row r="4111">
      <c r="A4111" s="2">
        <f>IFERROR(__xludf.DUMMYFUNCTION("""COMPUTED_VALUE"""),41766.666666666664)</f>
        <v>41766.66667</v>
      </c>
      <c r="B4111" s="1">
        <f>IFERROR(__xludf.DUMMYFUNCTION("""COMPUTED_VALUE"""),3392.1)</f>
        <v>3392.1</v>
      </c>
    </row>
    <row r="4112">
      <c r="A4112" s="2">
        <f>IFERROR(__xludf.DUMMYFUNCTION("""COMPUTED_VALUE"""),41767.666666666664)</f>
        <v>41767.66667</v>
      </c>
      <c r="B4112" s="1">
        <f>IFERROR(__xludf.DUMMYFUNCTION("""COMPUTED_VALUE"""),3388.29)</f>
        <v>3388.29</v>
      </c>
    </row>
    <row r="4113">
      <c r="A4113" s="2">
        <f>IFERROR(__xludf.DUMMYFUNCTION("""COMPUTED_VALUE"""),41768.666666666664)</f>
        <v>41768.66667</v>
      </c>
      <c r="B4113" s="1">
        <f>IFERROR(__xludf.DUMMYFUNCTION("""COMPUTED_VALUE"""),3394.06)</f>
        <v>3394.06</v>
      </c>
    </row>
    <row r="4114">
      <c r="A4114" s="2">
        <f>IFERROR(__xludf.DUMMYFUNCTION("""COMPUTED_VALUE"""),41771.666666666664)</f>
        <v>41771.66667</v>
      </c>
      <c r="B4114" s="1">
        <f>IFERROR(__xludf.DUMMYFUNCTION("""COMPUTED_VALUE"""),3427.0)</f>
        <v>3427</v>
      </c>
    </row>
    <row r="4115">
      <c r="A4115" s="2">
        <f>IFERROR(__xludf.DUMMYFUNCTION("""COMPUTED_VALUE"""),41772.666666666664)</f>
        <v>41772.66667</v>
      </c>
      <c r="B4115" s="1">
        <f>IFERROR(__xludf.DUMMYFUNCTION("""COMPUTED_VALUE"""),3429.31)</f>
        <v>3429.31</v>
      </c>
    </row>
    <row r="4116">
      <c r="A4116" s="2">
        <f>IFERROR(__xludf.DUMMYFUNCTION("""COMPUTED_VALUE"""),41773.666666666664)</f>
        <v>41773.66667</v>
      </c>
      <c r="B4116" s="1">
        <f>IFERROR(__xludf.DUMMYFUNCTION("""COMPUTED_VALUE"""),3413.85)</f>
        <v>3413.85</v>
      </c>
    </row>
    <row r="4117">
      <c r="A4117" s="2">
        <f>IFERROR(__xludf.DUMMYFUNCTION("""COMPUTED_VALUE"""),41774.666666666664)</f>
        <v>41774.66667</v>
      </c>
      <c r="B4117" s="1">
        <f>IFERROR(__xludf.DUMMYFUNCTION("""COMPUTED_VALUE"""),3382.52)</f>
        <v>3382.52</v>
      </c>
    </row>
    <row r="4118">
      <c r="A4118" s="2">
        <f>IFERROR(__xludf.DUMMYFUNCTION("""COMPUTED_VALUE"""),41775.666666666664)</f>
        <v>41775.66667</v>
      </c>
      <c r="B4118" s="1">
        <f>IFERROR(__xludf.DUMMYFUNCTION("""COMPUTED_VALUE"""),3395.22)</f>
        <v>3395.22</v>
      </c>
    </row>
    <row r="4119">
      <c r="A4119" s="2">
        <f>IFERROR(__xludf.DUMMYFUNCTION("""COMPUTED_VALUE"""),41778.666666666664)</f>
        <v>41778.66667</v>
      </c>
      <c r="B4119" s="1">
        <f>IFERROR(__xludf.DUMMYFUNCTION("""COMPUTED_VALUE"""),3408.51)</f>
        <v>3408.51</v>
      </c>
    </row>
    <row r="4120">
      <c r="A4120" s="2">
        <f>IFERROR(__xludf.DUMMYFUNCTION("""COMPUTED_VALUE"""),41779.666666666664)</f>
        <v>41779.66667</v>
      </c>
      <c r="B4120" s="1">
        <f>IFERROR(__xludf.DUMMYFUNCTION("""COMPUTED_VALUE"""),3386.48)</f>
        <v>3386.48</v>
      </c>
    </row>
    <row r="4121">
      <c r="A4121" s="2">
        <f>IFERROR(__xludf.DUMMYFUNCTION("""COMPUTED_VALUE"""),41780.666666666664)</f>
        <v>41780.66667</v>
      </c>
      <c r="B4121" s="1">
        <f>IFERROR(__xludf.DUMMYFUNCTION("""COMPUTED_VALUE"""),3414.45)</f>
        <v>3414.45</v>
      </c>
    </row>
    <row r="4122">
      <c r="A4122" s="2">
        <f>IFERROR(__xludf.DUMMYFUNCTION("""COMPUTED_VALUE"""),41781.666666666664)</f>
        <v>41781.66667</v>
      </c>
      <c r="B4122" s="1">
        <f>IFERROR(__xludf.DUMMYFUNCTION("""COMPUTED_VALUE"""),3422.99)</f>
        <v>3422.99</v>
      </c>
    </row>
    <row r="4123">
      <c r="A4123" s="2">
        <f>IFERROR(__xludf.DUMMYFUNCTION("""COMPUTED_VALUE"""),41782.666666666664)</f>
        <v>41782.66667</v>
      </c>
      <c r="B4123" s="1">
        <f>IFERROR(__xludf.DUMMYFUNCTION("""COMPUTED_VALUE"""),3437.58)</f>
        <v>3437.58</v>
      </c>
    </row>
    <row r="4124">
      <c r="A4124" s="2">
        <f>IFERROR(__xludf.DUMMYFUNCTION("""COMPUTED_VALUE"""),41786.666666666664)</f>
        <v>41786.66667</v>
      </c>
      <c r="B4124" s="1">
        <f>IFERROR(__xludf.DUMMYFUNCTION("""COMPUTED_VALUE"""),3458.19)</f>
        <v>3458.19</v>
      </c>
    </row>
    <row r="4125">
      <c r="A4125" s="2">
        <f>IFERROR(__xludf.DUMMYFUNCTION("""COMPUTED_VALUE"""),41787.666666666664)</f>
        <v>41787.66667</v>
      </c>
      <c r="B4125" s="1">
        <f>IFERROR(__xludf.DUMMYFUNCTION("""COMPUTED_VALUE"""),3454.87)</f>
        <v>3454.87</v>
      </c>
    </row>
    <row r="4126">
      <c r="A4126" s="2">
        <f>IFERROR(__xludf.DUMMYFUNCTION("""COMPUTED_VALUE"""),41788.666666666664)</f>
        <v>41788.66667</v>
      </c>
      <c r="B4126" s="1">
        <f>IFERROR(__xludf.DUMMYFUNCTION("""COMPUTED_VALUE"""),3473.86)</f>
        <v>3473.86</v>
      </c>
    </row>
    <row r="4127">
      <c r="A4127" s="2">
        <f>IFERROR(__xludf.DUMMYFUNCTION("""COMPUTED_VALUE"""),41789.666666666664)</f>
        <v>41789.66667</v>
      </c>
      <c r="B4127" s="1">
        <f>IFERROR(__xludf.DUMMYFUNCTION("""COMPUTED_VALUE"""),3480.28)</f>
        <v>3480.28</v>
      </c>
    </row>
    <row r="4128">
      <c r="A4128" s="2">
        <f>IFERROR(__xludf.DUMMYFUNCTION("""COMPUTED_VALUE"""),41792.666666666664)</f>
        <v>41792.66667</v>
      </c>
      <c r="B4128" s="1">
        <f>IFERROR(__xludf.DUMMYFUNCTION("""COMPUTED_VALUE"""),3483.14)</f>
        <v>3483.14</v>
      </c>
    </row>
    <row r="4129">
      <c r="A4129" s="2">
        <f>IFERROR(__xludf.DUMMYFUNCTION("""COMPUTED_VALUE"""),41793.666666666664)</f>
        <v>41793.66667</v>
      </c>
      <c r="B4129" s="1">
        <f>IFERROR(__xludf.DUMMYFUNCTION("""COMPUTED_VALUE"""),3481.99)</f>
        <v>3481.99</v>
      </c>
    </row>
    <row r="4130">
      <c r="A4130" s="2">
        <f>IFERROR(__xludf.DUMMYFUNCTION("""COMPUTED_VALUE"""),41794.666666666664)</f>
        <v>41794.66667</v>
      </c>
      <c r="B4130" s="1">
        <f>IFERROR(__xludf.DUMMYFUNCTION("""COMPUTED_VALUE"""),3489.22)</f>
        <v>3489.22</v>
      </c>
    </row>
    <row r="4131">
      <c r="A4131" s="2">
        <f>IFERROR(__xludf.DUMMYFUNCTION("""COMPUTED_VALUE"""),41795.666666666664)</f>
        <v>41795.66667</v>
      </c>
      <c r="B4131" s="1">
        <f>IFERROR(__xludf.DUMMYFUNCTION("""COMPUTED_VALUE"""),3512.22)</f>
        <v>3512.22</v>
      </c>
    </row>
    <row r="4132">
      <c r="A4132" s="2">
        <f>IFERROR(__xludf.DUMMYFUNCTION("""COMPUTED_VALUE"""),41796.666666666664)</f>
        <v>41796.66667</v>
      </c>
      <c r="B4132" s="1">
        <f>IFERROR(__xludf.DUMMYFUNCTION("""COMPUTED_VALUE"""),3528.98)</f>
        <v>3528.98</v>
      </c>
    </row>
    <row r="4133">
      <c r="A4133" s="2">
        <f>IFERROR(__xludf.DUMMYFUNCTION("""COMPUTED_VALUE"""),41799.666666666664)</f>
        <v>41799.66667</v>
      </c>
      <c r="B4133" s="1">
        <f>IFERROR(__xludf.DUMMYFUNCTION("""COMPUTED_VALUE"""),3532.46)</f>
        <v>3532.46</v>
      </c>
    </row>
    <row r="4134">
      <c r="A4134" s="2">
        <f>IFERROR(__xludf.DUMMYFUNCTION("""COMPUTED_VALUE"""),41800.666666666664)</f>
        <v>41800.66667</v>
      </c>
      <c r="B4134" s="1">
        <f>IFERROR(__xludf.DUMMYFUNCTION("""COMPUTED_VALUE"""),3531.61)</f>
        <v>3531.61</v>
      </c>
    </row>
    <row r="4135">
      <c r="A4135" s="2">
        <f>IFERROR(__xludf.DUMMYFUNCTION("""COMPUTED_VALUE"""),41801.666666666664)</f>
        <v>41801.66667</v>
      </c>
      <c r="B4135" s="1">
        <f>IFERROR(__xludf.DUMMYFUNCTION("""COMPUTED_VALUE"""),3519.52)</f>
        <v>3519.52</v>
      </c>
    </row>
    <row r="4136">
      <c r="A4136" s="2">
        <f>IFERROR(__xludf.DUMMYFUNCTION("""COMPUTED_VALUE"""),41802.666666666664)</f>
        <v>41802.66667</v>
      </c>
      <c r="B4136" s="1">
        <f>IFERROR(__xludf.DUMMYFUNCTION("""COMPUTED_VALUE"""),3495.56)</f>
        <v>3495.56</v>
      </c>
    </row>
    <row r="4137">
      <c r="A4137" s="2">
        <f>IFERROR(__xludf.DUMMYFUNCTION("""COMPUTED_VALUE"""),41803.666666666664)</f>
        <v>41803.66667</v>
      </c>
      <c r="B4137" s="1">
        <f>IFERROR(__xludf.DUMMYFUNCTION("""COMPUTED_VALUE"""),3506.58)</f>
        <v>3506.58</v>
      </c>
    </row>
    <row r="4138">
      <c r="A4138" s="2">
        <f>IFERROR(__xludf.DUMMYFUNCTION("""COMPUTED_VALUE"""),41806.666666666664)</f>
        <v>41806.66667</v>
      </c>
      <c r="B4138" s="1">
        <f>IFERROR(__xludf.DUMMYFUNCTION("""COMPUTED_VALUE"""),3509.53)</f>
        <v>3509.53</v>
      </c>
    </row>
    <row r="4139">
      <c r="A4139" s="2">
        <f>IFERROR(__xludf.DUMMYFUNCTION("""COMPUTED_VALUE"""),41807.666666666664)</f>
        <v>41807.66667</v>
      </c>
      <c r="B4139" s="1">
        <f>IFERROR(__xludf.DUMMYFUNCTION("""COMPUTED_VALUE"""),3517.23)</f>
        <v>3517.23</v>
      </c>
    </row>
    <row r="4140">
      <c r="A4140" s="2">
        <f>IFERROR(__xludf.DUMMYFUNCTION("""COMPUTED_VALUE"""),41808.666666666664)</f>
        <v>41808.66667</v>
      </c>
      <c r="B4140" s="1">
        <f>IFERROR(__xludf.DUMMYFUNCTION("""COMPUTED_VALUE"""),3544.41)</f>
        <v>3544.41</v>
      </c>
    </row>
    <row r="4141">
      <c r="A4141" s="2">
        <f>IFERROR(__xludf.DUMMYFUNCTION("""COMPUTED_VALUE"""),41809.666666666664)</f>
        <v>41809.66667</v>
      </c>
      <c r="B4141" s="1">
        <f>IFERROR(__xludf.DUMMYFUNCTION("""COMPUTED_VALUE"""),3549.44)</f>
        <v>3549.44</v>
      </c>
    </row>
    <row r="4142">
      <c r="A4142" s="2">
        <f>IFERROR(__xludf.DUMMYFUNCTION("""COMPUTED_VALUE"""),41810.666666666664)</f>
        <v>41810.66667</v>
      </c>
      <c r="B4142" s="1">
        <f>IFERROR(__xludf.DUMMYFUNCTION("""COMPUTED_VALUE"""),3555.6)</f>
        <v>3555.6</v>
      </c>
    </row>
    <row r="4143">
      <c r="A4143" s="2">
        <f>IFERROR(__xludf.DUMMYFUNCTION("""COMPUTED_VALUE"""),41813.666666666664)</f>
        <v>41813.66667</v>
      </c>
      <c r="B4143" s="1">
        <f>IFERROR(__xludf.DUMMYFUNCTION("""COMPUTED_VALUE"""),3555.14)</f>
        <v>3555.14</v>
      </c>
    </row>
    <row r="4144">
      <c r="A4144" s="2">
        <f>IFERROR(__xludf.DUMMYFUNCTION("""COMPUTED_VALUE"""),41814.666666666664)</f>
        <v>41814.66667</v>
      </c>
      <c r="B4144" s="1">
        <f>IFERROR(__xludf.DUMMYFUNCTION("""COMPUTED_VALUE"""),3532.57)</f>
        <v>3532.57</v>
      </c>
    </row>
    <row r="4145">
      <c r="A4145" s="2">
        <f>IFERROR(__xludf.DUMMYFUNCTION("""COMPUTED_VALUE"""),41815.666666666664)</f>
        <v>41815.66667</v>
      </c>
      <c r="B4145" s="1">
        <f>IFERROR(__xludf.DUMMYFUNCTION("""COMPUTED_VALUE"""),3549.96)</f>
        <v>3549.96</v>
      </c>
    </row>
    <row r="4146">
      <c r="A4146" s="2">
        <f>IFERROR(__xludf.DUMMYFUNCTION("""COMPUTED_VALUE"""),41816.666666666664)</f>
        <v>41816.66667</v>
      </c>
      <c r="B4146" s="1">
        <f>IFERROR(__xludf.DUMMYFUNCTION("""COMPUTED_VALUE"""),3546.38)</f>
        <v>3546.38</v>
      </c>
    </row>
    <row r="4147">
      <c r="A4147" s="2">
        <f>IFERROR(__xludf.DUMMYFUNCTION("""COMPUTED_VALUE"""),41817.666666666664)</f>
        <v>41817.66667</v>
      </c>
      <c r="B4147" s="1">
        <f>IFERROR(__xludf.DUMMYFUNCTION("""COMPUTED_VALUE"""),3553.34)</f>
        <v>3553.34</v>
      </c>
    </row>
    <row r="4148">
      <c r="A4148" s="2">
        <f>IFERROR(__xludf.DUMMYFUNCTION("""COMPUTED_VALUE"""),41820.666666666664)</f>
        <v>41820.66667</v>
      </c>
      <c r="B4148" s="1">
        <f>IFERROR(__xludf.DUMMYFUNCTION("""COMPUTED_VALUE"""),3552.18)</f>
        <v>3552.18</v>
      </c>
    </row>
    <row r="4149">
      <c r="A4149" s="2">
        <f>IFERROR(__xludf.DUMMYFUNCTION("""COMPUTED_VALUE"""),41821.666666666664)</f>
        <v>41821.66667</v>
      </c>
      <c r="B4149" s="1">
        <f>IFERROR(__xludf.DUMMYFUNCTION("""COMPUTED_VALUE"""),3576.55)</f>
        <v>3576.55</v>
      </c>
    </row>
    <row r="4150">
      <c r="A4150" s="2">
        <f>IFERROR(__xludf.DUMMYFUNCTION("""COMPUTED_VALUE"""),41822.666666666664)</f>
        <v>41822.66667</v>
      </c>
      <c r="B4150" s="1">
        <f>IFERROR(__xludf.DUMMYFUNCTION("""COMPUTED_VALUE"""),3579.11)</f>
        <v>3579.11</v>
      </c>
    </row>
    <row r="4151">
      <c r="A4151" s="2">
        <f>IFERROR(__xludf.DUMMYFUNCTION("""COMPUTED_VALUE"""),41823.666666666664)</f>
        <v>41823.66667</v>
      </c>
      <c r="B4151" s="1">
        <f>IFERROR(__xludf.DUMMYFUNCTION("""COMPUTED_VALUE"""),3598.73)</f>
        <v>3598.73</v>
      </c>
    </row>
    <row r="4152">
      <c r="A4152" s="2">
        <f>IFERROR(__xludf.DUMMYFUNCTION("""COMPUTED_VALUE"""),41827.666666666664)</f>
        <v>41827.66667</v>
      </c>
      <c r="B4152" s="1">
        <f>IFERROR(__xludf.DUMMYFUNCTION("""COMPUTED_VALUE"""),3584.75)</f>
        <v>3584.75</v>
      </c>
    </row>
    <row r="4153">
      <c r="A4153" s="2">
        <f>IFERROR(__xludf.DUMMYFUNCTION("""COMPUTED_VALUE"""),41828.666666666664)</f>
        <v>41828.66667</v>
      </c>
      <c r="B4153" s="1">
        <f>IFERROR(__xludf.DUMMYFUNCTION("""COMPUTED_VALUE"""),3560.53)</f>
        <v>3560.53</v>
      </c>
    </row>
    <row r="4154">
      <c r="A4154" s="2">
        <f>IFERROR(__xludf.DUMMYFUNCTION("""COMPUTED_VALUE"""),41829.666666666664)</f>
        <v>41829.66667</v>
      </c>
      <c r="B4154" s="1">
        <f>IFERROR(__xludf.DUMMYFUNCTION("""COMPUTED_VALUE"""),3577.28)</f>
        <v>3577.28</v>
      </c>
    </row>
    <row r="4155">
      <c r="A4155" s="2">
        <f>IFERROR(__xludf.DUMMYFUNCTION("""COMPUTED_VALUE"""),41830.666666666664)</f>
        <v>41830.66667</v>
      </c>
      <c r="B4155" s="1">
        <f>IFERROR(__xludf.DUMMYFUNCTION("""COMPUTED_VALUE"""),3562.5)</f>
        <v>3562.5</v>
      </c>
    </row>
    <row r="4156">
      <c r="A4156" s="2">
        <f>IFERROR(__xludf.DUMMYFUNCTION("""COMPUTED_VALUE"""),41831.666666666664)</f>
        <v>41831.66667</v>
      </c>
      <c r="B4156" s="1">
        <f>IFERROR(__xludf.DUMMYFUNCTION("""COMPUTED_VALUE"""),3568.08)</f>
        <v>3568.08</v>
      </c>
    </row>
    <row r="4157">
      <c r="A4157" s="2">
        <f>IFERROR(__xludf.DUMMYFUNCTION("""COMPUTED_VALUE"""),41834.666666666664)</f>
        <v>41834.66667</v>
      </c>
      <c r="B4157" s="1">
        <f>IFERROR(__xludf.DUMMYFUNCTION("""COMPUTED_VALUE"""),3585.37)</f>
        <v>3585.37</v>
      </c>
    </row>
    <row r="4158">
      <c r="A4158" s="2">
        <f>IFERROR(__xludf.DUMMYFUNCTION("""COMPUTED_VALUE"""),41835.666666666664)</f>
        <v>41835.66667</v>
      </c>
      <c r="B4158" s="1">
        <f>IFERROR(__xludf.DUMMYFUNCTION("""COMPUTED_VALUE"""),3578.46)</f>
        <v>3578.46</v>
      </c>
    </row>
    <row r="4159">
      <c r="A4159" s="2">
        <f>IFERROR(__xludf.DUMMYFUNCTION("""COMPUTED_VALUE"""),41836.666666666664)</f>
        <v>41836.66667</v>
      </c>
      <c r="B4159" s="1">
        <f>IFERROR(__xludf.DUMMYFUNCTION("""COMPUTED_VALUE"""),3593.91)</f>
        <v>3593.91</v>
      </c>
    </row>
    <row r="4160">
      <c r="A4160" s="2">
        <f>IFERROR(__xludf.DUMMYFUNCTION("""COMPUTED_VALUE"""),41837.666666666664)</f>
        <v>41837.66667</v>
      </c>
      <c r="B4160" s="1">
        <f>IFERROR(__xludf.DUMMYFUNCTION("""COMPUTED_VALUE"""),3551.73)</f>
        <v>3551.73</v>
      </c>
    </row>
    <row r="4161">
      <c r="A4161" s="2">
        <f>IFERROR(__xludf.DUMMYFUNCTION("""COMPUTED_VALUE"""),41838.666666666664)</f>
        <v>41838.66667</v>
      </c>
      <c r="B4161" s="1">
        <f>IFERROR(__xludf.DUMMYFUNCTION("""COMPUTED_VALUE"""),3588.21)</f>
        <v>3588.21</v>
      </c>
    </row>
    <row r="4162">
      <c r="A4162" s="2">
        <f>IFERROR(__xludf.DUMMYFUNCTION("""COMPUTED_VALUE"""),41841.666666666664)</f>
        <v>41841.66667</v>
      </c>
      <c r="B4162" s="1">
        <f>IFERROR(__xludf.DUMMYFUNCTION("""COMPUTED_VALUE"""),3579.99)</f>
        <v>3579.99</v>
      </c>
    </row>
    <row r="4163">
      <c r="A4163" s="2">
        <f>IFERROR(__xludf.DUMMYFUNCTION("""COMPUTED_VALUE"""),41842.666666666664)</f>
        <v>41842.66667</v>
      </c>
      <c r="B4163" s="1">
        <f>IFERROR(__xludf.DUMMYFUNCTION("""COMPUTED_VALUE"""),3597.95)</f>
        <v>3597.95</v>
      </c>
    </row>
    <row r="4164">
      <c r="A4164" s="2">
        <f>IFERROR(__xludf.DUMMYFUNCTION("""COMPUTED_VALUE"""),41843.666666666664)</f>
        <v>41843.66667</v>
      </c>
      <c r="B4164" s="1">
        <f>IFERROR(__xludf.DUMMYFUNCTION("""COMPUTED_VALUE"""),3604.31)</f>
        <v>3604.31</v>
      </c>
    </row>
    <row r="4165">
      <c r="A4165" s="2">
        <f>IFERROR(__xludf.DUMMYFUNCTION("""COMPUTED_VALUE"""),41844.666666666664)</f>
        <v>41844.66667</v>
      </c>
      <c r="B4165" s="1">
        <f>IFERROR(__xludf.DUMMYFUNCTION("""COMPUTED_VALUE"""),3606.1)</f>
        <v>3606.1</v>
      </c>
    </row>
    <row r="4166">
      <c r="A4166" s="2">
        <f>IFERROR(__xludf.DUMMYFUNCTION("""COMPUTED_VALUE"""),41845.666666666664)</f>
        <v>41845.66667</v>
      </c>
      <c r="B4166" s="1">
        <f>IFERROR(__xludf.DUMMYFUNCTION("""COMPUTED_VALUE"""),3588.69)</f>
        <v>3588.69</v>
      </c>
    </row>
    <row r="4167">
      <c r="A4167" s="2">
        <f>IFERROR(__xludf.DUMMYFUNCTION("""COMPUTED_VALUE"""),41848.666666666664)</f>
        <v>41848.66667</v>
      </c>
      <c r="B4167" s="1">
        <f>IFERROR(__xludf.DUMMYFUNCTION("""COMPUTED_VALUE"""),3589.73)</f>
        <v>3589.73</v>
      </c>
    </row>
    <row r="4168">
      <c r="A4168" s="2">
        <f>IFERROR(__xludf.DUMMYFUNCTION("""COMPUTED_VALUE"""),41849.666666666664)</f>
        <v>41849.66667</v>
      </c>
      <c r="B4168" s="1">
        <f>IFERROR(__xludf.DUMMYFUNCTION("""COMPUTED_VALUE"""),3573.64)</f>
        <v>3573.64</v>
      </c>
    </row>
    <row r="4169">
      <c r="A4169" s="2">
        <f>IFERROR(__xludf.DUMMYFUNCTION("""COMPUTED_VALUE"""),41850.666666666664)</f>
        <v>41850.66667</v>
      </c>
      <c r="B4169" s="1">
        <f>IFERROR(__xludf.DUMMYFUNCTION("""COMPUTED_VALUE"""),3574.46)</f>
        <v>3574.46</v>
      </c>
    </row>
    <row r="4170">
      <c r="A4170" s="2">
        <f>IFERROR(__xludf.DUMMYFUNCTION("""COMPUTED_VALUE"""),41851.666666666664)</f>
        <v>41851.66667</v>
      </c>
      <c r="B4170" s="1">
        <f>IFERROR(__xludf.DUMMYFUNCTION("""COMPUTED_VALUE"""),3503.19)</f>
        <v>3503.19</v>
      </c>
    </row>
    <row r="4171">
      <c r="A4171" s="2">
        <f>IFERROR(__xludf.DUMMYFUNCTION("""COMPUTED_VALUE"""),41852.666666666664)</f>
        <v>41852.66667</v>
      </c>
      <c r="B4171" s="1">
        <f>IFERROR(__xludf.DUMMYFUNCTION("""COMPUTED_VALUE"""),3493.17)</f>
        <v>3493.17</v>
      </c>
    </row>
    <row r="4172">
      <c r="A4172" s="2">
        <f>IFERROR(__xludf.DUMMYFUNCTION("""COMPUTED_VALUE"""),41855.666666666664)</f>
        <v>41855.66667</v>
      </c>
      <c r="B4172" s="1">
        <f>IFERROR(__xludf.DUMMYFUNCTION("""COMPUTED_VALUE"""),3518.31)</f>
        <v>3518.31</v>
      </c>
    </row>
    <row r="4173">
      <c r="A4173" s="2">
        <f>IFERROR(__xludf.DUMMYFUNCTION("""COMPUTED_VALUE"""),41856.666666666664)</f>
        <v>41856.66667</v>
      </c>
      <c r="B4173" s="1">
        <f>IFERROR(__xludf.DUMMYFUNCTION("""COMPUTED_VALUE"""),3484.56)</f>
        <v>3484.56</v>
      </c>
    </row>
    <row r="4174">
      <c r="A4174" s="2">
        <f>IFERROR(__xludf.DUMMYFUNCTION("""COMPUTED_VALUE"""),41857.666666666664)</f>
        <v>41857.66667</v>
      </c>
      <c r="B4174" s="1">
        <f>IFERROR(__xludf.DUMMYFUNCTION("""COMPUTED_VALUE"""),3485.67)</f>
        <v>3485.67</v>
      </c>
    </row>
    <row r="4175">
      <c r="A4175" s="2">
        <f>IFERROR(__xludf.DUMMYFUNCTION("""COMPUTED_VALUE"""),41858.666666666664)</f>
        <v>41858.66667</v>
      </c>
      <c r="B4175" s="1">
        <f>IFERROR(__xludf.DUMMYFUNCTION("""COMPUTED_VALUE"""),3467.14)</f>
        <v>3467.14</v>
      </c>
    </row>
    <row r="4176">
      <c r="A4176" s="2">
        <f>IFERROR(__xludf.DUMMYFUNCTION("""COMPUTED_VALUE"""),41859.666666666664)</f>
        <v>41859.66667</v>
      </c>
      <c r="B4176" s="1">
        <f>IFERROR(__xludf.DUMMYFUNCTION("""COMPUTED_VALUE"""),3507.21)</f>
        <v>3507.21</v>
      </c>
    </row>
    <row r="4177">
      <c r="A4177" s="2">
        <f>IFERROR(__xludf.DUMMYFUNCTION("""COMPUTED_VALUE"""),41862.666666666664)</f>
        <v>41862.66667</v>
      </c>
      <c r="B4177" s="1">
        <f>IFERROR(__xludf.DUMMYFUNCTION("""COMPUTED_VALUE"""),3517.54)</f>
        <v>3517.54</v>
      </c>
    </row>
    <row r="4178">
      <c r="A4178" s="2">
        <f>IFERROR(__xludf.DUMMYFUNCTION("""COMPUTED_VALUE"""),41863.666666666664)</f>
        <v>41863.66667</v>
      </c>
      <c r="B4178" s="1">
        <f>IFERROR(__xludf.DUMMYFUNCTION("""COMPUTED_VALUE"""),3511.97)</f>
        <v>3511.97</v>
      </c>
    </row>
    <row r="4179">
      <c r="A4179" s="2">
        <f>IFERROR(__xludf.DUMMYFUNCTION("""COMPUTED_VALUE"""),41864.666666666664)</f>
        <v>41864.66667</v>
      </c>
      <c r="B4179" s="1">
        <f>IFERROR(__xludf.DUMMYFUNCTION("""COMPUTED_VALUE"""),3536.42)</f>
        <v>3536.42</v>
      </c>
    </row>
    <row r="4180">
      <c r="A4180" s="2">
        <f>IFERROR(__xludf.DUMMYFUNCTION("""COMPUTED_VALUE"""),41865.666666666664)</f>
        <v>41865.66667</v>
      </c>
      <c r="B4180" s="1">
        <f>IFERROR(__xludf.DUMMYFUNCTION("""COMPUTED_VALUE"""),3551.96)</f>
        <v>3551.96</v>
      </c>
    </row>
    <row r="4181">
      <c r="A4181" s="2">
        <f>IFERROR(__xludf.DUMMYFUNCTION("""COMPUTED_VALUE"""),41866.666666666664)</f>
        <v>41866.66667</v>
      </c>
      <c r="B4181" s="1">
        <f>IFERROR(__xludf.DUMMYFUNCTION("""COMPUTED_VALUE"""),3552.17)</f>
        <v>3552.17</v>
      </c>
    </row>
    <row r="4182">
      <c r="A4182" s="2">
        <f>IFERROR(__xludf.DUMMYFUNCTION("""COMPUTED_VALUE"""),41869.666666666664)</f>
        <v>41869.66667</v>
      </c>
      <c r="B4182" s="1">
        <f>IFERROR(__xludf.DUMMYFUNCTION("""COMPUTED_VALUE"""),3582.7)</f>
        <v>3582.7</v>
      </c>
    </row>
    <row r="4183">
      <c r="A4183" s="2">
        <f>IFERROR(__xludf.DUMMYFUNCTION("""COMPUTED_VALUE"""),41870.666666666664)</f>
        <v>41870.66667</v>
      </c>
      <c r="B4183" s="1">
        <f>IFERROR(__xludf.DUMMYFUNCTION("""COMPUTED_VALUE"""),3601.33)</f>
        <v>3601.33</v>
      </c>
    </row>
    <row r="4184">
      <c r="A4184" s="2">
        <f>IFERROR(__xludf.DUMMYFUNCTION("""COMPUTED_VALUE"""),41871.666666666664)</f>
        <v>41871.66667</v>
      </c>
      <c r="B4184" s="1">
        <f>IFERROR(__xludf.DUMMYFUNCTION("""COMPUTED_VALUE"""),3610.5)</f>
        <v>3610.5</v>
      </c>
    </row>
    <row r="4185">
      <c r="A4185" s="2">
        <f>IFERROR(__xludf.DUMMYFUNCTION("""COMPUTED_VALUE"""),41872.666666666664)</f>
        <v>41872.66667</v>
      </c>
      <c r="B4185" s="1">
        <f>IFERROR(__xludf.DUMMYFUNCTION("""COMPUTED_VALUE"""),3621.24)</f>
        <v>3621.24</v>
      </c>
    </row>
    <row r="4186">
      <c r="A4186" s="2">
        <f>IFERROR(__xludf.DUMMYFUNCTION("""COMPUTED_VALUE"""),41873.666666666664)</f>
        <v>41873.66667</v>
      </c>
      <c r="B4186" s="1">
        <f>IFERROR(__xludf.DUMMYFUNCTION("""COMPUTED_VALUE"""),3614.5)</f>
        <v>3614.5</v>
      </c>
    </row>
    <row r="4187">
      <c r="A4187" s="2">
        <f>IFERROR(__xludf.DUMMYFUNCTION("""COMPUTED_VALUE"""),41876.666666666664)</f>
        <v>41876.66667</v>
      </c>
      <c r="B4187" s="1">
        <f>IFERROR(__xludf.DUMMYFUNCTION("""COMPUTED_VALUE"""),3631.86)</f>
        <v>3631.86</v>
      </c>
    </row>
    <row r="4188">
      <c r="A4188" s="2">
        <f>IFERROR(__xludf.DUMMYFUNCTION("""COMPUTED_VALUE"""),41877.666666666664)</f>
        <v>41877.66667</v>
      </c>
      <c r="B4188" s="1">
        <f>IFERROR(__xludf.DUMMYFUNCTION("""COMPUTED_VALUE"""),3635.71)</f>
        <v>3635.71</v>
      </c>
    </row>
    <row r="4189">
      <c r="A4189" s="2">
        <f>IFERROR(__xludf.DUMMYFUNCTION("""COMPUTED_VALUE"""),41878.666666666664)</f>
        <v>41878.66667</v>
      </c>
      <c r="B4189" s="1">
        <f>IFERROR(__xludf.DUMMYFUNCTION("""COMPUTED_VALUE"""),3636.65)</f>
        <v>3636.65</v>
      </c>
    </row>
    <row r="4190">
      <c r="A4190" s="2">
        <f>IFERROR(__xludf.DUMMYFUNCTION("""COMPUTED_VALUE"""),41879.666666666664)</f>
        <v>41879.66667</v>
      </c>
      <c r="B4190" s="1">
        <f>IFERROR(__xludf.DUMMYFUNCTION("""COMPUTED_VALUE"""),3630.98)</f>
        <v>3630.98</v>
      </c>
    </row>
    <row r="4191">
      <c r="A4191" s="2">
        <f>IFERROR(__xludf.DUMMYFUNCTION("""COMPUTED_VALUE"""),41880.666666666664)</f>
        <v>41880.66667</v>
      </c>
      <c r="B4191" s="1">
        <f>IFERROR(__xludf.DUMMYFUNCTION("""COMPUTED_VALUE"""),3643.34)</f>
        <v>3643.34</v>
      </c>
    </row>
    <row r="4192">
      <c r="A4192" s="2">
        <f>IFERROR(__xludf.DUMMYFUNCTION("""COMPUTED_VALUE"""),41884.666666666664)</f>
        <v>41884.66667</v>
      </c>
      <c r="B4192" s="1">
        <f>IFERROR(__xludf.DUMMYFUNCTION("""COMPUTED_VALUE"""),3641.51)</f>
        <v>3641.51</v>
      </c>
    </row>
    <row r="4193">
      <c r="A4193" s="2">
        <f>IFERROR(__xludf.DUMMYFUNCTION("""COMPUTED_VALUE"""),41885.666666666664)</f>
        <v>41885.66667</v>
      </c>
      <c r="B4193" s="1">
        <f>IFERROR(__xludf.DUMMYFUNCTION("""COMPUTED_VALUE"""),3639.35)</f>
        <v>3639.35</v>
      </c>
    </row>
    <row r="4194">
      <c r="A4194" s="2">
        <f>IFERROR(__xludf.DUMMYFUNCTION("""COMPUTED_VALUE"""),41886.666666666664)</f>
        <v>41886.66667</v>
      </c>
      <c r="B4194" s="1">
        <f>IFERROR(__xludf.DUMMYFUNCTION("""COMPUTED_VALUE"""),3633.87)</f>
        <v>3633.87</v>
      </c>
    </row>
    <row r="4195">
      <c r="A4195" s="2">
        <f>IFERROR(__xludf.DUMMYFUNCTION("""COMPUTED_VALUE"""),41887.666666666664)</f>
        <v>41887.66667</v>
      </c>
      <c r="B4195" s="1">
        <f>IFERROR(__xludf.DUMMYFUNCTION("""COMPUTED_VALUE"""),3652.25)</f>
        <v>3652.25</v>
      </c>
    </row>
    <row r="4196">
      <c r="A4196" s="2">
        <f>IFERROR(__xludf.DUMMYFUNCTION("""COMPUTED_VALUE"""),41890.666666666664)</f>
        <v>41890.66667</v>
      </c>
      <c r="B4196" s="1">
        <f>IFERROR(__xludf.DUMMYFUNCTION("""COMPUTED_VALUE"""),3641.66)</f>
        <v>3641.66</v>
      </c>
    </row>
    <row r="4197">
      <c r="A4197" s="2">
        <f>IFERROR(__xludf.DUMMYFUNCTION("""COMPUTED_VALUE"""),41891.666666666664)</f>
        <v>41891.66667</v>
      </c>
      <c r="B4197" s="1">
        <f>IFERROR(__xludf.DUMMYFUNCTION("""COMPUTED_VALUE"""),3617.88)</f>
        <v>3617.88</v>
      </c>
    </row>
    <row r="4198">
      <c r="A4198" s="2">
        <f>IFERROR(__xludf.DUMMYFUNCTION("""COMPUTED_VALUE"""),41892.666666666664)</f>
        <v>41892.66667</v>
      </c>
      <c r="B4198" s="1">
        <f>IFERROR(__xludf.DUMMYFUNCTION("""COMPUTED_VALUE"""),3631.44)</f>
        <v>3631.44</v>
      </c>
    </row>
    <row r="4199">
      <c r="A4199" s="2">
        <f>IFERROR(__xludf.DUMMYFUNCTION("""COMPUTED_VALUE"""),41893.666666666664)</f>
        <v>41893.66667</v>
      </c>
      <c r="B4199" s="1">
        <f>IFERROR(__xludf.DUMMYFUNCTION("""COMPUTED_VALUE"""),3635.66)</f>
        <v>3635.66</v>
      </c>
    </row>
    <row r="4200">
      <c r="A4200" s="2">
        <f>IFERROR(__xludf.DUMMYFUNCTION("""COMPUTED_VALUE"""),41894.666666666664)</f>
        <v>41894.66667</v>
      </c>
      <c r="B4200" s="1">
        <f>IFERROR(__xludf.DUMMYFUNCTION("""COMPUTED_VALUE"""),3614.06)</f>
        <v>3614.06</v>
      </c>
    </row>
    <row r="4201">
      <c r="A4201" s="2">
        <f>IFERROR(__xludf.DUMMYFUNCTION("""COMPUTED_VALUE"""),41897.666666666664)</f>
        <v>41897.66667</v>
      </c>
      <c r="B4201" s="1">
        <f>IFERROR(__xludf.DUMMYFUNCTION("""COMPUTED_VALUE"""),3611.52)</f>
        <v>3611.52</v>
      </c>
    </row>
    <row r="4202">
      <c r="A4202" s="2">
        <f>IFERROR(__xludf.DUMMYFUNCTION("""COMPUTED_VALUE"""),41898.666666666664)</f>
        <v>41898.66667</v>
      </c>
      <c r="B4202" s="1">
        <f>IFERROR(__xludf.DUMMYFUNCTION("""COMPUTED_VALUE"""),3638.59)</f>
        <v>3638.59</v>
      </c>
    </row>
    <row r="4203">
      <c r="A4203" s="2">
        <f>IFERROR(__xludf.DUMMYFUNCTION("""COMPUTED_VALUE"""),41899.666666666664)</f>
        <v>41899.66667</v>
      </c>
      <c r="B4203" s="1">
        <f>IFERROR(__xludf.DUMMYFUNCTION("""COMPUTED_VALUE"""),3643.41)</f>
        <v>3643.41</v>
      </c>
    </row>
    <row r="4204">
      <c r="A4204" s="2">
        <f>IFERROR(__xludf.DUMMYFUNCTION("""COMPUTED_VALUE"""),41900.666666666664)</f>
        <v>41900.66667</v>
      </c>
      <c r="B4204" s="1">
        <f>IFERROR(__xludf.DUMMYFUNCTION("""COMPUTED_VALUE"""),3661.73)</f>
        <v>3661.73</v>
      </c>
    </row>
    <row r="4205">
      <c r="A4205" s="2">
        <f>IFERROR(__xludf.DUMMYFUNCTION("""COMPUTED_VALUE"""),41901.666666666664)</f>
        <v>41901.66667</v>
      </c>
      <c r="B4205" s="1">
        <f>IFERROR(__xludf.DUMMYFUNCTION("""COMPUTED_VALUE"""),3660.03)</f>
        <v>3660.03</v>
      </c>
    </row>
    <row r="4206">
      <c r="A4206" s="2">
        <f>IFERROR(__xludf.DUMMYFUNCTION("""COMPUTED_VALUE"""),41904.666666666664)</f>
        <v>41904.66667</v>
      </c>
      <c r="B4206" s="1">
        <f>IFERROR(__xludf.DUMMYFUNCTION("""COMPUTED_VALUE"""),3630.7)</f>
        <v>3630.7</v>
      </c>
    </row>
    <row r="4207">
      <c r="A4207" s="2">
        <f>IFERROR(__xludf.DUMMYFUNCTION("""COMPUTED_VALUE"""),41905.666666666664)</f>
        <v>41905.66667</v>
      </c>
      <c r="B4207" s="1">
        <f>IFERROR(__xludf.DUMMYFUNCTION("""COMPUTED_VALUE"""),3610.11)</f>
        <v>3610.11</v>
      </c>
    </row>
    <row r="4208">
      <c r="A4208" s="2">
        <f>IFERROR(__xludf.DUMMYFUNCTION("""COMPUTED_VALUE"""),41906.666666666664)</f>
        <v>41906.66667</v>
      </c>
      <c r="B4208" s="1">
        <f>IFERROR(__xludf.DUMMYFUNCTION("""COMPUTED_VALUE"""),3638.44)</f>
        <v>3638.44</v>
      </c>
    </row>
    <row r="4209">
      <c r="A4209" s="2">
        <f>IFERROR(__xludf.DUMMYFUNCTION("""COMPUTED_VALUE"""),41907.666666666664)</f>
        <v>41907.66667</v>
      </c>
      <c r="B4209" s="1">
        <f>IFERROR(__xludf.DUMMYFUNCTION("""COMPUTED_VALUE"""),3579.61)</f>
        <v>3579.61</v>
      </c>
    </row>
    <row r="4210">
      <c r="A4210" s="2">
        <f>IFERROR(__xludf.DUMMYFUNCTION("""COMPUTED_VALUE"""),41908.666666666664)</f>
        <v>41908.66667</v>
      </c>
      <c r="B4210" s="1">
        <f>IFERROR(__xludf.DUMMYFUNCTION("""COMPUTED_VALUE"""),3610.99)</f>
        <v>3610.99</v>
      </c>
    </row>
    <row r="4211">
      <c r="A4211" s="2">
        <f>IFERROR(__xludf.DUMMYFUNCTION("""COMPUTED_VALUE"""),41911.666666666664)</f>
        <v>41911.66667</v>
      </c>
      <c r="B4211" s="1">
        <f>IFERROR(__xludf.DUMMYFUNCTION("""COMPUTED_VALUE"""),3602.09)</f>
        <v>3602.09</v>
      </c>
    </row>
    <row r="4212">
      <c r="A4212" s="2">
        <f>IFERROR(__xludf.DUMMYFUNCTION("""COMPUTED_VALUE"""),41912.666666666664)</f>
        <v>41912.66667</v>
      </c>
      <c r="B4212" s="1">
        <f>IFERROR(__xludf.DUMMYFUNCTION("""COMPUTED_VALUE"""),3592.26)</f>
        <v>3592.26</v>
      </c>
    </row>
    <row r="4213">
      <c r="A4213" s="2">
        <f>IFERROR(__xludf.DUMMYFUNCTION("""COMPUTED_VALUE"""),41913.666666666664)</f>
        <v>41913.66667</v>
      </c>
      <c r="B4213" s="1">
        <f>IFERROR(__xludf.DUMMYFUNCTION("""COMPUTED_VALUE"""),3544.98)</f>
        <v>3544.98</v>
      </c>
    </row>
    <row r="4214">
      <c r="A4214" s="2">
        <f>IFERROR(__xludf.DUMMYFUNCTION("""COMPUTED_VALUE"""),41914.666666666664)</f>
        <v>41914.66667</v>
      </c>
      <c r="B4214" s="1">
        <f>IFERROR(__xludf.DUMMYFUNCTION("""COMPUTED_VALUE"""),3545.3)</f>
        <v>3545.3</v>
      </c>
    </row>
    <row r="4215">
      <c r="A4215" s="2">
        <f>IFERROR(__xludf.DUMMYFUNCTION("""COMPUTED_VALUE"""),41915.666666666664)</f>
        <v>41915.66667</v>
      </c>
      <c r="B4215" s="1">
        <f>IFERROR(__xludf.DUMMYFUNCTION("""COMPUTED_VALUE"""),3584.93)</f>
        <v>3584.93</v>
      </c>
    </row>
    <row r="4216">
      <c r="A4216" s="2">
        <f>IFERROR(__xludf.DUMMYFUNCTION("""COMPUTED_VALUE"""),41918.666666666664)</f>
        <v>41918.66667</v>
      </c>
      <c r="B4216" s="1">
        <f>IFERROR(__xludf.DUMMYFUNCTION("""COMPUTED_VALUE"""),3579.41)</f>
        <v>3579.41</v>
      </c>
    </row>
    <row r="4217">
      <c r="A4217" s="2">
        <f>IFERROR(__xludf.DUMMYFUNCTION("""COMPUTED_VALUE"""),41919.666666666664)</f>
        <v>41919.66667</v>
      </c>
      <c r="B4217" s="1">
        <f>IFERROR(__xludf.DUMMYFUNCTION("""COMPUTED_VALUE"""),3525.3)</f>
        <v>3525.3</v>
      </c>
    </row>
    <row r="4218">
      <c r="A4218" s="2">
        <f>IFERROR(__xludf.DUMMYFUNCTION("""COMPUTED_VALUE"""),41920.666666666664)</f>
        <v>41920.66667</v>
      </c>
      <c r="B4218" s="1">
        <f>IFERROR(__xludf.DUMMYFUNCTION("""COMPUTED_VALUE"""),3588.07)</f>
        <v>3588.07</v>
      </c>
    </row>
    <row r="4219">
      <c r="A4219" s="2">
        <f>IFERROR(__xludf.DUMMYFUNCTION("""COMPUTED_VALUE"""),41921.666666666664)</f>
        <v>41921.66667</v>
      </c>
      <c r="B4219" s="1">
        <f>IFERROR(__xludf.DUMMYFUNCTION("""COMPUTED_VALUE"""),3514.12)</f>
        <v>3514.12</v>
      </c>
    </row>
    <row r="4220">
      <c r="A4220" s="2">
        <f>IFERROR(__xludf.DUMMYFUNCTION("""COMPUTED_VALUE"""),41922.666666666664)</f>
        <v>41922.66667</v>
      </c>
      <c r="B4220" s="1">
        <f>IFERROR(__xludf.DUMMYFUNCTION("""COMPUTED_VALUE"""),3474.24)</f>
        <v>3474.24</v>
      </c>
    </row>
    <row r="4221">
      <c r="A4221" s="2">
        <f>IFERROR(__xludf.DUMMYFUNCTION("""COMPUTED_VALUE"""),41925.666666666664)</f>
        <v>41925.66667</v>
      </c>
      <c r="B4221" s="1">
        <f>IFERROR(__xludf.DUMMYFUNCTION("""COMPUTED_VALUE"""),3417.02)</f>
        <v>3417.02</v>
      </c>
    </row>
    <row r="4222">
      <c r="A4222" s="2">
        <f>IFERROR(__xludf.DUMMYFUNCTION("""COMPUTED_VALUE"""),41926.666666666664)</f>
        <v>41926.66667</v>
      </c>
      <c r="B4222" s="1">
        <f>IFERROR(__xludf.DUMMYFUNCTION("""COMPUTED_VALUE"""),3422.43)</f>
        <v>3422.43</v>
      </c>
    </row>
    <row r="4223">
      <c r="A4223" s="2">
        <f>IFERROR(__xludf.DUMMYFUNCTION("""COMPUTED_VALUE"""),41927.666666666664)</f>
        <v>41927.66667</v>
      </c>
      <c r="B4223" s="1">
        <f>IFERROR(__xludf.DUMMYFUNCTION("""COMPUTED_VALUE"""),3395.03)</f>
        <v>3395.03</v>
      </c>
    </row>
    <row r="4224">
      <c r="A4224" s="2">
        <f>IFERROR(__xludf.DUMMYFUNCTION("""COMPUTED_VALUE"""),41928.666666666664)</f>
        <v>41928.66667</v>
      </c>
      <c r="B4224" s="1">
        <f>IFERROR(__xludf.DUMMYFUNCTION("""COMPUTED_VALUE"""),3395.63)</f>
        <v>3395.63</v>
      </c>
    </row>
    <row r="4225">
      <c r="A4225" s="2">
        <f>IFERROR(__xludf.DUMMYFUNCTION("""COMPUTED_VALUE"""),41929.666666666664)</f>
        <v>41929.66667</v>
      </c>
      <c r="B4225" s="1">
        <f>IFERROR(__xludf.DUMMYFUNCTION("""COMPUTED_VALUE"""),3439.38)</f>
        <v>3439.38</v>
      </c>
    </row>
    <row r="4226">
      <c r="A4226" s="2">
        <f>IFERROR(__xludf.DUMMYFUNCTION("""COMPUTED_VALUE"""),41932.666666666664)</f>
        <v>41932.66667</v>
      </c>
      <c r="B4226" s="1">
        <f>IFERROR(__xludf.DUMMYFUNCTION("""COMPUTED_VALUE"""),3470.89)</f>
        <v>3470.89</v>
      </c>
    </row>
    <row r="4227">
      <c r="A4227" s="2">
        <f>IFERROR(__xludf.DUMMYFUNCTION("""COMPUTED_VALUE"""),41933.666666666664)</f>
        <v>41933.66667</v>
      </c>
      <c r="B4227" s="1">
        <f>IFERROR(__xludf.DUMMYFUNCTION("""COMPUTED_VALUE"""),3538.9)</f>
        <v>3538.9</v>
      </c>
    </row>
    <row r="4228">
      <c r="A4228" s="2">
        <f>IFERROR(__xludf.DUMMYFUNCTION("""COMPUTED_VALUE"""),41934.666666666664)</f>
        <v>41934.66667</v>
      </c>
      <c r="B4228" s="1">
        <f>IFERROR(__xludf.DUMMYFUNCTION("""COMPUTED_VALUE"""),3513.47)</f>
        <v>3513.47</v>
      </c>
    </row>
    <row r="4229">
      <c r="A4229" s="2">
        <f>IFERROR(__xludf.DUMMYFUNCTION("""COMPUTED_VALUE"""),41935.666666666664)</f>
        <v>41935.66667</v>
      </c>
      <c r="B4229" s="1">
        <f>IFERROR(__xludf.DUMMYFUNCTION("""COMPUTED_VALUE"""),3556.69)</f>
        <v>3556.69</v>
      </c>
    </row>
    <row r="4230">
      <c r="A4230" s="2">
        <f>IFERROR(__xludf.DUMMYFUNCTION("""COMPUTED_VALUE"""),41936.666666666664)</f>
        <v>41936.66667</v>
      </c>
      <c r="B4230" s="1">
        <f>IFERROR(__xludf.DUMMYFUNCTION("""COMPUTED_VALUE"""),3581.82)</f>
        <v>3581.82</v>
      </c>
    </row>
    <row r="4231">
      <c r="A4231" s="2">
        <f>IFERROR(__xludf.DUMMYFUNCTION("""COMPUTED_VALUE"""),41939.666666666664)</f>
        <v>41939.66667</v>
      </c>
      <c r="B4231" s="1">
        <f>IFERROR(__xludf.DUMMYFUNCTION("""COMPUTED_VALUE"""),3576.47)</f>
        <v>3576.47</v>
      </c>
    </row>
    <row r="4232">
      <c r="A4232" s="2">
        <f>IFERROR(__xludf.DUMMYFUNCTION("""COMPUTED_VALUE"""),41940.666666666664)</f>
        <v>41940.66667</v>
      </c>
      <c r="B4232" s="1">
        <f>IFERROR(__xludf.DUMMYFUNCTION("""COMPUTED_VALUE"""),3619.17)</f>
        <v>3619.17</v>
      </c>
    </row>
    <row r="4233">
      <c r="A4233" s="2">
        <f>IFERROR(__xludf.DUMMYFUNCTION("""COMPUTED_VALUE"""),41941.666666666664)</f>
        <v>41941.66667</v>
      </c>
      <c r="B4233" s="1">
        <f>IFERROR(__xludf.DUMMYFUNCTION("""COMPUTED_VALUE"""),3614.52)</f>
        <v>3614.52</v>
      </c>
    </row>
    <row r="4234">
      <c r="A4234" s="2">
        <f>IFERROR(__xludf.DUMMYFUNCTION("""COMPUTED_VALUE"""),41942.666666666664)</f>
        <v>41942.66667</v>
      </c>
      <c r="B4234" s="1">
        <f>IFERROR(__xludf.DUMMYFUNCTION("""COMPUTED_VALUE"""),3637.3)</f>
        <v>3637.3</v>
      </c>
    </row>
    <row r="4235">
      <c r="A4235" s="2">
        <f>IFERROR(__xludf.DUMMYFUNCTION("""COMPUTED_VALUE"""),41943.666666666664)</f>
        <v>41943.66667</v>
      </c>
      <c r="B4235" s="1">
        <f>IFERROR(__xludf.DUMMYFUNCTION("""COMPUTED_VALUE"""),3679.98)</f>
        <v>3679.98</v>
      </c>
    </row>
    <row r="4236">
      <c r="A4236" s="2">
        <f>IFERROR(__xludf.DUMMYFUNCTION("""COMPUTED_VALUE"""),41946.666666666664)</f>
        <v>41946.66667</v>
      </c>
      <c r="B4236" s="1">
        <f>IFERROR(__xludf.DUMMYFUNCTION("""COMPUTED_VALUE"""),3679.58)</f>
        <v>3679.58</v>
      </c>
    </row>
    <row r="4237">
      <c r="A4237" s="2">
        <f>IFERROR(__xludf.DUMMYFUNCTION("""COMPUTED_VALUE"""),41947.666666666664)</f>
        <v>41947.66667</v>
      </c>
      <c r="B4237" s="1">
        <f>IFERROR(__xludf.DUMMYFUNCTION("""COMPUTED_VALUE"""),3669.19)</f>
        <v>3669.19</v>
      </c>
    </row>
    <row r="4238">
      <c r="A4238" s="2">
        <f>IFERROR(__xludf.DUMMYFUNCTION("""COMPUTED_VALUE"""),41948.666666666664)</f>
        <v>41948.66667</v>
      </c>
      <c r="B4238" s="1">
        <f>IFERROR(__xludf.DUMMYFUNCTION("""COMPUTED_VALUE"""),3691.37)</f>
        <v>3691.37</v>
      </c>
    </row>
    <row r="4239">
      <c r="A4239" s="2">
        <f>IFERROR(__xludf.DUMMYFUNCTION("""COMPUTED_VALUE"""),41949.666666666664)</f>
        <v>41949.66667</v>
      </c>
      <c r="B4239" s="1">
        <f>IFERROR(__xludf.DUMMYFUNCTION("""COMPUTED_VALUE"""),3706.44)</f>
        <v>3706.44</v>
      </c>
    </row>
    <row r="4240">
      <c r="A4240" s="2">
        <f>IFERROR(__xludf.DUMMYFUNCTION("""COMPUTED_VALUE"""),41950.666666666664)</f>
        <v>41950.66667</v>
      </c>
      <c r="B4240" s="1">
        <f>IFERROR(__xludf.DUMMYFUNCTION("""COMPUTED_VALUE"""),3708.46)</f>
        <v>3708.46</v>
      </c>
    </row>
    <row r="4241">
      <c r="A4241" s="2">
        <f>IFERROR(__xludf.DUMMYFUNCTION("""COMPUTED_VALUE"""),41953.66666666667)</f>
        <v>41953.66667</v>
      </c>
      <c r="B4241" s="1">
        <f>IFERROR(__xludf.DUMMYFUNCTION("""COMPUTED_VALUE"""),3720.24)</f>
        <v>3720.24</v>
      </c>
    </row>
    <row r="4242">
      <c r="A4242" s="2">
        <f>IFERROR(__xludf.DUMMYFUNCTION("""COMPUTED_VALUE"""),41954.66666666667)</f>
        <v>41954.66667</v>
      </c>
      <c r="B4242" s="1">
        <f>IFERROR(__xludf.DUMMYFUNCTION("""COMPUTED_VALUE"""),3722.83)</f>
        <v>3722.83</v>
      </c>
    </row>
    <row r="4243">
      <c r="A4243" s="2">
        <f>IFERROR(__xludf.DUMMYFUNCTION("""COMPUTED_VALUE"""),41955.66666666667)</f>
        <v>41955.66667</v>
      </c>
      <c r="B4243" s="1">
        <f>IFERROR(__xludf.DUMMYFUNCTION("""COMPUTED_VALUE"""),3721.29)</f>
        <v>3721.29</v>
      </c>
    </row>
    <row r="4244">
      <c r="A4244" s="2">
        <f>IFERROR(__xludf.DUMMYFUNCTION("""COMPUTED_VALUE"""),41956.66666666667)</f>
        <v>41956.66667</v>
      </c>
      <c r="B4244" s="1">
        <f>IFERROR(__xludf.DUMMYFUNCTION("""COMPUTED_VALUE"""),3723.59)</f>
        <v>3723.59</v>
      </c>
    </row>
    <row r="4245">
      <c r="A4245" s="2">
        <f>IFERROR(__xludf.DUMMYFUNCTION("""COMPUTED_VALUE"""),41957.66666666667)</f>
        <v>41957.66667</v>
      </c>
      <c r="B4245" s="1">
        <f>IFERROR(__xludf.DUMMYFUNCTION("""COMPUTED_VALUE"""),3724.93)</f>
        <v>3724.93</v>
      </c>
    </row>
    <row r="4246">
      <c r="A4246" s="2">
        <f>IFERROR(__xludf.DUMMYFUNCTION("""COMPUTED_VALUE"""),41960.66666666667)</f>
        <v>41960.66667</v>
      </c>
      <c r="B4246" s="1">
        <f>IFERROR(__xludf.DUMMYFUNCTION("""COMPUTED_VALUE"""),3727.86)</f>
        <v>3727.86</v>
      </c>
    </row>
    <row r="4247">
      <c r="A4247" s="2">
        <f>IFERROR(__xludf.DUMMYFUNCTION("""COMPUTED_VALUE"""),41961.66666666667)</f>
        <v>41961.66667</v>
      </c>
      <c r="B4247" s="1">
        <f>IFERROR(__xludf.DUMMYFUNCTION("""COMPUTED_VALUE"""),3747.75)</f>
        <v>3747.75</v>
      </c>
    </row>
    <row r="4248">
      <c r="A4248" s="2">
        <f>IFERROR(__xludf.DUMMYFUNCTION("""COMPUTED_VALUE"""),41962.66666666667)</f>
        <v>41962.66667</v>
      </c>
      <c r="B4248" s="1">
        <f>IFERROR(__xludf.DUMMYFUNCTION("""COMPUTED_VALUE"""),3742.34)</f>
        <v>3742.34</v>
      </c>
    </row>
    <row r="4249">
      <c r="A4249" s="2">
        <f>IFERROR(__xludf.DUMMYFUNCTION("""COMPUTED_VALUE"""),41963.66666666667)</f>
        <v>41963.66667</v>
      </c>
      <c r="B4249" s="1">
        <f>IFERROR(__xludf.DUMMYFUNCTION("""COMPUTED_VALUE"""),3749.86)</f>
        <v>3749.86</v>
      </c>
    </row>
    <row r="4250">
      <c r="A4250" s="2">
        <f>IFERROR(__xludf.DUMMYFUNCTION("""COMPUTED_VALUE"""),41964.66666666667)</f>
        <v>41964.66667</v>
      </c>
      <c r="B4250" s="1">
        <f>IFERROR(__xludf.DUMMYFUNCTION("""COMPUTED_VALUE"""),3770.03)</f>
        <v>3770.03</v>
      </c>
    </row>
    <row r="4251">
      <c r="A4251" s="2">
        <f>IFERROR(__xludf.DUMMYFUNCTION("""COMPUTED_VALUE"""),41967.66666666667)</f>
        <v>41967.66667</v>
      </c>
      <c r="B4251" s="1">
        <f>IFERROR(__xludf.DUMMYFUNCTION("""COMPUTED_VALUE"""),3780.88)</f>
        <v>3780.88</v>
      </c>
    </row>
    <row r="4252">
      <c r="A4252" s="2">
        <f>IFERROR(__xludf.DUMMYFUNCTION("""COMPUTED_VALUE"""),41968.66666666667)</f>
        <v>41968.66667</v>
      </c>
      <c r="B4252" s="1">
        <f>IFERROR(__xludf.DUMMYFUNCTION("""COMPUTED_VALUE"""),3776.94)</f>
        <v>3776.94</v>
      </c>
    </row>
    <row r="4253">
      <c r="A4253" s="2">
        <f>IFERROR(__xludf.DUMMYFUNCTION("""COMPUTED_VALUE"""),41969.66666666667)</f>
        <v>41969.66667</v>
      </c>
      <c r="B4253" s="1">
        <f>IFERROR(__xludf.DUMMYFUNCTION("""COMPUTED_VALUE"""),3788.42)</f>
        <v>3788.42</v>
      </c>
    </row>
    <row r="4254">
      <c r="A4254" s="2">
        <f>IFERROR(__xludf.DUMMYFUNCTION("""COMPUTED_VALUE"""),41971.66666666667)</f>
        <v>41971.66667</v>
      </c>
      <c r="B4254" s="1">
        <f>IFERROR(__xludf.DUMMYFUNCTION("""COMPUTED_VALUE"""),3778.96)</f>
        <v>3778.96</v>
      </c>
    </row>
    <row r="4255">
      <c r="A4255" s="2">
        <f>IFERROR(__xludf.DUMMYFUNCTION("""COMPUTED_VALUE"""),41974.66666666667)</f>
        <v>41974.66667</v>
      </c>
      <c r="B4255" s="1">
        <f>IFERROR(__xludf.DUMMYFUNCTION("""COMPUTED_VALUE"""),3753.31)</f>
        <v>3753.31</v>
      </c>
    </row>
    <row r="4256">
      <c r="A4256" s="2">
        <f>IFERROR(__xludf.DUMMYFUNCTION("""COMPUTED_VALUE"""),41975.66666666667)</f>
        <v>41975.66667</v>
      </c>
      <c r="B4256" s="1">
        <f>IFERROR(__xludf.DUMMYFUNCTION("""COMPUTED_VALUE"""),3777.47)</f>
        <v>3777.47</v>
      </c>
    </row>
    <row r="4257">
      <c r="A4257" s="2">
        <f>IFERROR(__xludf.DUMMYFUNCTION("""COMPUTED_VALUE"""),41976.66666666667)</f>
        <v>41976.66667</v>
      </c>
      <c r="B4257" s="1">
        <f>IFERROR(__xludf.DUMMYFUNCTION("""COMPUTED_VALUE"""),3792.68)</f>
        <v>3792.68</v>
      </c>
    </row>
    <row r="4258">
      <c r="A4258" s="2">
        <f>IFERROR(__xludf.DUMMYFUNCTION("""COMPUTED_VALUE"""),41977.66666666667)</f>
        <v>41977.66667</v>
      </c>
      <c r="B4258" s="1">
        <f>IFERROR(__xludf.DUMMYFUNCTION("""COMPUTED_VALUE"""),3788.35)</f>
        <v>3788.35</v>
      </c>
    </row>
    <row r="4259">
      <c r="A4259" s="2">
        <f>IFERROR(__xludf.DUMMYFUNCTION("""COMPUTED_VALUE"""),41978.66666666667)</f>
        <v>41978.66667</v>
      </c>
      <c r="B4259" s="1">
        <f>IFERROR(__xludf.DUMMYFUNCTION("""COMPUTED_VALUE"""),3794.68)</f>
        <v>3794.68</v>
      </c>
    </row>
    <row r="4260">
      <c r="A4260" s="2">
        <f>IFERROR(__xludf.DUMMYFUNCTION("""COMPUTED_VALUE"""),41981.66666666667)</f>
        <v>41981.66667</v>
      </c>
      <c r="B4260" s="1">
        <f>IFERROR(__xludf.DUMMYFUNCTION("""COMPUTED_VALUE"""),3767.7)</f>
        <v>3767.7</v>
      </c>
    </row>
    <row r="4261">
      <c r="A4261" s="2">
        <f>IFERROR(__xludf.DUMMYFUNCTION("""COMPUTED_VALUE"""),41982.66666666667)</f>
        <v>41982.66667</v>
      </c>
      <c r="B4261" s="1">
        <f>IFERROR(__xludf.DUMMYFUNCTION("""COMPUTED_VALUE"""),3766.84)</f>
        <v>3766.84</v>
      </c>
    </row>
    <row r="4262">
      <c r="A4262" s="2">
        <f>IFERROR(__xludf.DUMMYFUNCTION("""COMPUTED_VALUE"""),41983.66666666667)</f>
        <v>41983.66667</v>
      </c>
      <c r="B4262" s="1">
        <f>IFERROR(__xludf.DUMMYFUNCTION("""COMPUTED_VALUE"""),3705.5)</f>
        <v>3705.5</v>
      </c>
    </row>
    <row r="4263">
      <c r="A4263" s="2">
        <f>IFERROR(__xludf.DUMMYFUNCTION("""COMPUTED_VALUE"""),41984.66666666667)</f>
        <v>41984.66667</v>
      </c>
      <c r="B4263" s="1">
        <f>IFERROR(__xludf.DUMMYFUNCTION("""COMPUTED_VALUE"""),3723.32)</f>
        <v>3723.32</v>
      </c>
    </row>
    <row r="4264">
      <c r="A4264" s="2">
        <f>IFERROR(__xludf.DUMMYFUNCTION("""COMPUTED_VALUE"""),41985.66666666667)</f>
        <v>41985.66667</v>
      </c>
      <c r="B4264" s="1">
        <f>IFERROR(__xludf.DUMMYFUNCTION("""COMPUTED_VALUE"""),3663.09)</f>
        <v>3663.09</v>
      </c>
    </row>
    <row r="4265">
      <c r="A4265" s="2">
        <f>IFERROR(__xludf.DUMMYFUNCTION("""COMPUTED_VALUE"""),41988.66666666667)</f>
        <v>41988.66667</v>
      </c>
      <c r="B4265" s="1">
        <f>IFERROR(__xludf.DUMMYFUNCTION("""COMPUTED_VALUE"""),3639.97)</f>
        <v>3639.97</v>
      </c>
    </row>
    <row r="4266">
      <c r="A4266" s="2">
        <f>IFERROR(__xludf.DUMMYFUNCTION("""COMPUTED_VALUE"""),41989.66666666667)</f>
        <v>41989.66667</v>
      </c>
      <c r="B4266" s="1">
        <f>IFERROR(__xludf.DUMMYFUNCTION("""COMPUTED_VALUE"""),3609.07)</f>
        <v>3609.07</v>
      </c>
    </row>
    <row r="4267">
      <c r="A4267" s="2">
        <f>IFERROR(__xludf.DUMMYFUNCTION("""COMPUTED_VALUE"""),41990.66666666667)</f>
        <v>41990.66667</v>
      </c>
      <c r="B4267" s="1">
        <f>IFERROR(__xludf.DUMMYFUNCTION("""COMPUTED_VALUE"""),3682.7)</f>
        <v>3682.7</v>
      </c>
    </row>
    <row r="4268">
      <c r="A4268" s="2">
        <f>IFERROR(__xludf.DUMMYFUNCTION("""COMPUTED_VALUE"""),41991.66666666667)</f>
        <v>41991.66667</v>
      </c>
      <c r="B4268" s="1">
        <f>IFERROR(__xludf.DUMMYFUNCTION("""COMPUTED_VALUE"""),3771.72)</f>
        <v>3771.72</v>
      </c>
    </row>
    <row r="4269">
      <c r="A4269" s="2">
        <f>IFERROR(__xludf.DUMMYFUNCTION("""COMPUTED_VALUE"""),41992.66666666667)</f>
        <v>41992.66667</v>
      </c>
      <c r="B4269" s="1">
        <f>IFERROR(__xludf.DUMMYFUNCTION("""COMPUTED_VALUE"""),3788.98)</f>
        <v>3788.98</v>
      </c>
    </row>
    <row r="4270">
      <c r="A4270" s="2">
        <f>IFERROR(__xludf.DUMMYFUNCTION("""COMPUTED_VALUE"""),41995.66666666667)</f>
        <v>41995.66667</v>
      </c>
      <c r="B4270" s="1">
        <f>IFERROR(__xludf.DUMMYFUNCTION("""COMPUTED_VALUE"""),3803.95)</f>
        <v>3803.95</v>
      </c>
    </row>
    <row r="4271">
      <c r="A4271" s="2">
        <f>IFERROR(__xludf.DUMMYFUNCTION("""COMPUTED_VALUE"""),41996.66666666667)</f>
        <v>41996.66667</v>
      </c>
      <c r="B4271" s="1">
        <f>IFERROR(__xludf.DUMMYFUNCTION("""COMPUTED_VALUE"""),3810.78)</f>
        <v>3810.78</v>
      </c>
    </row>
    <row r="4272">
      <c r="A4272" s="2">
        <f>IFERROR(__xludf.DUMMYFUNCTION("""COMPUTED_VALUE"""),41997.66666666667)</f>
        <v>41997.66667</v>
      </c>
      <c r="B4272" s="1">
        <f>IFERROR(__xludf.DUMMYFUNCTION("""COMPUTED_VALUE"""),3810.39)</f>
        <v>3810.39</v>
      </c>
    </row>
    <row r="4273">
      <c r="A4273" s="2">
        <f>IFERROR(__xludf.DUMMYFUNCTION("""COMPUTED_VALUE"""),41999.66666666667)</f>
        <v>41999.66667</v>
      </c>
      <c r="B4273" s="1">
        <f>IFERROR(__xludf.DUMMYFUNCTION("""COMPUTED_VALUE"""),3823.01)</f>
        <v>3823.01</v>
      </c>
    </row>
    <row r="4274">
      <c r="A4274" s="2">
        <f>IFERROR(__xludf.DUMMYFUNCTION("""COMPUTED_VALUE"""),42002.66666666667)</f>
        <v>42002.66667</v>
      </c>
      <c r="B4274" s="1">
        <f>IFERROR(__xludf.DUMMYFUNCTION("""COMPUTED_VALUE"""),3826.95)</f>
        <v>3826.95</v>
      </c>
    </row>
    <row r="4275">
      <c r="A4275" s="2">
        <f>IFERROR(__xludf.DUMMYFUNCTION("""COMPUTED_VALUE"""),42003.66666666667)</f>
        <v>42003.66667</v>
      </c>
      <c r="B4275" s="1">
        <f>IFERROR(__xludf.DUMMYFUNCTION("""COMPUTED_VALUE"""),3808.7)</f>
        <v>3808.7</v>
      </c>
    </row>
    <row r="4276">
      <c r="A4276" s="2">
        <f>IFERROR(__xludf.DUMMYFUNCTION("""COMPUTED_VALUE"""),42004.66666666667)</f>
        <v>42004.66667</v>
      </c>
      <c r="B4276" s="1">
        <f>IFERROR(__xludf.DUMMYFUNCTION("""COMPUTED_VALUE"""),3769.44)</f>
        <v>3769.44</v>
      </c>
    </row>
    <row r="4277">
      <c r="A4277" s="2">
        <f>IFERROR(__xludf.DUMMYFUNCTION("""COMPUTED_VALUE"""),42006.66666666667)</f>
        <v>42006.66667</v>
      </c>
      <c r="B4277" s="1">
        <f>IFERROR(__xludf.DUMMYFUNCTION("""COMPUTED_VALUE"""),3768.68)</f>
        <v>3768.68</v>
      </c>
    </row>
    <row r="4278">
      <c r="A4278" s="2">
        <f>IFERROR(__xludf.DUMMYFUNCTION("""COMPUTED_VALUE"""),42009.66666666667)</f>
        <v>42009.66667</v>
      </c>
      <c r="B4278" s="1">
        <f>IFERROR(__xludf.DUMMYFUNCTION("""COMPUTED_VALUE"""),3700.03)</f>
        <v>3700.03</v>
      </c>
    </row>
    <row r="4279">
      <c r="A4279" s="2">
        <f>IFERROR(__xludf.DUMMYFUNCTION("""COMPUTED_VALUE"""),42010.66666666667)</f>
        <v>42010.66667</v>
      </c>
      <c r="B4279" s="1">
        <f>IFERROR(__xludf.DUMMYFUNCTION("""COMPUTED_VALUE"""),3667.14)</f>
        <v>3667.14</v>
      </c>
    </row>
    <row r="4280">
      <c r="A4280" s="2">
        <f>IFERROR(__xludf.DUMMYFUNCTION("""COMPUTED_VALUE"""),42011.66666666667)</f>
        <v>42011.66667</v>
      </c>
      <c r="B4280" s="1">
        <f>IFERROR(__xludf.DUMMYFUNCTION("""COMPUTED_VALUE"""),3710.94)</f>
        <v>3710.94</v>
      </c>
    </row>
    <row r="4281">
      <c r="A4281" s="2">
        <f>IFERROR(__xludf.DUMMYFUNCTION("""COMPUTED_VALUE"""),42012.66666666667)</f>
        <v>42012.66667</v>
      </c>
      <c r="B4281" s="1">
        <f>IFERROR(__xludf.DUMMYFUNCTION("""COMPUTED_VALUE"""),3777.4)</f>
        <v>3777.4</v>
      </c>
    </row>
    <row r="4282">
      <c r="A4282" s="2">
        <f>IFERROR(__xludf.DUMMYFUNCTION("""COMPUTED_VALUE"""),42013.66666666667)</f>
        <v>42013.66667</v>
      </c>
      <c r="B4282" s="1">
        <f>IFERROR(__xludf.DUMMYFUNCTION("""COMPUTED_VALUE"""),3745.67)</f>
        <v>3745.67</v>
      </c>
    </row>
    <row r="4283">
      <c r="A4283" s="2">
        <f>IFERROR(__xludf.DUMMYFUNCTION("""COMPUTED_VALUE"""),42016.66666666667)</f>
        <v>42016.66667</v>
      </c>
      <c r="B4283" s="1">
        <f>IFERROR(__xludf.DUMMYFUNCTION("""COMPUTED_VALUE"""),3715.36)</f>
        <v>3715.36</v>
      </c>
    </row>
    <row r="4284">
      <c r="A4284" s="2">
        <f>IFERROR(__xludf.DUMMYFUNCTION("""COMPUTED_VALUE"""),42017.66666666667)</f>
        <v>42017.66667</v>
      </c>
      <c r="B4284" s="1">
        <f>IFERROR(__xludf.DUMMYFUNCTION("""COMPUTED_VALUE"""),3706.15)</f>
        <v>3706.15</v>
      </c>
    </row>
    <row r="4285">
      <c r="A4285" s="2">
        <f>IFERROR(__xludf.DUMMYFUNCTION("""COMPUTED_VALUE"""),42018.66666666667)</f>
        <v>42018.66667</v>
      </c>
      <c r="B4285" s="1">
        <f>IFERROR(__xludf.DUMMYFUNCTION("""COMPUTED_VALUE"""),3684.72)</f>
        <v>3684.72</v>
      </c>
    </row>
    <row r="4286">
      <c r="A4286" s="2">
        <f>IFERROR(__xludf.DUMMYFUNCTION("""COMPUTED_VALUE"""),42019.66666666667)</f>
        <v>42019.66667</v>
      </c>
      <c r="B4286" s="1">
        <f>IFERROR(__xludf.DUMMYFUNCTION("""COMPUTED_VALUE"""),3650.74)</f>
        <v>3650.74</v>
      </c>
    </row>
    <row r="4287">
      <c r="A4287" s="2">
        <f>IFERROR(__xludf.DUMMYFUNCTION("""COMPUTED_VALUE"""),42020.66666666667)</f>
        <v>42020.66667</v>
      </c>
      <c r="B4287" s="1">
        <f>IFERROR(__xludf.DUMMYFUNCTION("""COMPUTED_VALUE"""),3699.79)</f>
        <v>3699.79</v>
      </c>
    </row>
    <row r="4288">
      <c r="A4288" s="2">
        <f>IFERROR(__xludf.DUMMYFUNCTION("""COMPUTED_VALUE"""),42024.66666666667)</f>
        <v>42024.66667</v>
      </c>
      <c r="B4288" s="1">
        <f>IFERROR(__xludf.DUMMYFUNCTION("""COMPUTED_VALUE"""),3705.64)</f>
        <v>3705.64</v>
      </c>
    </row>
    <row r="4289">
      <c r="A4289" s="2">
        <f>IFERROR(__xludf.DUMMYFUNCTION("""COMPUTED_VALUE"""),42025.66666666667)</f>
        <v>42025.66667</v>
      </c>
      <c r="B4289" s="1">
        <f>IFERROR(__xludf.DUMMYFUNCTION("""COMPUTED_VALUE"""),3723.62)</f>
        <v>3723.62</v>
      </c>
    </row>
    <row r="4290">
      <c r="A4290" s="2">
        <f>IFERROR(__xludf.DUMMYFUNCTION("""COMPUTED_VALUE"""),42026.66666666667)</f>
        <v>42026.66667</v>
      </c>
      <c r="B4290" s="1">
        <f>IFERROR(__xludf.DUMMYFUNCTION("""COMPUTED_VALUE"""),3780.51)</f>
        <v>3780.51</v>
      </c>
    </row>
    <row r="4291">
      <c r="A4291" s="2">
        <f>IFERROR(__xludf.DUMMYFUNCTION("""COMPUTED_VALUE"""),42027.66666666667)</f>
        <v>42027.66667</v>
      </c>
      <c r="B4291" s="1">
        <f>IFERROR(__xludf.DUMMYFUNCTION("""COMPUTED_VALUE"""),3759.76)</f>
        <v>3759.76</v>
      </c>
    </row>
    <row r="4292">
      <c r="A4292" s="2">
        <f>IFERROR(__xludf.DUMMYFUNCTION("""COMPUTED_VALUE"""),42030.66666666667)</f>
        <v>42030.66667</v>
      </c>
      <c r="B4292" s="1">
        <f>IFERROR(__xludf.DUMMYFUNCTION("""COMPUTED_VALUE"""),3769.45)</f>
        <v>3769.45</v>
      </c>
    </row>
    <row r="4293">
      <c r="A4293" s="2">
        <f>IFERROR(__xludf.DUMMYFUNCTION("""COMPUTED_VALUE"""),42031.66666666667)</f>
        <v>42031.66667</v>
      </c>
      <c r="B4293" s="1">
        <f>IFERROR(__xludf.DUMMYFUNCTION("""COMPUTED_VALUE"""),3718.99)</f>
        <v>3718.99</v>
      </c>
    </row>
    <row r="4294">
      <c r="A4294" s="2">
        <f>IFERROR(__xludf.DUMMYFUNCTION("""COMPUTED_VALUE"""),42032.66666666667)</f>
        <v>42032.66667</v>
      </c>
      <c r="B4294" s="1">
        <f>IFERROR(__xludf.DUMMYFUNCTION("""COMPUTED_VALUE"""),3669.1)</f>
        <v>3669.1</v>
      </c>
    </row>
    <row r="4295">
      <c r="A4295" s="2">
        <f>IFERROR(__xludf.DUMMYFUNCTION("""COMPUTED_VALUE"""),42033.66666666667)</f>
        <v>42033.66667</v>
      </c>
      <c r="B4295" s="1">
        <f>IFERROR(__xludf.DUMMYFUNCTION("""COMPUTED_VALUE"""),3704.35)</f>
        <v>3704.35</v>
      </c>
    </row>
    <row r="4296">
      <c r="A4296" s="2">
        <f>IFERROR(__xludf.DUMMYFUNCTION("""COMPUTED_VALUE"""),42034.66666666667)</f>
        <v>42034.66667</v>
      </c>
      <c r="B4296" s="1">
        <f>IFERROR(__xludf.DUMMYFUNCTION("""COMPUTED_VALUE"""),3656.28)</f>
        <v>3656.28</v>
      </c>
    </row>
    <row r="4297">
      <c r="A4297" s="2">
        <f>IFERROR(__xludf.DUMMYFUNCTION("""COMPUTED_VALUE"""),42037.66666666667)</f>
        <v>42037.66667</v>
      </c>
      <c r="B4297" s="1">
        <f>IFERROR(__xludf.DUMMYFUNCTION("""COMPUTED_VALUE"""),3703.77)</f>
        <v>3703.77</v>
      </c>
    </row>
    <row r="4298">
      <c r="A4298" s="2">
        <f>IFERROR(__xludf.DUMMYFUNCTION("""COMPUTED_VALUE"""),42038.66666666667)</f>
        <v>42038.66667</v>
      </c>
      <c r="B4298" s="1">
        <f>IFERROR(__xludf.DUMMYFUNCTION("""COMPUTED_VALUE"""),3757.34)</f>
        <v>3757.34</v>
      </c>
    </row>
    <row r="4299">
      <c r="A4299" s="2">
        <f>IFERROR(__xludf.DUMMYFUNCTION("""COMPUTED_VALUE"""),42039.66666666667)</f>
        <v>42039.66667</v>
      </c>
      <c r="B4299" s="1">
        <f>IFERROR(__xludf.DUMMYFUNCTION("""COMPUTED_VALUE"""),3742.84)</f>
        <v>3742.84</v>
      </c>
    </row>
    <row r="4300">
      <c r="A4300" s="2">
        <f>IFERROR(__xludf.DUMMYFUNCTION("""COMPUTED_VALUE"""),42040.66666666667)</f>
        <v>42040.66667</v>
      </c>
      <c r="B4300" s="1">
        <f>IFERROR(__xludf.DUMMYFUNCTION("""COMPUTED_VALUE"""),3782.11)</f>
        <v>3782.11</v>
      </c>
    </row>
    <row r="4301">
      <c r="A4301" s="2">
        <f>IFERROR(__xludf.DUMMYFUNCTION("""COMPUTED_VALUE"""),42041.66666666667)</f>
        <v>42041.66667</v>
      </c>
      <c r="B4301" s="1">
        <f>IFERROR(__xludf.DUMMYFUNCTION("""COMPUTED_VALUE"""),3770.2)</f>
        <v>3770.2</v>
      </c>
    </row>
    <row r="4302">
      <c r="A4302" s="2">
        <f>IFERROR(__xludf.DUMMYFUNCTION("""COMPUTED_VALUE"""),42044.66666666667)</f>
        <v>42044.66667</v>
      </c>
      <c r="B4302" s="1">
        <f>IFERROR(__xludf.DUMMYFUNCTION("""COMPUTED_VALUE"""),3754.36)</f>
        <v>3754.36</v>
      </c>
    </row>
    <row r="4303">
      <c r="A4303" s="2">
        <f>IFERROR(__xludf.DUMMYFUNCTION("""COMPUTED_VALUE"""),42045.66666666667)</f>
        <v>42045.66667</v>
      </c>
      <c r="B4303" s="1">
        <f>IFERROR(__xludf.DUMMYFUNCTION("""COMPUTED_VALUE"""),3794.62)</f>
        <v>3794.62</v>
      </c>
    </row>
    <row r="4304">
      <c r="A4304" s="2">
        <f>IFERROR(__xludf.DUMMYFUNCTION("""COMPUTED_VALUE"""),42046.66666666667)</f>
        <v>42046.66667</v>
      </c>
      <c r="B4304" s="1">
        <f>IFERROR(__xludf.DUMMYFUNCTION("""COMPUTED_VALUE"""),3795.82)</f>
        <v>3795.82</v>
      </c>
    </row>
    <row r="4305">
      <c r="A4305" s="2">
        <f>IFERROR(__xludf.DUMMYFUNCTION("""COMPUTED_VALUE"""),42047.66666666667)</f>
        <v>42047.66667</v>
      </c>
      <c r="B4305" s="1">
        <f>IFERROR(__xludf.DUMMYFUNCTION("""COMPUTED_VALUE"""),3833.35)</f>
        <v>3833.35</v>
      </c>
    </row>
    <row r="4306">
      <c r="A4306" s="2">
        <f>IFERROR(__xludf.DUMMYFUNCTION("""COMPUTED_VALUE"""),42048.66666666667)</f>
        <v>42048.66667</v>
      </c>
      <c r="B4306" s="1">
        <f>IFERROR(__xludf.DUMMYFUNCTION("""COMPUTED_VALUE"""),3849.29)</f>
        <v>3849.29</v>
      </c>
    </row>
    <row r="4307">
      <c r="A4307" s="2">
        <f>IFERROR(__xludf.DUMMYFUNCTION("""COMPUTED_VALUE"""),42052.66666666667)</f>
        <v>42052.66667</v>
      </c>
      <c r="B4307" s="1">
        <f>IFERROR(__xludf.DUMMYFUNCTION("""COMPUTED_VALUE"""),3856.04)</f>
        <v>3856.04</v>
      </c>
    </row>
    <row r="4308">
      <c r="A4308" s="2">
        <f>IFERROR(__xludf.DUMMYFUNCTION("""COMPUTED_VALUE"""),42053.66666666667)</f>
        <v>42053.66667</v>
      </c>
      <c r="B4308" s="1">
        <f>IFERROR(__xludf.DUMMYFUNCTION("""COMPUTED_VALUE"""),3855.0)</f>
        <v>3855</v>
      </c>
    </row>
    <row r="4309">
      <c r="A4309" s="2">
        <f>IFERROR(__xludf.DUMMYFUNCTION("""COMPUTED_VALUE"""),42054.66666666667)</f>
        <v>42054.66667</v>
      </c>
      <c r="B4309" s="1">
        <f>IFERROR(__xludf.DUMMYFUNCTION("""COMPUTED_VALUE"""),3851.53)</f>
        <v>3851.53</v>
      </c>
    </row>
    <row r="4310">
      <c r="A4310" s="2">
        <f>IFERROR(__xludf.DUMMYFUNCTION("""COMPUTED_VALUE"""),42055.66666666667)</f>
        <v>42055.66667</v>
      </c>
      <c r="B4310" s="1">
        <f>IFERROR(__xludf.DUMMYFUNCTION("""COMPUTED_VALUE"""),3875.6)</f>
        <v>3875.6</v>
      </c>
    </row>
    <row r="4311">
      <c r="A4311" s="2">
        <f>IFERROR(__xludf.DUMMYFUNCTION("""COMPUTED_VALUE"""),42058.66666666667)</f>
        <v>42058.66667</v>
      </c>
      <c r="B4311" s="1">
        <f>IFERROR(__xludf.DUMMYFUNCTION("""COMPUTED_VALUE"""),3874.46)</f>
        <v>3874.46</v>
      </c>
    </row>
    <row r="4312">
      <c r="A4312" s="2">
        <f>IFERROR(__xludf.DUMMYFUNCTION("""COMPUTED_VALUE"""),42059.66666666667)</f>
        <v>42059.66667</v>
      </c>
      <c r="B4312" s="1">
        <f>IFERROR(__xludf.DUMMYFUNCTION("""COMPUTED_VALUE"""),3885.27)</f>
        <v>3885.27</v>
      </c>
    </row>
    <row r="4313">
      <c r="A4313" s="2">
        <f>IFERROR(__xludf.DUMMYFUNCTION("""COMPUTED_VALUE"""),42060.66666666667)</f>
        <v>42060.66667</v>
      </c>
      <c r="B4313" s="1">
        <f>IFERROR(__xludf.DUMMYFUNCTION("""COMPUTED_VALUE"""),3882.95)</f>
        <v>3882.95</v>
      </c>
    </row>
    <row r="4314">
      <c r="A4314" s="2">
        <f>IFERROR(__xludf.DUMMYFUNCTION("""COMPUTED_VALUE"""),42061.66666666667)</f>
        <v>42061.66667</v>
      </c>
      <c r="B4314" s="1">
        <f>IFERROR(__xludf.DUMMYFUNCTION("""COMPUTED_VALUE"""),3877.85)</f>
        <v>3877.85</v>
      </c>
    </row>
    <row r="4315">
      <c r="A4315" s="2">
        <f>IFERROR(__xludf.DUMMYFUNCTION("""COMPUTED_VALUE"""),42062.66666666667)</f>
        <v>42062.66667</v>
      </c>
      <c r="B4315" s="1">
        <f>IFERROR(__xludf.DUMMYFUNCTION("""COMPUTED_VALUE"""),3866.42)</f>
        <v>3866.42</v>
      </c>
    </row>
    <row r="4316">
      <c r="A4316" s="2">
        <f>IFERROR(__xludf.DUMMYFUNCTION("""COMPUTED_VALUE"""),42065.66666666667)</f>
        <v>42065.66667</v>
      </c>
      <c r="B4316" s="1">
        <f>IFERROR(__xludf.DUMMYFUNCTION("""COMPUTED_VALUE"""),3890.32)</f>
        <v>3890.32</v>
      </c>
    </row>
    <row r="4317">
      <c r="A4317" s="2">
        <f>IFERROR(__xludf.DUMMYFUNCTION("""COMPUTED_VALUE"""),42066.66666666667)</f>
        <v>42066.66667</v>
      </c>
      <c r="B4317" s="1">
        <f>IFERROR(__xludf.DUMMYFUNCTION("""COMPUTED_VALUE"""),3872.71)</f>
        <v>3872.71</v>
      </c>
    </row>
    <row r="4318">
      <c r="A4318" s="2">
        <f>IFERROR(__xludf.DUMMYFUNCTION("""COMPUTED_VALUE"""),42067.66666666667)</f>
        <v>42067.66667</v>
      </c>
      <c r="B4318" s="1">
        <f>IFERROR(__xludf.DUMMYFUNCTION("""COMPUTED_VALUE"""),3856.51)</f>
        <v>3856.51</v>
      </c>
    </row>
    <row r="4319">
      <c r="A4319" s="2">
        <f>IFERROR(__xludf.DUMMYFUNCTION("""COMPUTED_VALUE"""),42068.66666666667)</f>
        <v>42068.66667</v>
      </c>
      <c r="B4319" s="1">
        <f>IFERROR(__xludf.DUMMYFUNCTION("""COMPUTED_VALUE"""),3861.29)</f>
        <v>3861.29</v>
      </c>
    </row>
    <row r="4320">
      <c r="A4320" s="2">
        <f>IFERROR(__xludf.DUMMYFUNCTION("""COMPUTED_VALUE"""),42069.66666666667)</f>
        <v>42069.66667</v>
      </c>
      <c r="B4320" s="1">
        <f>IFERROR(__xludf.DUMMYFUNCTION("""COMPUTED_VALUE"""),3807.04)</f>
        <v>3807.04</v>
      </c>
    </row>
    <row r="4321">
      <c r="A4321" s="2">
        <f>IFERROR(__xludf.DUMMYFUNCTION("""COMPUTED_VALUE"""),42072.66666666667)</f>
        <v>42072.66667</v>
      </c>
      <c r="B4321" s="1">
        <f>IFERROR(__xludf.DUMMYFUNCTION("""COMPUTED_VALUE"""),3822.42)</f>
        <v>3822.42</v>
      </c>
    </row>
    <row r="4322">
      <c r="A4322" s="2">
        <f>IFERROR(__xludf.DUMMYFUNCTION("""COMPUTED_VALUE"""),42073.66666666667)</f>
        <v>42073.66667</v>
      </c>
      <c r="B4322" s="1">
        <f>IFERROR(__xludf.DUMMYFUNCTION("""COMPUTED_VALUE"""),3757.83)</f>
        <v>3757.83</v>
      </c>
    </row>
    <row r="4323">
      <c r="A4323" s="2">
        <f>IFERROR(__xludf.DUMMYFUNCTION("""COMPUTED_VALUE"""),42074.66666666667)</f>
        <v>42074.66667</v>
      </c>
      <c r="B4323" s="1">
        <f>IFERROR(__xludf.DUMMYFUNCTION("""COMPUTED_VALUE"""),3751.2)</f>
        <v>3751.2</v>
      </c>
    </row>
    <row r="4324">
      <c r="A4324" s="2">
        <f>IFERROR(__xludf.DUMMYFUNCTION("""COMPUTED_VALUE"""),42075.66666666667)</f>
        <v>42075.66667</v>
      </c>
      <c r="B4324" s="1">
        <f>IFERROR(__xludf.DUMMYFUNCTION("""COMPUTED_VALUE"""),3799.43)</f>
        <v>3799.43</v>
      </c>
    </row>
    <row r="4325">
      <c r="A4325" s="2">
        <f>IFERROR(__xludf.DUMMYFUNCTION("""COMPUTED_VALUE"""),42076.66666666667)</f>
        <v>42076.66667</v>
      </c>
      <c r="B4325" s="1">
        <f>IFERROR(__xludf.DUMMYFUNCTION("""COMPUTED_VALUE"""),3776.44)</f>
        <v>3776.44</v>
      </c>
    </row>
    <row r="4326">
      <c r="A4326" s="2">
        <f>IFERROR(__xludf.DUMMYFUNCTION("""COMPUTED_VALUE"""),42079.66666666667)</f>
        <v>42079.66667</v>
      </c>
      <c r="B4326" s="1">
        <f>IFERROR(__xludf.DUMMYFUNCTION("""COMPUTED_VALUE"""),3827.62)</f>
        <v>3827.62</v>
      </c>
    </row>
    <row r="4327">
      <c r="A4327" s="2">
        <f>IFERROR(__xludf.DUMMYFUNCTION("""COMPUTED_VALUE"""),42080.66666666667)</f>
        <v>42080.66667</v>
      </c>
      <c r="B4327" s="1">
        <f>IFERROR(__xludf.DUMMYFUNCTION("""COMPUTED_VALUE"""),3814.91)</f>
        <v>3814.91</v>
      </c>
    </row>
    <row r="4328">
      <c r="A4328" s="2">
        <f>IFERROR(__xludf.DUMMYFUNCTION("""COMPUTED_VALUE"""),42081.66666666667)</f>
        <v>42081.66667</v>
      </c>
      <c r="B4328" s="1">
        <f>IFERROR(__xludf.DUMMYFUNCTION("""COMPUTED_VALUE"""),3861.39)</f>
        <v>3861.39</v>
      </c>
    </row>
    <row r="4329">
      <c r="A4329" s="2">
        <f>IFERROR(__xludf.DUMMYFUNCTION("""COMPUTED_VALUE"""),42082.66666666667)</f>
        <v>42082.66667</v>
      </c>
      <c r="B4329" s="1">
        <f>IFERROR(__xludf.DUMMYFUNCTION("""COMPUTED_VALUE"""),3842.62)</f>
        <v>3842.62</v>
      </c>
    </row>
    <row r="4330">
      <c r="A4330" s="2">
        <f>IFERROR(__xludf.DUMMYFUNCTION("""COMPUTED_VALUE"""),42083.66666666667)</f>
        <v>42083.66667</v>
      </c>
      <c r="B4330" s="1">
        <f>IFERROR(__xludf.DUMMYFUNCTION("""COMPUTED_VALUE"""),3877.26)</f>
        <v>3877.26</v>
      </c>
    </row>
    <row r="4331">
      <c r="A4331" s="2">
        <f>IFERROR(__xludf.DUMMYFUNCTION("""COMPUTED_VALUE"""),42086.66666666667)</f>
        <v>42086.66667</v>
      </c>
      <c r="B4331" s="1">
        <f>IFERROR(__xludf.DUMMYFUNCTION("""COMPUTED_VALUE"""),3870.49)</f>
        <v>3870.49</v>
      </c>
    </row>
    <row r="4332">
      <c r="A4332" s="2">
        <f>IFERROR(__xludf.DUMMYFUNCTION("""COMPUTED_VALUE"""),42087.66666666667)</f>
        <v>42087.66667</v>
      </c>
      <c r="B4332" s="1">
        <f>IFERROR(__xludf.DUMMYFUNCTION("""COMPUTED_VALUE"""),3847.05)</f>
        <v>3847.05</v>
      </c>
    </row>
    <row r="4333">
      <c r="A4333" s="2">
        <f>IFERROR(__xludf.DUMMYFUNCTION("""COMPUTED_VALUE"""),42088.66666666667)</f>
        <v>42088.66667</v>
      </c>
      <c r="B4333" s="1">
        <f>IFERROR(__xludf.DUMMYFUNCTION("""COMPUTED_VALUE"""),3791.13)</f>
        <v>3791.13</v>
      </c>
    </row>
    <row r="4334">
      <c r="A4334" s="2">
        <f>IFERROR(__xludf.DUMMYFUNCTION("""COMPUTED_VALUE"""),42089.66666666667)</f>
        <v>42089.66667</v>
      </c>
      <c r="B4334" s="1">
        <f>IFERROR(__xludf.DUMMYFUNCTION("""COMPUTED_VALUE"""),3782.21)</f>
        <v>3782.21</v>
      </c>
    </row>
    <row r="4335">
      <c r="A4335" s="2">
        <f>IFERROR(__xludf.DUMMYFUNCTION("""COMPUTED_VALUE"""),42090.66666666667)</f>
        <v>42090.66667</v>
      </c>
      <c r="B4335" s="1">
        <f>IFERROR(__xludf.DUMMYFUNCTION("""COMPUTED_VALUE"""),3791.9)</f>
        <v>3791.9</v>
      </c>
    </row>
    <row r="4336">
      <c r="A4336" s="2">
        <f>IFERROR(__xludf.DUMMYFUNCTION("""COMPUTED_VALUE"""),42093.66666666667)</f>
        <v>42093.66667</v>
      </c>
      <c r="B4336" s="1">
        <f>IFERROR(__xludf.DUMMYFUNCTION("""COMPUTED_VALUE"""),3838.65)</f>
        <v>3838.65</v>
      </c>
    </row>
    <row r="4337">
      <c r="A4337" s="2">
        <f>IFERROR(__xludf.DUMMYFUNCTION("""COMPUTED_VALUE"""),42094.66666666667)</f>
        <v>42094.66667</v>
      </c>
      <c r="B4337" s="1">
        <f>IFERROR(__xludf.DUMMYFUNCTION("""COMPUTED_VALUE"""),3805.27)</f>
        <v>3805.27</v>
      </c>
    </row>
    <row r="4338">
      <c r="A4338" s="2">
        <f>IFERROR(__xludf.DUMMYFUNCTION("""COMPUTED_VALUE"""),42095.66666666667)</f>
        <v>42095.66667</v>
      </c>
      <c r="B4338" s="1">
        <f>IFERROR(__xludf.DUMMYFUNCTION("""COMPUTED_VALUE"""),3790.66)</f>
        <v>3790.66</v>
      </c>
    </row>
    <row r="4339">
      <c r="A4339" s="2">
        <f>IFERROR(__xludf.DUMMYFUNCTION("""COMPUTED_VALUE"""),42096.66666666667)</f>
        <v>42096.66667</v>
      </c>
      <c r="B4339" s="1">
        <f>IFERROR(__xludf.DUMMYFUNCTION("""COMPUTED_VALUE"""),3804.14)</f>
        <v>3804.14</v>
      </c>
    </row>
    <row r="4340">
      <c r="A4340" s="2">
        <f>IFERROR(__xludf.DUMMYFUNCTION("""COMPUTED_VALUE"""),42100.66666666667)</f>
        <v>42100.66667</v>
      </c>
      <c r="B4340" s="1">
        <f>IFERROR(__xludf.DUMMYFUNCTION("""COMPUTED_VALUE"""),3829.31)</f>
        <v>3829.31</v>
      </c>
    </row>
    <row r="4341">
      <c r="A4341" s="2">
        <f>IFERROR(__xludf.DUMMYFUNCTION("""COMPUTED_VALUE"""),42101.66666666667)</f>
        <v>42101.66667</v>
      </c>
      <c r="B4341" s="1">
        <f>IFERROR(__xludf.DUMMYFUNCTION("""COMPUTED_VALUE"""),3821.49)</f>
        <v>3821.49</v>
      </c>
    </row>
    <row r="4342">
      <c r="A4342" s="2">
        <f>IFERROR(__xludf.DUMMYFUNCTION("""COMPUTED_VALUE"""),42102.66666666667)</f>
        <v>42102.66667</v>
      </c>
      <c r="B4342" s="1">
        <f>IFERROR(__xludf.DUMMYFUNCTION("""COMPUTED_VALUE"""),3833.2)</f>
        <v>3833.2</v>
      </c>
    </row>
    <row r="4343">
      <c r="A4343" s="2">
        <f>IFERROR(__xludf.DUMMYFUNCTION("""COMPUTED_VALUE"""),42103.66666666667)</f>
        <v>42103.66667</v>
      </c>
      <c r="B4343" s="1">
        <f>IFERROR(__xludf.DUMMYFUNCTION("""COMPUTED_VALUE"""),3850.29)</f>
        <v>3850.29</v>
      </c>
    </row>
    <row r="4344">
      <c r="A4344" s="2">
        <f>IFERROR(__xludf.DUMMYFUNCTION("""COMPUTED_VALUE"""),42104.66666666667)</f>
        <v>42104.66667</v>
      </c>
      <c r="B4344" s="1">
        <f>IFERROR(__xludf.DUMMYFUNCTION("""COMPUTED_VALUE"""),3870.31)</f>
        <v>3870.31</v>
      </c>
    </row>
    <row r="4345">
      <c r="A4345" s="2">
        <f>IFERROR(__xludf.DUMMYFUNCTION("""COMPUTED_VALUE"""),42107.66666666667)</f>
        <v>42107.66667</v>
      </c>
      <c r="B4345" s="1">
        <f>IFERROR(__xludf.DUMMYFUNCTION("""COMPUTED_VALUE"""),3852.93)</f>
        <v>3852.93</v>
      </c>
    </row>
    <row r="4346">
      <c r="A4346" s="2">
        <f>IFERROR(__xludf.DUMMYFUNCTION("""COMPUTED_VALUE"""),42108.66666666667)</f>
        <v>42108.66667</v>
      </c>
      <c r="B4346" s="1">
        <f>IFERROR(__xludf.DUMMYFUNCTION("""COMPUTED_VALUE"""),3859.22)</f>
        <v>3859.22</v>
      </c>
    </row>
    <row r="4347">
      <c r="A4347" s="2">
        <f>IFERROR(__xludf.DUMMYFUNCTION("""COMPUTED_VALUE"""),42109.66666666667)</f>
        <v>42109.66667</v>
      </c>
      <c r="B4347" s="1">
        <f>IFERROR(__xludf.DUMMYFUNCTION("""COMPUTED_VALUE"""),3879.1)</f>
        <v>3879.1</v>
      </c>
    </row>
    <row r="4348">
      <c r="A4348" s="2">
        <f>IFERROR(__xludf.DUMMYFUNCTION("""COMPUTED_VALUE"""),42110.66666666667)</f>
        <v>42110.66667</v>
      </c>
      <c r="B4348" s="1">
        <f>IFERROR(__xludf.DUMMYFUNCTION("""COMPUTED_VALUE"""),3876.17)</f>
        <v>3876.17</v>
      </c>
    </row>
    <row r="4349">
      <c r="A4349" s="2">
        <f>IFERROR(__xludf.DUMMYFUNCTION("""COMPUTED_VALUE"""),42111.66666666667)</f>
        <v>42111.66667</v>
      </c>
      <c r="B4349" s="1">
        <f>IFERROR(__xludf.DUMMYFUNCTION("""COMPUTED_VALUE"""),3832.33)</f>
        <v>3832.33</v>
      </c>
    </row>
    <row r="4350">
      <c r="A4350" s="2">
        <f>IFERROR(__xludf.DUMMYFUNCTION("""COMPUTED_VALUE"""),42114.66666666667)</f>
        <v>42114.66667</v>
      </c>
      <c r="B4350" s="1">
        <f>IFERROR(__xludf.DUMMYFUNCTION("""COMPUTED_VALUE"""),3867.82)</f>
        <v>3867.82</v>
      </c>
    </row>
    <row r="4351">
      <c r="A4351" s="2">
        <f>IFERROR(__xludf.DUMMYFUNCTION("""COMPUTED_VALUE"""),42115.66666666667)</f>
        <v>42115.66667</v>
      </c>
      <c r="B4351" s="1">
        <f>IFERROR(__xludf.DUMMYFUNCTION("""COMPUTED_VALUE"""),3862.15)</f>
        <v>3862.15</v>
      </c>
    </row>
    <row r="4352">
      <c r="A4352" s="2">
        <f>IFERROR(__xludf.DUMMYFUNCTION("""COMPUTED_VALUE"""),42116.66666666667)</f>
        <v>42116.66667</v>
      </c>
      <c r="B4352" s="1">
        <f>IFERROR(__xludf.DUMMYFUNCTION("""COMPUTED_VALUE"""),3881.93)</f>
        <v>3881.93</v>
      </c>
    </row>
    <row r="4353">
      <c r="A4353" s="2">
        <f>IFERROR(__xludf.DUMMYFUNCTION("""COMPUTED_VALUE"""),42117.66666666667)</f>
        <v>42117.66667</v>
      </c>
      <c r="B4353" s="1">
        <f>IFERROR(__xludf.DUMMYFUNCTION("""COMPUTED_VALUE"""),3891.46)</f>
        <v>3891.46</v>
      </c>
    </row>
    <row r="4354">
      <c r="A4354" s="2">
        <f>IFERROR(__xludf.DUMMYFUNCTION("""COMPUTED_VALUE"""),42118.66666666667)</f>
        <v>42118.66667</v>
      </c>
      <c r="B4354" s="1">
        <f>IFERROR(__xludf.DUMMYFUNCTION("""COMPUTED_VALUE"""),3900.24)</f>
        <v>3900.24</v>
      </c>
    </row>
    <row r="4355">
      <c r="A4355" s="2">
        <f>IFERROR(__xludf.DUMMYFUNCTION("""COMPUTED_VALUE"""),42121.66666666667)</f>
        <v>42121.66667</v>
      </c>
      <c r="B4355" s="1">
        <f>IFERROR(__xludf.DUMMYFUNCTION("""COMPUTED_VALUE"""),3884.1)</f>
        <v>3884.1</v>
      </c>
    </row>
    <row r="4356">
      <c r="A4356" s="2">
        <f>IFERROR(__xludf.DUMMYFUNCTION("""COMPUTED_VALUE"""),42122.66666666667)</f>
        <v>42122.66667</v>
      </c>
      <c r="B4356" s="1">
        <f>IFERROR(__xludf.DUMMYFUNCTION("""COMPUTED_VALUE"""),3895.21)</f>
        <v>3895.21</v>
      </c>
    </row>
    <row r="4357">
      <c r="A4357" s="2">
        <f>IFERROR(__xludf.DUMMYFUNCTION("""COMPUTED_VALUE"""),42123.66666666667)</f>
        <v>42123.66667</v>
      </c>
      <c r="B4357" s="1">
        <f>IFERROR(__xludf.DUMMYFUNCTION("""COMPUTED_VALUE"""),3880.9)</f>
        <v>3880.9</v>
      </c>
    </row>
    <row r="4358">
      <c r="A4358" s="2">
        <f>IFERROR(__xludf.DUMMYFUNCTION("""COMPUTED_VALUE"""),42124.66666666667)</f>
        <v>42124.66667</v>
      </c>
      <c r="B4358" s="1">
        <f>IFERROR(__xludf.DUMMYFUNCTION("""COMPUTED_VALUE"""),3841.78)</f>
        <v>3841.78</v>
      </c>
    </row>
    <row r="4359">
      <c r="A4359" s="2">
        <f>IFERROR(__xludf.DUMMYFUNCTION("""COMPUTED_VALUE"""),42125.66666666667)</f>
        <v>42125.66667</v>
      </c>
      <c r="B4359" s="1">
        <f>IFERROR(__xludf.DUMMYFUNCTION("""COMPUTED_VALUE"""),3883.75)</f>
        <v>3883.75</v>
      </c>
    </row>
    <row r="4360">
      <c r="A4360" s="2">
        <f>IFERROR(__xludf.DUMMYFUNCTION("""COMPUTED_VALUE"""),42128.66666666667)</f>
        <v>42128.66667</v>
      </c>
      <c r="B4360" s="1">
        <f>IFERROR(__xludf.DUMMYFUNCTION("""COMPUTED_VALUE"""),3895.16)</f>
        <v>3895.16</v>
      </c>
    </row>
    <row r="4361">
      <c r="A4361" s="2">
        <f>IFERROR(__xludf.DUMMYFUNCTION("""COMPUTED_VALUE"""),42129.66666666667)</f>
        <v>42129.66667</v>
      </c>
      <c r="B4361" s="1">
        <f>IFERROR(__xludf.DUMMYFUNCTION("""COMPUTED_VALUE"""),3849.41)</f>
        <v>3849.41</v>
      </c>
    </row>
    <row r="4362">
      <c r="A4362" s="2">
        <f>IFERROR(__xludf.DUMMYFUNCTION("""COMPUTED_VALUE"""),42130.66666666667)</f>
        <v>42130.66667</v>
      </c>
      <c r="B4362" s="1">
        <f>IFERROR(__xludf.DUMMYFUNCTION("""COMPUTED_VALUE"""),3833.7)</f>
        <v>3833.7</v>
      </c>
    </row>
    <row r="4363">
      <c r="A4363" s="2">
        <f>IFERROR(__xludf.DUMMYFUNCTION("""COMPUTED_VALUE"""),42131.66666666667)</f>
        <v>42131.66667</v>
      </c>
      <c r="B4363" s="1">
        <f>IFERROR(__xludf.DUMMYFUNCTION("""COMPUTED_VALUE"""),3849.13)</f>
        <v>3849.13</v>
      </c>
    </row>
    <row r="4364">
      <c r="A4364" s="2">
        <f>IFERROR(__xludf.DUMMYFUNCTION("""COMPUTED_VALUE"""),42132.66666666667)</f>
        <v>42132.66667</v>
      </c>
      <c r="B4364" s="1">
        <f>IFERROR(__xludf.DUMMYFUNCTION("""COMPUTED_VALUE"""),3901.01)</f>
        <v>3901.01</v>
      </c>
    </row>
    <row r="4365">
      <c r="A4365" s="2">
        <f>IFERROR(__xludf.DUMMYFUNCTION("""COMPUTED_VALUE"""),42135.66666666667)</f>
        <v>42135.66667</v>
      </c>
      <c r="B4365" s="1">
        <f>IFERROR(__xludf.DUMMYFUNCTION("""COMPUTED_VALUE"""),3881.93)</f>
        <v>3881.93</v>
      </c>
    </row>
    <row r="4366">
      <c r="A4366" s="2">
        <f>IFERROR(__xludf.DUMMYFUNCTION("""COMPUTED_VALUE"""),42136.66666666667)</f>
        <v>42136.66667</v>
      </c>
      <c r="B4366" s="1">
        <f>IFERROR(__xludf.DUMMYFUNCTION("""COMPUTED_VALUE"""),3870.69)</f>
        <v>3870.69</v>
      </c>
    </row>
    <row r="4367">
      <c r="A4367" s="2">
        <f>IFERROR(__xludf.DUMMYFUNCTION("""COMPUTED_VALUE"""),42137.66666666667)</f>
        <v>42137.66667</v>
      </c>
      <c r="B4367" s="1">
        <f>IFERROR(__xludf.DUMMYFUNCTION("""COMPUTED_VALUE"""),3870.36)</f>
        <v>3870.36</v>
      </c>
    </row>
    <row r="4368">
      <c r="A4368" s="2">
        <f>IFERROR(__xludf.DUMMYFUNCTION("""COMPUTED_VALUE"""),42138.66666666667)</f>
        <v>42138.66667</v>
      </c>
      <c r="B4368" s="1">
        <f>IFERROR(__xludf.DUMMYFUNCTION("""COMPUTED_VALUE"""),3912.52)</f>
        <v>3912.52</v>
      </c>
    </row>
    <row r="4369">
      <c r="A4369" s="2">
        <f>IFERROR(__xludf.DUMMYFUNCTION("""COMPUTED_VALUE"""),42139.66666666667)</f>
        <v>42139.66667</v>
      </c>
      <c r="B4369" s="1">
        <f>IFERROR(__xludf.DUMMYFUNCTION("""COMPUTED_VALUE"""),3915.99)</f>
        <v>3915.99</v>
      </c>
    </row>
    <row r="4370">
      <c r="A4370" s="2">
        <f>IFERROR(__xludf.DUMMYFUNCTION("""COMPUTED_VALUE"""),42142.66666666667)</f>
        <v>42142.66667</v>
      </c>
      <c r="B4370" s="1">
        <f>IFERROR(__xludf.DUMMYFUNCTION("""COMPUTED_VALUE"""),3928.15)</f>
        <v>3928.15</v>
      </c>
    </row>
    <row r="4371">
      <c r="A4371" s="2">
        <f>IFERROR(__xludf.DUMMYFUNCTION("""COMPUTED_VALUE"""),42143.66666666667)</f>
        <v>42143.66667</v>
      </c>
      <c r="B4371" s="1">
        <f>IFERROR(__xludf.DUMMYFUNCTION("""COMPUTED_VALUE"""),3926.41)</f>
        <v>3926.41</v>
      </c>
    </row>
    <row r="4372">
      <c r="A4372" s="2">
        <f>IFERROR(__xludf.DUMMYFUNCTION("""COMPUTED_VALUE"""),42144.66666666667)</f>
        <v>42144.66667</v>
      </c>
      <c r="B4372" s="1">
        <f>IFERROR(__xludf.DUMMYFUNCTION("""COMPUTED_VALUE"""),3923.18)</f>
        <v>3923.18</v>
      </c>
    </row>
    <row r="4373">
      <c r="A4373" s="2">
        <f>IFERROR(__xludf.DUMMYFUNCTION("""COMPUTED_VALUE"""),42145.66666666667)</f>
        <v>42145.66667</v>
      </c>
      <c r="B4373" s="1">
        <f>IFERROR(__xludf.DUMMYFUNCTION("""COMPUTED_VALUE"""),3932.9)</f>
        <v>3932.9</v>
      </c>
    </row>
    <row r="4374">
      <c r="A4374" s="2">
        <f>IFERROR(__xludf.DUMMYFUNCTION("""COMPUTED_VALUE"""),42146.66666666667)</f>
        <v>42146.66667</v>
      </c>
      <c r="B4374" s="1">
        <f>IFERROR(__xludf.DUMMYFUNCTION("""COMPUTED_VALUE"""),3924.16)</f>
        <v>3924.16</v>
      </c>
    </row>
    <row r="4375">
      <c r="A4375" s="2">
        <f>IFERROR(__xludf.DUMMYFUNCTION("""COMPUTED_VALUE"""),42150.66666666667)</f>
        <v>42150.66667</v>
      </c>
      <c r="B4375" s="1">
        <f>IFERROR(__xludf.DUMMYFUNCTION("""COMPUTED_VALUE"""),3883.88)</f>
        <v>3883.88</v>
      </c>
    </row>
    <row r="4376">
      <c r="A4376" s="2">
        <f>IFERROR(__xludf.DUMMYFUNCTION("""COMPUTED_VALUE"""),42151.66666666667)</f>
        <v>42151.66667</v>
      </c>
      <c r="B4376" s="1">
        <f>IFERROR(__xludf.DUMMYFUNCTION("""COMPUTED_VALUE"""),3920.11)</f>
        <v>3920.11</v>
      </c>
    </row>
    <row r="4377">
      <c r="A4377" s="2">
        <f>IFERROR(__xludf.DUMMYFUNCTION("""COMPUTED_VALUE"""),42152.66666666667)</f>
        <v>42152.66667</v>
      </c>
      <c r="B4377" s="1">
        <f>IFERROR(__xludf.DUMMYFUNCTION("""COMPUTED_VALUE"""),3915.82)</f>
        <v>3915.82</v>
      </c>
    </row>
    <row r="4378">
      <c r="A4378" s="2">
        <f>IFERROR(__xludf.DUMMYFUNCTION("""COMPUTED_VALUE"""),42153.66666666667)</f>
        <v>42153.66667</v>
      </c>
      <c r="B4378" s="1">
        <f>IFERROR(__xludf.DUMMYFUNCTION("""COMPUTED_VALUE"""),3891.18)</f>
        <v>3891.18</v>
      </c>
    </row>
    <row r="4379">
      <c r="A4379" s="2">
        <f>IFERROR(__xludf.DUMMYFUNCTION("""COMPUTED_VALUE"""),42156.66666666667)</f>
        <v>42156.66667</v>
      </c>
      <c r="B4379" s="1">
        <f>IFERROR(__xludf.DUMMYFUNCTION("""COMPUTED_VALUE"""),3899.59)</f>
        <v>3899.59</v>
      </c>
    </row>
    <row r="4380">
      <c r="A4380" s="2">
        <f>IFERROR(__xludf.DUMMYFUNCTION("""COMPUTED_VALUE"""),42157.66666666667)</f>
        <v>42157.66667</v>
      </c>
      <c r="B4380" s="1">
        <f>IFERROR(__xludf.DUMMYFUNCTION("""COMPUTED_VALUE"""),3895.85)</f>
        <v>3895.85</v>
      </c>
    </row>
    <row r="4381">
      <c r="A4381" s="2">
        <f>IFERROR(__xludf.DUMMYFUNCTION("""COMPUTED_VALUE"""),42158.66666666667)</f>
        <v>42158.66667</v>
      </c>
      <c r="B4381" s="1">
        <f>IFERROR(__xludf.DUMMYFUNCTION("""COMPUTED_VALUE"""),3904.83)</f>
        <v>3904.83</v>
      </c>
    </row>
    <row r="4382">
      <c r="A4382" s="2">
        <f>IFERROR(__xludf.DUMMYFUNCTION("""COMPUTED_VALUE"""),42159.66666666667)</f>
        <v>42159.66667</v>
      </c>
      <c r="B4382" s="1">
        <f>IFERROR(__xludf.DUMMYFUNCTION("""COMPUTED_VALUE"""),3871.23)</f>
        <v>3871.23</v>
      </c>
    </row>
    <row r="4383">
      <c r="A4383" s="2">
        <f>IFERROR(__xludf.DUMMYFUNCTION("""COMPUTED_VALUE"""),42160.66666666667)</f>
        <v>42160.66667</v>
      </c>
      <c r="B4383" s="1">
        <f>IFERROR(__xludf.DUMMYFUNCTION("""COMPUTED_VALUE"""),3865.83)</f>
        <v>3865.83</v>
      </c>
    </row>
    <row r="4384">
      <c r="A4384" s="2">
        <f>IFERROR(__xludf.DUMMYFUNCTION("""COMPUTED_VALUE"""),42163.66666666667)</f>
        <v>42163.66667</v>
      </c>
      <c r="B4384" s="1">
        <f>IFERROR(__xludf.DUMMYFUNCTION("""COMPUTED_VALUE"""),3841.45)</f>
        <v>3841.45</v>
      </c>
    </row>
    <row r="4385">
      <c r="A4385" s="2">
        <f>IFERROR(__xludf.DUMMYFUNCTION("""COMPUTED_VALUE"""),42164.66666666667)</f>
        <v>42164.66667</v>
      </c>
      <c r="B4385" s="1">
        <f>IFERROR(__xludf.DUMMYFUNCTION("""COMPUTED_VALUE"""),3843.16)</f>
        <v>3843.16</v>
      </c>
    </row>
    <row r="4386">
      <c r="A4386" s="2">
        <f>IFERROR(__xludf.DUMMYFUNCTION("""COMPUTED_VALUE"""),42165.66666666667)</f>
        <v>42165.66667</v>
      </c>
      <c r="B4386" s="1">
        <f>IFERROR(__xludf.DUMMYFUNCTION("""COMPUTED_VALUE"""),3889.7)</f>
        <v>3889.7</v>
      </c>
    </row>
    <row r="4387">
      <c r="A4387" s="2">
        <f>IFERROR(__xludf.DUMMYFUNCTION("""COMPUTED_VALUE"""),42166.66666666667)</f>
        <v>42166.66667</v>
      </c>
      <c r="B4387" s="1">
        <f>IFERROR(__xludf.DUMMYFUNCTION("""COMPUTED_VALUE"""),3897.59)</f>
        <v>3897.59</v>
      </c>
    </row>
    <row r="4388">
      <c r="A4388" s="2">
        <f>IFERROR(__xludf.DUMMYFUNCTION("""COMPUTED_VALUE"""),42167.66666666667)</f>
        <v>42167.66667</v>
      </c>
      <c r="B4388" s="1">
        <f>IFERROR(__xludf.DUMMYFUNCTION("""COMPUTED_VALUE"""),3870.56)</f>
        <v>3870.56</v>
      </c>
    </row>
    <row r="4389">
      <c r="A4389" s="2">
        <f>IFERROR(__xludf.DUMMYFUNCTION("""COMPUTED_VALUE"""),42170.66666666667)</f>
        <v>42170.66667</v>
      </c>
      <c r="B4389" s="1">
        <f>IFERROR(__xludf.DUMMYFUNCTION("""COMPUTED_VALUE"""),3852.75)</f>
        <v>3852.75</v>
      </c>
    </row>
    <row r="4390">
      <c r="A4390" s="2">
        <f>IFERROR(__xludf.DUMMYFUNCTION("""COMPUTED_VALUE"""),42171.66666666667)</f>
        <v>42171.66667</v>
      </c>
      <c r="B4390" s="1">
        <f>IFERROR(__xludf.DUMMYFUNCTION("""COMPUTED_VALUE"""),3874.73)</f>
        <v>3874.73</v>
      </c>
    </row>
    <row r="4391">
      <c r="A4391" s="2">
        <f>IFERROR(__xludf.DUMMYFUNCTION("""COMPUTED_VALUE"""),42172.66666666667)</f>
        <v>42172.66667</v>
      </c>
      <c r="B4391" s="1">
        <f>IFERROR(__xludf.DUMMYFUNCTION("""COMPUTED_VALUE"""),3882.49)</f>
        <v>3882.49</v>
      </c>
    </row>
    <row r="4392">
      <c r="A4392" s="2">
        <f>IFERROR(__xludf.DUMMYFUNCTION("""COMPUTED_VALUE"""),42173.66666666667)</f>
        <v>42173.66667</v>
      </c>
      <c r="B4392" s="1">
        <f>IFERROR(__xludf.DUMMYFUNCTION("""COMPUTED_VALUE"""),3921.43)</f>
        <v>3921.43</v>
      </c>
    </row>
    <row r="4393">
      <c r="A4393" s="2">
        <f>IFERROR(__xludf.DUMMYFUNCTION("""COMPUTED_VALUE"""),42174.66666666667)</f>
        <v>42174.66667</v>
      </c>
      <c r="B4393" s="1">
        <f>IFERROR(__xludf.DUMMYFUNCTION("""COMPUTED_VALUE"""),3900.64)</f>
        <v>3900.64</v>
      </c>
    </row>
    <row r="4394">
      <c r="A4394" s="2">
        <f>IFERROR(__xludf.DUMMYFUNCTION("""COMPUTED_VALUE"""),42177.66666666667)</f>
        <v>42177.66667</v>
      </c>
      <c r="B4394" s="1">
        <f>IFERROR(__xludf.DUMMYFUNCTION("""COMPUTED_VALUE"""),3924.41)</f>
        <v>3924.41</v>
      </c>
    </row>
    <row r="4395">
      <c r="A4395" s="2">
        <f>IFERROR(__xludf.DUMMYFUNCTION("""COMPUTED_VALUE"""),42178.66666666667)</f>
        <v>42178.66667</v>
      </c>
      <c r="B4395" s="1">
        <f>IFERROR(__xludf.DUMMYFUNCTION("""COMPUTED_VALUE"""),3927.23)</f>
        <v>3927.23</v>
      </c>
    </row>
    <row r="4396">
      <c r="A4396" s="2">
        <f>IFERROR(__xludf.DUMMYFUNCTION("""COMPUTED_VALUE"""),42179.66666666667)</f>
        <v>42179.66667</v>
      </c>
      <c r="B4396" s="1">
        <f>IFERROR(__xludf.DUMMYFUNCTION("""COMPUTED_VALUE"""),3898.47)</f>
        <v>3898.47</v>
      </c>
    </row>
    <row r="4397">
      <c r="A4397" s="2">
        <f>IFERROR(__xludf.DUMMYFUNCTION("""COMPUTED_VALUE"""),42180.66666666667)</f>
        <v>42180.66667</v>
      </c>
      <c r="B4397" s="1">
        <f>IFERROR(__xludf.DUMMYFUNCTION("""COMPUTED_VALUE"""),3887.04)</f>
        <v>3887.04</v>
      </c>
    </row>
    <row r="4398">
      <c r="A4398" s="2">
        <f>IFERROR(__xludf.DUMMYFUNCTION("""COMPUTED_VALUE"""),42181.66666666667)</f>
        <v>42181.66667</v>
      </c>
      <c r="B4398" s="1">
        <f>IFERROR(__xludf.DUMMYFUNCTION("""COMPUTED_VALUE"""),3886.21)</f>
        <v>3886.21</v>
      </c>
    </row>
    <row r="4399">
      <c r="A4399" s="2">
        <f>IFERROR(__xludf.DUMMYFUNCTION("""COMPUTED_VALUE"""),42184.66666666667)</f>
        <v>42184.66667</v>
      </c>
      <c r="B4399" s="1">
        <f>IFERROR(__xludf.DUMMYFUNCTION("""COMPUTED_VALUE"""),3805.5)</f>
        <v>3805.5</v>
      </c>
    </row>
    <row r="4400">
      <c r="A4400" s="2">
        <f>IFERROR(__xludf.DUMMYFUNCTION("""COMPUTED_VALUE"""),42185.66666666667)</f>
        <v>42185.66667</v>
      </c>
      <c r="B4400" s="1">
        <f>IFERROR(__xludf.DUMMYFUNCTION("""COMPUTED_VALUE"""),3815.85)</f>
        <v>3815.85</v>
      </c>
    </row>
    <row r="4401">
      <c r="A4401" s="2">
        <f>IFERROR(__xludf.DUMMYFUNCTION("""COMPUTED_VALUE"""),42186.66666666667)</f>
        <v>42186.66667</v>
      </c>
      <c r="B4401" s="1">
        <f>IFERROR(__xludf.DUMMYFUNCTION("""COMPUTED_VALUE"""),3843.26)</f>
        <v>3843.26</v>
      </c>
    </row>
    <row r="4402">
      <c r="A4402" s="2">
        <f>IFERROR(__xludf.DUMMYFUNCTION("""COMPUTED_VALUE"""),42187.66666666667)</f>
        <v>42187.66667</v>
      </c>
      <c r="B4402" s="1">
        <f>IFERROR(__xludf.DUMMYFUNCTION("""COMPUTED_VALUE"""),3842.06)</f>
        <v>3842.06</v>
      </c>
    </row>
    <row r="4403">
      <c r="A4403" s="2">
        <f>IFERROR(__xludf.DUMMYFUNCTION("""COMPUTED_VALUE"""),42191.66666666667)</f>
        <v>42191.66667</v>
      </c>
      <c r="B4403" s="1">
        <f>IFERROR(__xludf.DUMMYFUNCTION("""COMPUTED_VALUE"""),3827.35)</f>
        <v>3827.35</v>
      </c>
    </row>
    <row r="4404">
      <c r="A4404" s="2">
        <f>IFERROR(__xludf.DUMMYFUNCTION("""COMPUTED_VALUE"""),42192.66666666667)</f>
        <v>42192.66667</v>
      </c>
      <c r="B4404" s="1">
        <f>IFERROR(__xludf.DUMMYFUNCTION("""COMPUTED_VALUE"""),3850.66)</f>
        <v>3850.66</v>
      </c>
    </row>
    <row r="4405">
      <c r="A4405" s="2">
        <f>IFERROR(__xludf.DUMMYFUNCTION("""COMPUTED_VALUE"""),42193.66666666667)</f>
        <v>42193.66667</v>
      </c>
      <c r="B4405" s="1">
        <f>IFERROR(__xludf.DUMMYFUNCTION("""COMPUTED_VALUE"""),3787.67)</f>
        <v>3787.67</v>
      </c>
    </row>
    <row r="4406">
      <c r="A4406" s="2">
        <f>IFERROR(__xludf.DUMMYFUNCTION("""COMPUTED_VALUE"""),42194.66666666667)</f>
        <v>42194.66667</v>
      </c>
      <c r="B4406" s="1">
        <f>IFERROR(__xludf.DUMMYFUNCTION("""COMPUTED_VALUE"""),3796.26)</f>
        <v>3796.26</v>
      </c>
    </row>
    <row r="4407">
      <c r="A4407" s="2">
        <f>IFERROR(__xludf.DUMMYFUNCTION("""COMPUTED_VALUE"""),42195.66666666667)</f>
        <v>42195.66667</v>
      </c>
      <c r="B4407" s="1">
        <f>IFERROR(__xludf.DUMMYFUNCTION("""COMPUTED_VALUE"""),3843.1)</f>
        <v>3843.1</v>
      </c>
    </row>
    <row r="4408">
      <c r="A4408" s="2">
        <f>IFERROR(__xludf.DUMMYFUNCTION("""COMPUTED_VALUE"""),42198.66666666667)</f>
        <v>42198.66667</v>
      </c>
      <c r="B4408" s="1">
        <f>IFERROR(__xludf.DUMMYFUNCTION("""COMPUTED_VALUE"""),3885.97)</f>
        <v>3885.97</v>
      </c>
    </row>
    <row r="4409">
      <c r="A4409" s="2">
        <f>IFERROR(__xludf.DUMMYFUNCTION("""COMPUTED_VALUE"""),42199.66666666667)</f>
        <v>42199.66667</v>
      </c>
      <c r="B4409" s="1">
        <f>IFERROR(__xludf.DUMMYFUNCTION("""COMPUTED_VALUE"""),3903.31)</f>
        <v>3903.31</v>
      </c>
    </row>
    <row r="4410">
      <c r="A4410" s="2">
        <f>IFERROR(__xludf.DUMMYFUNCTION("""COMPUTED_VALUE"""),42200.66666666667)</f>
        <v>42200.66667</v>
      </c>
      <c r="B4410" s="1">
        <f>IFERROR(__xludf.DUMMYFUNCTION("""COMPUTED_VALUE"""),3900.5)</f>
        <v>3900.5</v>
      </c>
    </row>
    <row r="4411">
      <c r="A4411" s="2">
        <f>IFERROR(__xludf.DUMMYFUNCTION("""COMPUTED_VALUE"""),42201.66666666667)</f>
        <v>42201.66667</v>
      </c>
      <c r="B4411" s="1">
        <f>IFERROR(__xludf.DUMMYFUNCTION("""COMPUTED_VALUE"""),3931.85)</f>
        <v>3931.85</v>
      </c>
    </row>
    <row r="4412">
      <c r="A4412" s="2">
        <f>IFERROR(__xludf.DUMMYFUNCTION("""COMPUTED_VALUE"""),42202.66666666667)</f>
        <v>42202.66667</v>
      </c>
      <c r="B4412" s="1">
        <f>IFERROR(__xludf.DUMMYFUNCTION("""COMPUTED_VALUE"""),3936.22)</f>
        <v>3936.22</v>
      </c>
    </row>
    <row r="4413">
      <c r="A4413" s="2">
        <f>IFERROR(__xludf.DUMMYFUNCTION("""COMPUTED_VALUE"""),42205.66666666667)</f>
        <v>42205.66667</v>
      </c>
      <c r="B4413" s="1">
        <f>IFERROR(__xludf.DUMMYFUNCTION("""COMPUTED_VALUE"""),3939.35)</f>
        <v>3939.35</v>
      </c>
    </row>
    <row r="4414">
      <c r="A4414" s="2">
        <f>IFERROR(__xludf.DUMMYFUNCTION("""COMPUTED_VALUE"""),42206.66666666667)</f>
        <v>42206.66667</v>
      </c>
      <c r="B4414" s="1">
        <f>IFERROR(__xludf.DUMMYFUNCTION("""COMPUTED_VALUE"""),3922.7)</f>
        <v>3922.7</v>
      </c>
    </row>
    <row r="4415">
      <c r="A4415" s="2">
        <f>IFERROR(__xludf.DUMMYFUNCTION("""COMPUTED_VALUE"""),42207.66666666667)</f>
        <v>42207.66667</v>
      </c>
      <c r="B4415" s="1">
        <f>IFERROR(__xludf.DUMMYFUNCTION("""COMPUTED_VALUE"""),3913.75)</f>
        <v>3913.75</v>
      </c>
    </row>
    <row r="4416">
      <c r="A4416" s="2">
        <f>IFERROR(__xludf.DUMMYFUNCTION("""COMPUTED_VALUE"""),42208.66666666667)</f>
        <v>42208.66667</v>
      </c>
      <c r="B4416" s="1">
        <f>IFERROR(__xludf.DUMMYFUNCTION("""COMPUTED_VALUE"""),3891.79)</f>
        <v>3891.79</v>
      </c>
    </row>
    <row r="4417">
      <c r="A4417" s="2">
        <f>IFERROR(__xludf.DUMMYFUNCTION("""COMPUTED_VALUE"""),42209.66666666667)</f>
        <v>42209.66667</v>
      </c>
      <c r="B4417" s="1">
        <f>IFERROR(__xludf.DUMMYFUNCTION("""COMPUTED_VALUE"""),3850.15)</f>
        <v>3850.15</v>
      </c>
    </row>
    <row r="4418">
      <c r="A4418" s="2">
        <f>IFERROR(__xludf.DUMMYFUNCTION("""COMPUTED_VALUE"""),42212.66666666667)</f>
        <v>42212.66667</v>
      </c>
      <c r="B4418" s="1">
        <f>IFERROR(__xludf.DUMMYFUNCTION("""COMPUTED_VALUE"""),3827.93)</f>
        <v>3827.93</v>
      </c>
    </row>
    <row r="4419">
      <c r="A4419" s="2">
        <f>IFERROR(__xludf.DUMMYFUNCTION("""COMPUTED_VALUE"""),42213.66666666667)</f>
        <v>42213.66667</v>
      </c>
      <c r="B4419" s="1">
        <f>IFERROR(__xludf.DUMMYFUNCTION("""COMPUTED_VALUE"""),3875.37)</f>
        <v>3875.37</v>
      </c>
    </row>
    <row r="4420">
      <c r="A4420" s="2">
        <f>IFERROR(__xludf.DUMMYFUNCTION("""COMPUTED_VALUE"""),42214.66666666667)</f>
        <v>42214.66667</v>
      </c>
      <c r="B4420" s="1">
        <f>IFERROR(__xludf.DUMMYFUNCTION("""COMPUTED_VALUE"""),3904.21)</f>
        <v>3904.21</v>
      </c>
    </row>
    <row r="4421">
      <c r="A4421" s="2">
        <f>IFERROR(__xludf.DUMMYFUNCTION("""COMPUTED_VALUE"""),42215.66666666667)</f>
        <v>42215.66667</v>
      </c>
      <c r="B4421" s="1">
        <f>IFERROR(__xludf.DUMMYFUNCTION("""COMPUTED_VALUE"""),3904.64)</f>
        <v>3904.64</v>
      </c>
    </row>
    <row r="4422">
      <c r="A4422" s="2">
        <f>IFERROR(__xludf.DUMMYFUNCTION("""COMPUTED_VALUE"""),42216.66666666667)</f>
        <v>42216.66667</v>
      </c>
      <c r="B4422" s="1">
        <f>IFERROR(__xludf.DUMMYFUNCTION("""COMPUTED_VALUE"""),3895.8)</f>
        <v>3895.8</v>
      </c>
    </row>
    <row r="4423">
      <c r="A4423" s="2">
        <f>IFERROR(__xludf.DUMMYFUNCTION("""COMPUTED_VALUE"""),42219.66666666667)</f>
        <v>42219.66667</v>
      </c>
      <c r="B4423" s="1">
        <f>IFERROR(__xludf.DUMMYFUNCTION("""COMPUTED_VALUE"""),3885.07)</f>
        <v>3885.07</v>
      </c>
    </row>
    <row r="4424">
      <c r="A4424" s="2">
        <f>IFERROR(__xludf.DUMMYFUNCTION("""COMPUTED_VALUE"""),42220.66666666667)</f>
        <v>42220.66667</v>
      </c>
      <c r="B4424" s="1">
        <f>IFERROR(__xludf.DUMMYFUNCTION("""COMPUTED_VALUE"""),3876.44)</f>
        <v>3876.44</v>
      </c>
    </row>
    <row r="4425">
      <c r="A4425" s="2">
        <f>IFERROR(__xludf.DUMMYFUNCTION("""COMPUTED_VALUE"""),42221.66666666667)</f>
        <v>42221.66667</v>
      </c>
      <c r="B4425" s="1">
        <f>IFERROR(__xludf.DUMMYFUNCTION("""COMPUTED_VALUE"""),3889.99)</f>
        <v>3889.99</v>
      </c>
    </row>
    <row r="4426">
      <c r="A4426" s="2">
        <f>IFERROR(__xludf.DUMMYFUNCTION("""COMPUTED_VALUE"""),42222.66666666667)</f>
        <v>42222.66667</v>
      </c>
      <c r="B4426" s="1">
        <f>IFERROR(__xludf.DUMMYFUNCTION("""COMPUTED_VALUE"""),3860.92)</f>
        <v>3860.92</v>
      </c>
    </row>
    <row r="4427">
      <c r="A4427" s="2">
        <f>IFERROR(__xludf.DUMMYFUNCTION("""COMPUTED_VALUE"""),42223.66666666667)</f>
        <v>42223.66667</v>
      </c>
      <c r="B4427" s="1">
        <f>IFERROR(__xludf.DUMMYFUNCTION("""COMPUTED_VALUE"""),3849.96)</f>
        <v>3849.96</v>
      </c>
    </row>
    <row r="4428">
      <c r="A4428" s="2">
        <f>IFERROR(__xludf.DUMMYFUNCTION("""COMPUTED_VALUE"""),42226.66666666667)</f>
        <v>42226.66667</v>
      </c>
      <c r="B4428" s="1">
        <f>IFERROR(__xludf.DUMMYFUNCTION("""COMPUTED_VALUE"""),3899.36)</f>
        <v>3899.36</v>
      </c>
    </row>
    <row r="4429">
      <c r="A4429" s="2">
        <f>IFERROR(__xludf.DUMMYFUNCTION("""COMPUTED_VALUE"""),42227.66666666667)</f>
        <v>42227.66667</v>
      </c>
      <c r="B4429" s="1">
        <f>IFERROR(__xludf.DUMMYFUNCTION("""COMPUTED_VALUE"""),3862.81)</f>
        <v>3862.81</v>
      </c>
    </row>
    <row r="4430">
      <c r="A4430" s="2">
        <f>IFERROR(__xludf.DUMMYFUNCTION("""COMPUTED_VALUE"""),42228.66666666667)</f>
        <v>42228.66667</v>
      </c>
      <c r="B4430" s="1">
        <f>IFERROR(__xludf.DUMMYFUNCTION("""COMPUTED_VALUE"""),3867.37)</f>
        <v>3867.37</v>
      </c>
    </row>
    <row r="4431">
      <c r="A4431" s="2">
        <f>IFERROR(__xludf.DUMMYFUNCTION("""COMPUTED_VALUE"""),42229.66666666667)</f>
        <v>42229.66667</v>
      </c>
      <c r="B4431" s="1">
        <f>IFERROR(__xludf.DUMMYFUNCTION("""COMPUTED_VALUE"""),3863.03)</f>
        <v>3863.03</v>
      </c>
    </row>
    <row r="4432">
      <c r="A4432" s="2">
        <f>IFERROR(__xludf.DUMMYFUNCTION("""COMPUTED_VALUE"""),42230.66666666667)</f>
        <v>42230.66667</v>
      </c>
      <c r="B4432" s="1">
        <f>IFERROR(__xludf.DUMMYFUNCTION("""COMPUTED_VALUE"""),3878.16)</f>
        <v>3878.16</v>
      </c>
    </row>
    <row r="4433">
      <c r="A4433" s="2">
        <f>IFERROR(__xludf.DUMMYFUNCTION("""COMPUTED_VALUE"""),42233.66666666667)</f>
        <v>42233.66667</v>
      </c>
      <c r="B4433" s="1">
        <f>IFERROR(__xludf.DUMMYFUNCTION("""COMPUTED_VALUE"""),3899.1)</f>
        <v>3899.1</v>
      </c>
    </row>
    <row r="4434">
      <c r="A4434" s="2">
        <f>IFERROR(__xludf.DUMMYFUNCTION("""COMPUTED_VALUE"""),42234.66666666667)</f>
        <v>42234.66667</v>
      </c>
      <c r="B4434" s="1">
        <f>IFERROR(__xludf.DUMMYFUNCTION("""COMPUTED_VALUE"""),3889.6)</f>
        <v>3889.6</v>
      </c>
    </row>
    <row r="4435">
      <c r="A4435" s="2">
        <f>IFERROR(__xludf.DUMMYFUNCTION("""COMPUTED_VALUE"""),42235.66666666667)</f>
        <v>42235.66667</v>
      </c>
      <c r="B4435" s="1">
        <f>IFERROR(__xludf.DUMMYFUNCTION("""COMPUTED_VALUE"""),3857.74)</f>
        <v>3857.74</v>
      </c>
    </row>
    <row r="4436">
      <c r="A4436" s="2">
        <f>IFERROR(__xludf.DUMMYFUNCTION("""COMPUTED_VALUE"""),42236.66666666667)</f>
        <v>42236.66667</v>
      </c>
      <c r="B4436" s="1">
        <f>IFERROR(__xludf.DUMMYFUNCTION("""COMPUTED_VALUE"""),3776.36)</f>
        <v>3776.36</v>
      </c>
    </row>
    <row r="4437">
      <c r="A4437" s="2">
        <f>IFERROR(__xludf.DUMMYFUNCTION("""COMPUTED_VALUE"""),42237.66666666667)</f>
        <v>42237.66667</v>
      </c>
      <c r="B4437" s="1">
        <f>IFERROR(__xludf.DUMMYFUNCTION("""COMPUTED_VALUE"""),3656.67)</f>
        <v>3656.67</v>
      </c>
    </row>
    <row r="4438">
      <c r="A4438" s="2">
        <f>IFERROR(__xludf.DUMMYFUNCTION("""COMPUTED_VALUE"""),42240.66666666667)</f>
        <v>42240.66667</v>
      </c>
      <c r="B4438" s="1">
        <f>IFERROR(__xludf.DUMMYFUNCTION("""COMPUTED_VALUE"""),3512.65)</f>
        <v>3512.65</v>
      </c>
    </row>
    <row r="4439">
      <c r="A4439" s="2">
        <f>IFERROR(__xludf.DUMMYFUNCTION("""COMPUTED_VALUE"""),42241.66666666667)</f>
        <v>42241.66667</v>
      </c>
      <c r="B4439" s="1">
        <f>IFERROR(__xludf.DUMMYFUNCTION("""COMPUTED_VALUE"""),3465.19)</f>
        <v>3465.19</v>
      </c>
    </row>
    <row r="4440">
      <c r="A4440" s="2">
        <f>IFERROR(__xludf.DUMMYFUNCTION("""COMPUTED_VALUE"""),42242.66666666667)</f>
        <v>42242.66667</v>
      </c>
      <c r="B4440" s="1">
        <f>IFERROR(__xludf.DUMMYFUNCTION("""COMPUTED_VALUE"""),3600.73)</f>
        <v>3600.73</v>
      </c>
    </row>
    <row r="4441">
      <c r="A4441" s="2">
        <f>IFERROR(__xludf.DUMMYFUNCTION("""COMPUTED_VALUE"""),42243.66666666667)</f>
        <v>42243.66667</v>
      </c>
      <c r="B4441" s="1">
        <f>IFERROR(__xludf.DUMMYFUNCTION("""COMPUTED_VALUE"""),3688.6)</f>
        <v>3688.6</v>
      </c>
    </row>
    <row r="4442">
      <c r="A4442" s="2">
        <f>IFERROR(__xludf.DUMMYFUNCTION("""COMPUTED_VALUE"""),42244.66666666667)</f>
        <v>42244.66667</v>
      </c>
      <c r="B4442" s="1">
        <f>IFERROR(__xludf.DUMMYFUNCTION("""COMPUTED_VALUE"""),3691.3)</f>
        <v>3691.3</v>
      </c>
    </row>
    <row r="4443">
      <c r="A4443" s="2">
        <f>IFERROR(__xludf.DUMMYFUNCTION("""COMPUTED_VALUE"""),42247.66666666667)</f>
        <v>42247.66667</v>
      </c>
      <c r="B4443" s="1">
        <f>IFERROR(__xludf.DUMMYFUNCTION("""COMPUTED_VALUE"""),3660.75)</f>
        <v>3660.75</v>
      </c>
    </row>
    <row r="4444">
      <c r="A4444" s="2">
        <f>IFERROR(__xludf.DUMMYFUNCTION("""COMPUTED_VALUE"""),42248.66666666667)</f>
        <v>42248.66667</v>
      </c>
      <c r="B4444" s="1">
        <f>IFERROR(__xludf.DUMMYFUNCTION("""COMPUTED_VALUE"""),3552.65)</f>
        <v>3552.65</v>
      </c>
    </row>
    <row r="4445">
      <c r="A4445" s="2">
        <f>IFERROR(__xludf.DUMMYFUNCTION("""COMPUTED_VALUE"""),42249.66666666667)</f>
        <v>42249.66667</v>
      </c>
      <c r="B4445" s="1">
        <f>IFERROR(__xludf.DUMMYFUNCTION("""COMPUTED_VALUE"""),3618.25)</f>
        <v>3618.25</v>
      </c>
    </row>
    <row r="4446">
      <c r="A4446" s="2">
        <f>IFERROR(__xludf.DUMMYFUNCTION("""COMPUTED_VALUE"""),42250.66666666667)</f>
        <v>42250.66667</v>
      </c>
      <c r="B4446" s="1">
        <f>IFERROR(__xludf.DUMMYFUNCTION("""COMPUTED_VALUE"""),3622.66)</f>
        <v>3622.66</v>
      </c>
    </row>
    <row r="4447">
      <c r="A4447" s="2">
        <f>IFERROR(__xludf.DUMMYFUNCTION("""COMPUTED_VALUE"""),42251.66666666667)</f>
        <v>42251.66667</v>
      </c>
      <c r="B4447" s="1">
        <f>IFERROR(__xludf.DUMMYFUNCTION("""COMPUTED_VALUE"""),3567.41)</f>
        <v>3567.41</v>
      </c>
    </row>
    <row r="4448">
      <c r="A4448" s="2">
        <f>IFERROR(__xludf.DUMMYFUNCTION("""COMPUTED_VALUE"""),42255.66666666667)</f>
        <v>42255.66667</v>
      </c>
      <c r="B4448" s="1">
        <f>IFERROR(__xludf.DUMMYFUNCTION("""COMPUTED_VALUE"""),3657.32)</f>
        <v>3657.32</v>
      </c>
    </row>
    <row r="4449">
      <c r="A4449" s="2">
        <f>IFERROR(__xludf.DUMMYFUNCTION("""COMPUTED_VALUE"""),42256.66666666667)</f>
        <v>42256.66667</v>
      </c>
      <c r="B4449" s="1">
        <f>IFERROR(__xludf.DUMMYFUNCTION("""COMPUTED_VALUE"""),3606.8)</f>
        <v>3606.8</v>
      </c>
    </row>
    <row r="4450">
      <c r="A4450" s="2">
        <f>IFERROR(__xludf.DUMMYFUNCTION("""COMPUTED_VALUE"""),42257.66666666667)</f>
        <v>42257.66667</v>
      </c>
      <c r="B4450" s="1">
        <f>IFERROR(__xludf.DUMMYFUNCTION("""COMPUTED_VALUE"""),3626.14)</f>
        <v>3626.14</v>
      </c>
    </row>
    <row r="4451">
      <c r="A4451" s="2">
        <f>IFERROR(__xludf.DUMMYFUNCTION("""COMPUTED_VALUE"""),42258.66666666667)</f>
        <v>42258.66667</v>
      </c>
      <c r="B4451" s="1">
        <f>IFERROR(__xludf.DUMMYFUNCTION("""COMPUTED_VALUE"""),3643.54)</f>
        <v>3643.54</v>
      </c>
    </row>
    <row r="4452">
      <c r="A4452" s="2">
        <f>IFERROR(__xludf.DUMMYFUNCTION("""COMPUTED_VALUE"""),42261.66666666667)</f>
        <v>42261.66667</v>
      </c>
      <c r="B4452" s="1">
        <f>IFERROR(__xludf.DUMMYFUNCTION("""COMPUTED_VALUE"""),3628.87)</f>
        <v>3628.87</v>
      </c>
    </row>
    <row r="4453">
      <c r="A4453" s="2">
        <f>IFERROR(__xludf.DUMMYFUNCTION("""COMPUTED_VALUE"""),42262.66666666667)</f>
        <v>42262.66667</v>
      </c>
      <c r="B4453" s="1">
        <f>IFERROR(__xludf.DUMMYFUNCTION("""COMPUTED_VALUE"""),3675.48)</f>
        <v>3675.48</v>
      </c>
    </row>
    <row r="4454">
      <c r="A4454" s="2">
        <f>IFERROR(__xludf.DUMMYFUNCTION("""COMPUTED_VALUE"""),42263.66666666667)</f>
        <v>42263.66667</v>
      </c>
      <c r="B4454" s="1">
        <f>IFERROR(__xludf.DUMMYFUNCTION("""COMPUTED_VALUE"""),3707.62)</f>
        <v>3707.62</v>
      </c>
    </row>
    <row r="4455">
      <c r="A4455" s="2">
        <f>IFERROR(__xludf.DUMMYFUNCTION("""COMPUTED_VALUE"""),42264.66666666667)</f>
        <v>42264.66667</v>
      </c>
      <c r="B4455" s="1">
        <f>IFERROR(__xludf.DUMMYFUNCTION("""COMPUTED_VALUE"""),3698.74)</f>
        <v>3698.74</v>
      </c>
    </row>
    <row r="4456">
      <c r="A4456" s="2">
        <f>IFERROR(__xludf.DUMMYFUNCTION("""COMPUTED_VALUE"""),42265.66666666667)</f>
        <v>42265.66667</v>
      </c>
      <c r="B4456" s="1">
        <f>IFERROR(__xludf.DUMMYFUNCTION("""COMPUTED_VALUE"""),3638.99)</f>
        <v>3638.99</v>
      </c>
    </row>
    <row r="4457">
      <c r="A4457" s="2">
        <f>IFERROR(__xludf.DUMMYFUNCTION("""COMPUTED_VALUE"""),42268.66666666667)</f>
        <v>42268.66667</v>
      </c>
      <c r="B4457" s="1">
        <f>IFERROR(__xludf.DUMMYFUNCTION("""COMPUTED_VALUE"""),3655.64)</f>
        <v>3655.64</v>
      </c>
    </row>
    <row r="4458">
      <c r="A4458" s="2">
        <f>IFERROR(__xludf.DUMMYFUNCTION("""COMPUTED_VALUE"""),42269.66666666667)</f>
        <v>42269.66667</v>
      </c>
      <c r="B4458" s="1">
        <f>IFERROR(__xludf.DUMMYFUNCTION("""COMPUTED_VALUE"""),3610.7)</f>
        <v>3610.7</v>
      </c>
    </row>
    <row r="4459">
      <c r="A4459" s="2">
        <f>IFERROR(__xludf.DUMMYFUNCTION("""COMPUTED_VALUE"""),42270.66666666667)</f>
        <v>42270.66667</v>
      </c>
      <c r="B4459" s="1">
        <f>IFERROR(__xludf.DUMMYFUNCTION("""COMPUTED_VALUE"""),3603.49)</f>
        <v>3603.49</v>
      </c>
    </row>
    <row r="4460">
      <c r="A4460" s="2">
        <f>IFERROR(__xludf.DUMMYFUNCTION("""COMPUTED_VALUE"""),42271.66666666667)</f>
        <v>42271.66667</v>
      </c>
      <c r="B4460" s="1">
        <f>IFERROR(__xludf.DUMMYFUNCTION("""COMPUTED_VALUE"""),3591.37)</f>
        <v>3591.37</v>
      </c>
    </row>
    <row r="4461">
      <c r="A4461" s="2">
        <f>IFERROR(__xludf.DUMMYFUNCTION("""COMPUTED_VALUE"""),42272.66666666667)</f>
        <v>42272.66667</v>
      </c>
      <c r="B4461" s="1">
        <f>IFERROR(__xludf.DUMMYFUNCTION("""COMPUTED_VALUE"""),3589.71)</f>
        <v>3589.71</v>
      </c>
    </row>
    <row r="4462">
      <c r="A4462" s="2">
        <f>IFERROR(__xludf.DUMMYFUNCTION("""COMPUTED_VALUE"""),42275.66666666667)</f>
        <v>42275.66667</v>
      </c>
      <c r="B4462" s="1">
        <f>IFERROR(__xludf.DUMMYFUNCTION("""COMPUTED_VALUE"""),3498.61)</f>
        <v>3498.61</v>
      </c>
    </row>
    <row r="4463">
      <c r="A4463" s="2">
        <f>IFERROR(__xludf.DUMMYFUNCTION("""COMPUTED_VALUE"""),42276.66666666667)</f>
        <v>42276.66667</v>
      </c>
      <c r="B4463" s="1">
        <f>IFERROR(__xludf.DUMMYFUNCTION("""COMPUTED_VALUE"""),3503.13)</f>
        <v>3503.13</v>
      </c>
    </row>
    <row r="4464">
      <c r="A4464" s="2">
        <f>IFERROR(__xludf.DUMMYFUNCTION("""COMPUTED_VALUE"""),42277.66666666667)</f>
        <v>42277.66667</v>
      </c>
      <c r="B4464" s="1">
        <f>IFERROR(__xludf.DUMMYFUNCTION("""COMPUTED_VALUE"""),3570.17)</f>
        <v>3570.17</v>
      </c>
    </row>
    <row r="4465">
      <c r="A4465" s="2">
        <f>IFERROR(__xludf.DUMMYFUNCTION("""COMPUTED_VALUE"""),42278.66666666667)</f>
        <v>42278.66667</v>
      </c>
      <c r="B4465" s="1">
        <f>IFERROR(__xludf.DUMMYFUNCTION("""COMPUTED_VALUE"""),3577.47)</f>
        <v>3577.47</v>
      </c>
    </row>
    <row r="4466">
      <c r="A4466" s="2">
        <f>IFERROR(__xludf.DUMMYFUNCTION("""COMPUTED_VALUE"""),42279.66666666667)</f>
        <v>42279.66667</v>
      </c>
      <c r="B4466" s="1">
        <f>IFERROR(__xludf.DUMMYFUNCTION("""COMPUTED_VALUE"""),3629.04)</f>
        <v>3629.04</v>
      </c>
    </row>
    <row r="4467">
      <c r="A4467" s="2">
        <f>IFERROR(__xludf.DUMMYFUNCTION("""COMPUTED_VALUE"""),42282.66666666667)</f>
        <v>42282.66667</v>
      </c>
      <c r="B4467" s="1">
        <f>IFERROR(__xludf.DUMMYFUNCTION("""COMPUTED_VALUE"""),3695.61)</f>
        <v>3695.61</v>
      </c>
    </row>
    <row r="4468">
      <c r="A4468" s="2">
        <f>IFERROR(__xludf.DUMMYFUNCTION("""COMPUTED_VALUE"""),42283.66666666667)</f>
        <v>42283.66667</v>
      </c>
      <c r="B4468" s="1">
        <f>IFERROR(__xludf.DUMMYFUNCTION("""COMPUTED_VALUE"""),3682.33)</f>
        <v>3682.33</v>
      </c>
    </row>
    <row r="4469">
      <c r="A4469" s="2">
        <f>IFERROR(__xludf.DUMMYFUNCTION("""COMPUTED_VALUE"""),42284.66666666667)</f>
        <v>42284.66667</v>
      </c>
      <c r="B4469" s="1">
        <f>IFERROR(__xludf.DUMMYFUNCTION("""COMPUTED_VALUE"""),3713.36)</f>
        <v>3713.36</v>
      </c>
    </row>
    <row r="4470">
      <c r="A4470" s="2">
        <f>IFERROR(__xludf.DUMMYFUNCTION("""COMPUTED_VALUE"""),42285.66666666667)</f>
        <v>42285.66667</v>
      </c>
      <c r="B4470" s="1">
        <f>IFERROR(__xludf.DUMMYFUNCTION("""COMPUTED_VALUE"""),3746.12)</f>
        <v>3746.12</v>
      </c>
    </row>
    <row r="4471">
      <c r="A4471" s="2">
        <f>IFERROR(__xludf.DUMMYFUNCTION("""COMPUTED_VALUE"""),42286.66666666667)</f>
        <v>42286.66667</v>
      </c>
      <c r="B4471" s="1">
        <f>IFERROR(__xludf.DUMMYFUNCTION("""COMPUTED_VALUE"""),3748.96)</f>
        <v>3748.96</v>
      </c>
    </row>
    <row r="4472">
      <c r="A4472" s="2">
        <f>IFERROR(__xludf.DUMMYFUNCTION("""COMPUTED_VALUE"""),42289.66666666667)</f>
        <v>42289.66667</v>
      </c>
      <c r="B4472" s="1">
        <f>IFERROR(__xludf.DUMMYFUNCTION("""COMPUTED_VALUE"""),3753.73)</f>
        <v>3753.73</v>
      </c>
    </row>
    <row r="4473">
      <c r="A4473" s="2">
        <f>IFERROR(__xludf.DUMMYFUNCTION("""COMPUTED_VALUE"""),42290.66666666667)</f>
        <v>42290.66667</v>
      </c>
      <c r="B4473" s="1">
        <f>IFERROR(__xludf.DUMMYFUNCTION("""COMPUTED_VALUE"""),3728.48)</f>
        <v>3728.48</v>
      </c>
    </row>
    <row r="4474">
      <c r="A4474" s="2">
        <f>IFERROR(__xludf.DUMMYFUNCTION("""COMPUTED_VALUE"""),42291.66666666667)</f>
        <v>42291.66667</v>
      </c>
      <c r="B4474" s="1">
        <f>IFERROR(__xludf.DUMMYFUNCTION("""COMPUTED_VALUE"""),3711.11)</f>
        <v>3711.11</v>
      </c>
    </row>
    <row r="4475">
      <c r="A4475" s="2">
        <f>IFERROR(__xludf.DUMMYFUNCTION("""COMPUTED_VALUE"""),42292.66666666667)</f>
        <v>42292.66667</v>
      </c>
      <c r="B4475" s="1">
        <f>IFERROR(__xludf.DUMMYFUNCTION("""COMPUTED_VALUE"""),3766.43)</f>
        <v>3766.43</v>
      </c>
    </row>
    <row r="4476">
      <c r="A4476" s="2">
        <f>IFERROR(__xludf.DUMMYFUNCTION("""COMPUTED_VALUE"""),42293.66666666667)</f>
        <v>42293.66667</v>
      </c>
      <c r="B4476" s="1">
        <f>IFERROR(__xludf.DUMMYFUNCTION("""COMPUTED_VALUE"""),3783.64)</f>
        <v>3783.64</v>
      </c>
    </row>
    <row r="4477">
      <c r="A4477" s="2">
        <f>IFERROR(__xludf.DUMMYFUNCTION("""COMPUTED_VALUE"""),42296.66666666667)</f>
        <v>42296.66667</v>
      </c>
      <c r="B4477" s="1">
        <f>IFERROR(__xludf.DUMMYFUNCTION("""COMPUTED_VALUE"""),3784.72)</f>
        <v>3784.72</v>
      </c>
    </row>
    <row r="4478">
      <c r="A4478" s="2">
        <f>IFERROR(__xludf.DUMMYFUNCTION("""COMPUTED_VALUE"""),42297.66666666667)</f>
        <v>42297.66667</v>
      </c>
      <c r="B4478" s="1">
        <f>IFERROR(__xludf.DUMMYFUNCTION("""COMPUTED_VALUE"""),3779.44)</f>
        <v>3779.44</v>
      </c>
    </row>
    <row r="4479">
      <c r="A4479" s="2">
        <f>IFERROR(__xludf.DUMMYFUNCTION("""COMPUTED_VALUE"""),42298.66666666667)</f>
        <v>42298.66667</v>
      </c>
      <c r="B4479" s="1">
        <f>IFERROR(__xludf.DUMMYFUNCTION("""COMPUTED_VALUE"""),3757.91)</f>
        <v>3757.91</v>
      </c>
    </row>
    <row r="4480">
      <c r="A4480" s="2">
        <f>IFERROR(__xludf.DUMMYFUNCTION("""COMPUTED_VALUE"""),42299.66666666667)</f>
        <v>42299.66667</v>
      </c>
      <c r="B4480" s="1">
        <f>IFERROR(__xludf.DUMMYFUNCTION("""COMPUTED_VALUE"""),3820.49)</f>
        <v>3820.49</v>
      </c>
    </row>
    <row r="4481">
      <c r="A4481" s="2">
        <f>IFERROR(__xludf.DUMMYFUNCTION("""COMPUTED_VALUE"""),42300.66666666667)</f>
        <v>42300.66667</v>
      </c>
      <c r="B4481" s="1">
        <f>IFERROR(__xludf.DUMMYFUNCTION("""COMPUTED_VALUE"""),3862.65)</f>
        <v>3862.65</v>
      </c>
    </row>
    <row r="4482">
      <c r="A4482" s="2">
        <f>IFERROR(__xludf.DUMMYFUNCTION("""COMPUTED_VALUE"""),42303.66666666667)</f>
        <v>42303.66667</v>
      </c>
      <c r="B4482" s="1">
        <f>IFERROR(__xludf.DUMMYFUNCTION("""COMPUTED_VALUE"""),3855.29)</f>
        <v>3855.29</v>
      </c>
    </row>
    <row r="4483">
      <c r="A4483" s="2">
        <f>IFERROR(__xludf.DUMMYFUNCTION("""COMPUTED_VALUE"""),42304.66666666667)</f>
        <v>42304.66667</v>
      </c>
      <c r="B4483" s="1">
        <f>IFERROR(__xludf.DUMMYFUNCTION("""COMPUTED_VALUE"""),3845.45)</f>
        <v>3845.45</v>
      </c>
    </row>
    <row r="4484">
      <c r="A4484" s="2">
        <f>IFERROR(__xludf.DUMMYFUNCTION("""COMPUTED_VALUE"""),42305.66666666667)</f>
        <v>42305.66667</v>
      </c>
      <c r="B4484" s="1">
        <f>IFERROR(__xludf.DUMMYFUNCTION("""COMPUTED_VALUE"""),3891.34)</f>
        <v>3891.34</v>
      </c>
    </row>
    <row r="4485">
      <c r="A4485" s="2">
        <f>IFERROR(__xludf.DUMMYFUNCTION("""COMPUTED_VALUE"""),42306.66666666667)</f>
        <v>42306.66667</v>
      </c>
      <c r="B4485" s="1">
        <f>IFERROR(__xludf.DUMMYFUNCTION("""COMPUTED_VALUE"""),3890.04)</f>
        <v>3890.04</v>
      </c>
    </row>
    <row r="4486">
      <c r="A4486" s="2">
        <f>IFERROR(__xludf.DUMMYFUNCTION("""COMPUTED_VALUE"""),42307.66666666667)</f>
        <v>42307.66667</v>
      </c>
      <c r="B4486" s="1">
        <f>IFERROR(__xludf.DUMMYFUNCTION("""COMPUTED_VALUE"""),3871.33)</f>
        <v>3871.33</v>
      </c>
    </row>
    <row r="4487">
      <c r="A4487" s="2">
        <f>IFERROR(__xludf.DUMMYFUNCTION("""COMPUTED_VALUE"""),42310.66666666667)</f>
        <v>42310.66667</v>
      </c>
      <c r="B4487" s="1">
        <f>IFERROR(__xludf.DUMMYFUNCTION("""COMPUTED_VALUE"""),3917.3)</f>
        <v>3917.3</v>
      </c>
    </row>
    <row r="4488">
      <c r="A4488" s="2">
        <f>IFERROR(__xludf.DUMMYFUNCTION("""COMPUTED_VALUE"""),42311.66666666667)</f>
        <v>42311.66667</v>
      </c>
      <c r="B4488" s="1">
        <f>IFERROR(__xludf.DUMMYFUNCTION("""COMPUTED_VALUE"""),3928.05)</f>
        <v>3928.05</v>
      </c>
    </row>
    <row r="4489">
      <c r="A4489" s="2">
        <f>IFERROR(__xludf.DUMMYFUNCTION("""COMPUTED_VALUE"""),42312.66666666667)</f>
        <v>42312.66667</v>
      </c>
      <c r="B4489" s="1">
        <f>IFERROR(__xludf.DUMMYFUNCTION("""COMPUTED_VALUE"""),3915.52)</f>
        <v>3915.52</v>
      </c>
    </row>
    <row r="4490">
      <c r="A4490" s="2">
        <f>IFERROR(__xludf.DUMMYFUNCTION("""COMPUTED_VALUE"""),42313.66666666667)</f>
        <v>42313.66667</v>
      </c>
      <c r="B4490" s="1">
        <f>IFERROR(__xludf.DUMMYFUNCTION("""COMPUTED_VALUE"""),3911.89)</f>
        <v>3911.89</v>
      </c>
    </row>
    <row r="4491">
      <c r="A4491" s="2">
        <f>IFERROR(__xludf.DUMMYFUNCTION("""COMPUTED_VALUE"""),42314.66666666667)</f>
        <v>42314.66667</v>
      </c>
      <c r="B4491" s="1">
        <f>IFERROR(__xludf.DUMMYFUNCTION("""COMPUTED_VALUE"""),3910.98)</f>
        <v>3910.98</v>
      </c>
    </row>
    <row r="4492">
      <c r="A4492" s="2">
        <f>IFERROR(__xludf.DUMMYFUNCTION("""COMPUTED_VALUE"""),42317.66666666667)</f>
        <v>42317.66667</v>
      </c>
      <c r="B4492" s="1">
        <f>IFERROR(__xludf.DUMMYFUNCTION("""COMPUTED_VALUE"""),3873.37)</f>
        <v>3873.37</v>
      </c>
    </row>
    <row r="4493">
      <c r="A4493" s="2">
        <f>IFERROR(__xludf.DUMMYFUNCTION("""COMPUTED_VALUE"""),42318.66666666667)</f>
        <v>42318.66667</v>
      </c>
      <c r="B4493" s="1">
        <f>IFERROR(__xludf.DUMMYFUNCTION("""COMPUTED_VALUE"""),3880.23)</f>
        <v>3880.23</v>
      </c>
    </row>
    <row r="4494">
      <c r="A4494" s="2">
        <f>IFERROR(__xludf.DUMMYFUNCTION("""COMPUTED_VALUE"""),42319.66666666667)</f>
        <v>42319.66667</v>
      </c>
      <c r="B4494" s="1">
        <f>IFERROR(__xludf.DUMMYFUNCTION("""COMPUTED_VALUE"""),3867.71)</f>
        <v>3867.71</v>
      </c>
    </row>
    <row r="4495">
      <c r="A4495" s="2">
        <f>IFERROR(__xludf.DUMMYFUNCTION("""COMPUTED_VALUE"""),42320.66666666667)</f>
        <v>42320.66667</v>
      </c>
      <c r="B4495" s="1">
        <f>IFERROR(__xludf.DUMMYFUNCTION("""COMPUTED_VALUE"""),3814.29)</f>
        <v>3814.29</v>
      </c>
    </row>
    <row r="4496">
      <c r="A4496" s="2">
        <f>IFERROR(__xludf.DUMMYFUNCTION("""COMPUTED_VALUE"""),42321.66666666667)</f>
        <v>42321.66667</v>
      </c>
      <c r="B4496" s="1">
        <f>IFERROR(__xludf.DUMMYFUNCTION("""COMPUTED_VALUE"""),3771.59)</f>
        <v>3771.59</v>
      </c>
    </row>
    <row r="4497">
      <c r="A4497" s="2">
        <f>IFERROR(__xludf.DUMMYFUNCTION("""COMPUTED_VALUE"""),42324.66666666667)</f>
        <v>42324.66667</v>
      </c>
      <c r="B4497" s="1">
        <f>IFERROR(__xludf.DUMMYFUNCTION("""COMPUTED_VALUE"""),3828.46)</f>
        <v>3828.46</v>
      </c>
    </row>
    <row r="4498">
      <c r="A4498" s="2">
        <f>IFERROR(__xludf.DUMMYFUNCTION("""COMPUTED_VALUE"""),42325.66666666667)</f>
        <v>42325.66667</v>
      </c>
      <c r="B4498" s="1">
        <f>IFERROR(__xludf.DUMMYFUNCTION("""COMPUTED_VALUE"""),3824.14)</f>
        <v>3824.14</v>
      </c>
    </row>
    <row r="4499">
      <c r="A4499" s="2">
        <f>IFERROR(__xludf.DUMMYFUNCTION("""COMPUTED_VALUE"""),42326.66666666667)</f>
        <v>42326.66667</v>
      </c>
      <c r="B4499" s="1">
        <f>IFERROR(__xludf.DUMMYFUNCTION("""COMPUTED_VALUE"""),3886.26)</f>
        <v>3886.26</v>
      </c>
    </row>
    <row r="4500">
      <c r="A4500" s="2">
        <f>IFERROR(__xludf.DUMMYFUNCTION("""COMPUTED_VALUE"""),42327.66666666667)</f>
        <v>42327.66667</v>
      </c>
      <c r="B4500" s="1">
        <f>IFERROR(__xludf.DUMMYFUNCTION("""COMPUTED_VALUE"""),3882.06)</f>
        <v>3882.06</v>
      </c>
    </row>
    <row r="4501">
      <c r="A4501" s="2">
        <f>IFERROR(__xludf.DUMMYFUNCTION("""COMPUTED_VALUE"""),42328.66666666667)</f>
        <v>42328.66667</v>
      </c>
      <c r="B4501" s="1">
        <f>IFERROR(__xludf.DUMMYFUNCTION("""COMPUTED_VALUE"""),3897.45)</f>
        <v>3897.45</v>
      </c>
    </row>
    <row r="4502">
      <c r="A4502" s="2">
        <f>IFERROR(__xludf.DUMMYFUNCTION("""COMPUTED_VALUE"""),42331.66666666667)</f>
        <v>42331.66667</v>
      </c>
      <c r="B4502" s="1">
        <f>IFERROR(__xludf.DUMMYFUNCTION("""COMPUTED_VALUE"""),3892.8)</f>
        <v>3892.8</v>
      </c>
    </row>
    <row r="4503">
      <c r="A4503" s="2">
        <f>IFERROR(__xludf.DUMMYFUNCTION("""COMPUTED_VALUE"""),42332.66666666667)</f>
        <v>42332.66667</v>
      </c>
      <c r="B4503" s="1">
        <f>IFERROR(__xludf.DUMMYFUNCTION("""COMPUTED_VALUE"""),3897.67)</f>
        <v>3897.67</v>
      </c>
    </row>
    <row r="4504">
      <c r="A4504" s="2">
        <f>IFERROR(__xludf.DUMMYFUNCTION("""COMPUTED_VALUE"""),42333.66666666667)</f>
        <v>42333.66667</v>
      </c>
      <c r="B4504" s="1">
        <f>IFERROR(__xludf.DUMMYFUNCTION("""COMPUTED_VALUE"""),3897.57)</f>
        <v>3897.57</v>
      </c>
    </row>
    <row r="4505">
      <c r="A4505" s="2">
        <f>IFERROR(__xludf.DUMMYFUNCTION("""COMPUTED_VALUE"""),42335.66666666667)</f>
        <v>42335.66667</v>
      </c>
      <c r="B4505" s="1">
        <f>IFERROR(__xludf.DUMMYFUNCTION("""COMPUTED_VALUE"""),3900.74)</f>
        <v>3900.74</v>
      </c>
    </row>
    <row r="4506">
      <c r="A4506" s="2">
        <f>IFERROR(__xludf.DUMMYFUNCTION("""COMPUTED_VALUE"""),42338.66666666667)</f>
        <v>42338.66667</v>
      </c>
      <c r="B4506" s="1">
        <f>IFERROR(__xludf.DUMMYFUNCTION("""COMPUTED_VALUE"""),3882.84)</f>
        <v>3882.84</v>
      </c>
    </row>
    <row r="4507">
      <c r="A4507" s="2">
        <f>IFERROR(__xludf.DUMMYFUNCTION("""COMPUTED_VALUE"""),42339.66666666667)</f>
        <v>42339.66667</v>
      </c>
      <c r="B4507" s="1">
        <f>IFERROR(__xludf.DUMMYFUNCTION("""COMPUTED_VALUE"""),3924.63)</f>
        <v>3924.63</v>
      </c>
    </row>
    <row r="4508">
      <c r="A4508" s="2">
        <f>IFERROR(__xludf.DUMMYFUNCTION("""COMPUTED_VALUE"""),42340.66666666667)</f>
        <v>42340.66667</v>
      </c>
      <c r="B4508" s="1">
        <f>IFERROR(__xludf.DUMMYFUNCTION("""COMPUTED_VALUE"""),3882.38)</f>
        <v>3882.38</v>
      </c>
    </row>
    <row r="4509">
      <c r="A4509" s="2">
        <f>IFERROR(__xludf.DUMMYFUNCTION("""COMPUTED_VALUE"""),42341.66666666667)</f>
        <v>42341.66667</v>
      </c>
      <c r="B4509" s="1">
        <f>IFERROR(__xludf.DUMMYFUNCTION("""COMPUTED_VALUE"""),3826.74)</f>
        <v>3826.74</v>
      </c>
    </row>
    <row r="4510">
      <c r="A4510" s="2">
        <f>IFERROR(__xludf.DUMMYFUNCTION("""COMPUTED_VALUE"""),42342.66666666667)</f>
        <v>42342.66667</v>
      </c>
      <c r="B4510" s="1">
        <f>IFERROR(__xludf.DUMMYFUNCTION("""COMPUTED_VALUE"""),3905.31)</f>
        <v>3905.31</v>
      </c>
    </row>
    <row r="4511">
      <c r="A4511" s="2">
        <f>IFERROR(__xludf.DUMMYFUNCTION("""COMPUTED_VALUE"""),42345.66666666667)</f>
        <v>42345.66667</v>
      </c>
      <c r="B4511" s="1">
        <f>IFERROR(__xludf.DUMMYFUNCTION("""COMPUTED_VALUE"""),3878.31)</f>
        <v>3878.31</v>
      </c>
    </row>
    <row r="4512">
      <c r="A4512" s="2">
        <f>IFERROR(__xludf.DUMMYFUNCTION("""COMPUTED_VALUE"""),42346.66666666667)</f>
        <v>42346.66667</v>
      </c>
      <c r="B4512" s="1">
        <f>IFERROR(__xludf.DUMMYFUNCTION("""COMPUTED_VALUE"""),3853.48)</f>
        <v>3853.48</v>
      </c>
    </row>
    <row r="4513">
      <c r="A4513" s="2">
        <f>IFERROR(__xludf.DUMMYFUNCTION("""COMPUTED_VALUE"""),42347.66666666667)</f>
        <v>42347.66667</v>
      </c>
      <c r="B4513" s="1">
        <f>IFERROR(__xludf.DUMMYFUNCTION("""COMPUTED_VALUE"""),3823.9)</f>
        <v>3823.9</v>
      </c>
    </row>
    <row r="4514">
      <c r="A4514" s="2">
        <f>IFERROR(__xludf.DUMMYFUNCTION("""COMPUTED_VALUE"""),42348.66666666667)</f>
        <v>42348.66667</v>
      </c>
      <c r="B4514" s="1">
        <f>IFERROR(__xludf.DUMMYFUNCTION("""COMPUTED_VALUE"""),3832.93)</f>
        <v>3832.93</v>
      </c>
    </row>
    <row r="4515">
      <c r="A4515" s="2">
        <f>IFERROR(__xludf.DUMMYFUNCTION("""COMPUTED_VALUE"""),42349.66666666667)</f>
        <v>42349.66667</v>
      </c>
      <c r="B4515" s="1">
        <f>IFERROR(__xludf.DUMMYFUNCTION("""COMPUTED_VALUE"""),3759.09)</f>
        <v>3759.09</v>
      </c>
    </row>
    <row r="4516">
      <c r="A4516" s="2">
        <f>IFERROR(__xludf.DUMMYFUNCTION("""COMPUTED_VALUE"""),42352.66666666667)</f>
        <v>42352.66667</v>
      </c>
      <c r="B4516" s="1">
        <f>IFERROR(__xludf.DUMMYFUNCTION("""COMPUTED_VALUE"""),3777.22)</f>
        <v>3777.22</v>
      </c>
    </row>
    <row r="4517">
      <c r="A4517" s="2">
        <f>IFERROR(__xludf.DUMMYFUNCTION("""COMPUTED_VALUE"""),42353.66666666667)</f>
        <v>42353.66667</v>
      </c>
      <c r="B4517" s="1">
        <f>IFERROR(__xludf.DUMMYFUNCTION("""COMPUTED_VALUE"""),3817.36)</f>
        <v>3817.36</v>
      </c>
    </row>
    <row r="4518">
      <c r="A4518" s="2">
        <f>IFERROR(__xludf.DUMMYFUNCTION("""COMPUTED_VALUE"""),42354.66666666667)</f>
        <v>42354.66667</v>
      </c>
      <c r="B4518" s="1">
        <f>IFERROR(__xludf.DUMMYFUNCTION("""COMPUTED_VALUE"""),3873.12)</f>
        <v>3873.12</v>
      </c>
    </row>
    <row r="4519">
      <c r="A4519" s="2">
        <f>IFERROR(__xludf.DUMMYFUNCTION("""COMPUTED_VALUE"""),42355.66666666667)</f>
        <v>42355.66667</v>
      </c>
      <c r="B4519" s="1">
        <f>IFERROR(__xludf.DUMMYFUNCTION("""COMPUTED_VALUE"""),3815.46)</f>
        <v>3815.46</v>
      </c>
    </row>
    <row r="4520">
      <c r="A4520" s="2">
        <f>IFERROR(__xludf.DUMMYFUNCTION("""COMPUTED_VALUE"""),42356.66666666667)</f>
        <v>42356.66667</v>
      </c>
      <c r="B4520" s="1">
        <f>IFERROR(__xludf.DUMMYFUNCTION("""COMPUTED_VALUE"""),3747.56)</f>
        <v>3747.56</v>
      </c>
    </row>
    <row r="4521">
      <c r="A4521" s="2">
        <f>IFERROR(__xludf.DUMMYFUNCTION("""COMPUTED_VALUE"""),42359.66666666667)</f>
        <v>42359.66667</v>
      </c>
      <c r="B4521" s="1">
        <f>IFERROR(__xludf.DUMMYFUNCTION("""COMPUTED_VALUE"""),3777.15)</f>
        <v>3777.15</v>
      </c>
    </row>
    <row r="4522">
      <c r="A4522" s="2">
        <f>IFERROR(__xludf.DUMMYFUNCTION("""COMPUTED_VALUE"""),42360.66666666667)</f>
        <v>42360.66667</v>
      </c>
      <c r="B4522" s="1">
        <f>IFERROR(__xludf.DUMMYFUNCTION("""COMPUTED_VALUE"""),3810.85)</f>
        <v>3810.85</v>
      </c>
    </row>
    <row r="4523">
      <c r="A4523" s="2">
        <f>IFERROR(__xludf.DUMMYFUNCTION("""COMPUTED_VALUE"""),42361.66666666667)</f>
        <v>42361.66667</v>
      </c>
      <c r="B4523" s="1">
        <f>IFERROR(__xludf.DUMMYFUNCTION("""COMPUTED_VALUE"""),3858.47)</f>
        <v>3858.47</v>
      </c>
    </row>
    <row r="4524">
      <c r="A4524" s="2">
        <f>IFERROR(__xludf.DUMMYFUNCTION("""COMPUTED_VALUE"""),42362.66666666667)</f>
        <v>42362.66667</v>
      </c>
      <c r="B4524" s="1">
        <f>IFERROR(__xludf.DUMMYFUNCTION("""COMPUTED_VALUE"""),3852.31)</f>
        <v>3852.31</v>
      </c>
    </row>
    <row r="4525">
      <c r="A4525" s="2">
        <f>IFERROR(__xludf.DUMMYFUNCTION("""COMPUTED_VALUE"""),42366.66666666667)</f>
        <v>42366.66667</v>
      </c>
      <c r="B4525" s="1">
        <f>IFERROR(__xludf.DUMMYFUNCTION("""COMPUTED_VALUE"""),3843.94)</f>
        <v>3843.94</v>
      </c>
    </row>
    <row r="4526">
      <c r="A4526" s="2">
        <f>IFERROR(__xludf.DUMMYFUNCTION("""COMPUTED_VALUE"""),42367.66666666667)</f>
        <v>42367.66667</v>
      </c>
      <c r="B4526" s="1">
        <f>IFERROR(__xludf.DUMMYFUNCTION("""COMPUTED_VALUE"""),3885.55)</f>
        <v>3885.55</v>
      </c>
    </row>
    <row r="4527">
      <c r="A4527" s="2">
        <f>IFERROR(__xludf.DUMMYFUNCTION("""COMPUTED_VALUE"""),42368.66666666667)</f>
        <v>42368.66667</v>
      </c>
      <c r="B4527" s="1">
        <f>IFERROR(__xludf.DUMMYFUNCTION("""COMPUTED_VALUE"""),3857.9)</f>
        <v>3857.9</v>
      </c>
    </row>
    <row r="4528">
      <c r="A4528" s="2">
        <f>IFERROR(__xludf.DUMMYFUNCTION("""COMPUTED_VALUE"""),42369.66666666667)</f>
        <v>42369.66667</v>
      </c>
      <c r="B4528" s="1">
        <f>IFERROR(__xludf.DUMMYFUNCTION("""COMPUTED_VALUE"""),3821.6)</f>
        <v>3821.6</v>
      </c>
    </row>
    <row r="4529">
      <c r="A4529" s="2">
        <f>IFERROR(__xludf.DUMMYFUNCTION("""COMPUTED_VALUE"""),42373.66666666667)</f>
        <v>42373.66667</v>
      </c>
      <c r="B4529" s="1">
        <f>IFERROR(__xludf.DUMMYFUNCTION("""COMPUTED_VALUE"""),3763.99)</f>
        <v>3763.99</v>
      </c>
    </row>
    <row r="4530">
      <c r="A4530" s="2">
        <f>IFERROR(__xludf.DUMMYFUNCTION("""COMPUTED_VALUE"""),42374.66666666667)</f>
        <v>42374.66667</v>
      </c>
      <c r="B4530" s="1">
        <f>IFERROR(__xludf.DUMMYFUNCTION("""COMPUTED_VALUE"""),3771.57)</f>
        <v>3771.57</v>
      </c>
    </row>
    <row r="4531">
      <c r="A4531" s="2">
        <f>IFERROR(__xludf.DUMMYFUNCTION("""COMPUTED_VALUE"""),42375.66666666667)</f>
        <v>42375.66667</v>
      </c>
      <c r="B4531" s="1">
        <f>IFERROR(__xludf.DUMMYFUNCTION("""COMPUTED_VALUE"""),3723.44)</f>
        <v>3723.44</v>
      </c>
    </row>
    <row r="4532">
      <c r="A4532" s="2">
        <f>IFERROR(__xludf.DUMMYFUNCTION("""COMPUTED_VALUE"""),42376.66666666667)</f>
        <v>42376.66667</v>
      </c>
      <c r="B4532" s="1">
        <f>IFERROR(__xludf.DUMMYFUNCTION("""COMPUTED_VALUE"""),3635.29)</f>
        <v>3635.29</v>
      </c>
    </row>
    <row r="4533">
      <c r="A4533" s="2">
        <f>IFERROR(__xludf.DUMMYFUNCTION("""COMPUTED_VALUE"""),42377.66666666667)</f>
        <v>42377.66667</v>
      </c>
      <c r="B4533" s="1">
        <f>IFERROR(__xludf.DUMMYFUNCTION("""COMPUTED_VALUE"""),3595.91)</f>
        <v>3595.91</v>
      </c>
    </row>
    <row r="4534">
      <c r="A4534" s="2">
        <f>IFERROR(__xludf.DUMMYFUNCTION("""COMPUTED_VALUE"""),42380.66666666667)</f>
        <v>42380.66667</v>
      </c>
      <c r="B4534" s="1">
        <f>IFERROR(__xludf.DUMMYFUNCTION("""COMPUTED_VALUE"""),3598.97)</f>
        <v>3598.97</v>
      </c>
    </row>
    <row r="4535">
      <c r="A4535" s="2">
        <f>IFERROR(__xludf.DUMMYFUNCTION("""COMPUTED_VALUE"""),42381.66666666667)</f>
        <v>42381.66667</v>
      </c>
      <c r="B4535" s="1">
        <f>IFERROR(__xludf.DUMMYFUNCTION("""COMPUTED_VALUE"""),3627.06)</f>
        <v>3627.06</v>
      </c>
    </row>
    <row r="4536">
      <c r="A4536" s="2">
        <f>IFERROR(__xludf.DUMMYFUNCTION("""COMPUTED_VALUE"""),42382.66666666667)</f>
        <v>42382.66667</v>
      </c>
      <c r="B4536" s="1">
        <f>IFERROR(__xludf.DUMMYFUNCTION("""COMPUTED_VALUE"""),3536.92)</f>
        <v>3536.92</v>
      </c>
    </row>
    <row r="4537">
      <c r="A4537" s="2">
        <f>IFERROR(__xludf.DUMMYFUNCTION("""COMPUTED_VALUE"""),42383.66666666667)</f>
        <v>42383.66667</v>
      </c>
      <c r="B4537" s="1">
        <f>IFERROR(__xludf.DUMMYFUNCTION("""COMPUTED_VALUE"""),3596.03)</f>
        <v>3596.03</v>
      </c>
    </row>
    <row r="4538">
      <c r="A4538" s="2">
        <f>IFERROR(__xludf.DUMMYFUNCTION("""COMPUTED_VALUE"""),42384.66666666667)</f>
        <v>42384.66667</v>
      </c>
      <c r="B4538" s="1">
        <f>IFERROR(__xludf.DUMMYFUNCTION("""COMPUTED_VALUE"""),3518.51)</f>
        <v>3518.51</v>
      </c>
    </row>
    <row r="4539">
      <c r="A4539" s="2">
        <f>IFERROR(__xludf.DUMMYFUNCTION("""COMPUTED_VALUE"""),42388.66666666667)</f>
        <v>42388.66667</v>
      </c>
      <c r="B4539" s="1">
        <f>IFERROR(__xludf.DUMMYFUNCTION("""COMPUTED_VALUE"""),3520.4)</f>
        <v>3520.4</v>
      </c>
    </row>
    <row r="4540">
      <c r="A4540" s="2">
        <f>IFERROR(__xludf.DUMMYFUNCTION("""COMPUTED_VALUE"""),42389.66666666667)</f>
        <v>42389.66667</v>
      </c>
      <c r="B4540" s="1">
        <f>IFERROR(__xludf.DUMMYFUNCTION("""COMPUTED_VALUE"""),3479.75)</f>
        <v>3479.75</v>
      </c>
    </row>
    <row r="4541">
      <c r="A4541" s="2">
        <f>IFERROR(__xludf.DUMMYFUNCTION("""COMPUTED_VALUE"""),42390.66666666667)</f>
        <v>42390.66667</v>
      </c>
      <c r="B4541" s="1">
        <f>IFERROR(__xludf.DUMMYFUNCTION("""COMPUTED_VALUE"""),3497.94)</f>
        <v>3497.94</v>
      </c>
    </row>
    <row r="4542">
      <c r="A4542" s="2">
        <f>IFERROR(__xludf.DUMMYFUNCTION("""COMPUTED_VALUE"""),42391.66666666667)</f>
        <v>42391.66667</v>
      </c>
      <c r="B4542" s="1">
        <f>IFERROR(__xludf.DUMMYFUNCTION("""COMPUTED_VALUE"""),3568.9)</f>
        <v>3568.9</v>
      </c>
    </row>
    <row r="4543">
      <c r="A4543" s="2">
        <f>IFERROR(__xludf.DUMMYFUNCTION("""COMPUTED_VALUE"""),42394.66666666667)</f>
        <v>42394.66667</v>
      </c>
      <c r="B4543" s="1">
        <f>IFERROR(__xludf.DUMMYFUNCTION("""COMPUTED_VALUE"""),3513.11)</f>
        <v>3513.11</v>
      </c>
    </row>
    <row r="4544">
      <c r="A4544" s="2">
        <f>IFERROR(__xludf.DUMMYFUNCTION("""COMPUTED_VALUE"""),42395.66666666667)</f>
        <v>42395.66667</v>
      </c>
      <c r="B4544" s="1">
        <f>IFERROR(__xludf.DUMMYFUNCTION("""COMPUTED_VALUE"""),3562.81)</f>
        <v>3562.81</v>
      </c>
    </row>
    <row r="4545">
      <c r="A4545" s="2">
        <f>IFERROR(__xludf.DUMMYFUNCTION("""COMPUTED_VALUE"""),42396.66666666667)</f>
        <v>42396.66667</v>
      </c>
      <c r="B4545" s="1">
        <f>IFERROR(__xludf.DUMMYFUNCTION("""COMPUTED_VALUE"""),3524.33)</f>
        <v>3524.33</v>
      </c>
    </row>
    <row r="4546">
      <c r="A4546" s="2">
        <f>IFERROR(__xludf.DUMMYFUNCTION("""COMPUTED_VALUE"""),42397.66666666667)</f>
        <v>42397.66667</v>
      </c>
      <c r="B4546" s="1">
        <f>IFERROR(__xludf.DUMMYFUNCTION("""COMPUTED_VALUE"""),3544.13)</f>
        <v>3544.13</v>
      </c>
    </row>
    <row r="4547">
      <c r="A4547" s="2">
        <f>IFERROR(__xludf.DUMMYFUNCTION("""COMPUTED_VALUE"""),42398.66666666667)</f>
        <v>42398.66667</v>
      </c>
      <c r="B4547" s="1">
        <f>IFERROR(__xludf.DUMMYFUNCTION("""COMPUTED_VALUE"""),3631.96)</f>
        <v>3631.96</v>
      </c>
    </row>
    <row r="4548">
      <c r="A4548" s="2">
        <f>IFERROR(__xludf.DUMMYFUNCTION("""COMPUTED_VALUE"""),42401.66666666667)</f>
        <v>42401.66667</v>
      </c>
      <c r="B4548" s="1">
        <f>IFERROR(__xludf.DUMMYFUNCTION("""COMPUTED_VALUE"""),3630.46)</f>
        <v>3630.46</v>
      </c>
    </row>
    <row r="4549">
      <c r="A4549" s="2">
        <f>IFERROR(__xludf.DUMMYFUNCTION("""COMPUTED_VALUE"""),42402.66666666667)</f>
        <v>42402.66667</v>
      </c>
      <c r="B4549" s="1">
        <f>IFERROR(__xludf.DUMMYFUNCTION("""COMPUTED_VALUE"""),3562.52)</f>
        <v>3562.52</v>
      </c>
    </row>
    <row r="4550">
      <c r="A4550" s="2">
        <f>IFERROR(__xludf.DUMMYFUNCTION("""COMPUTED_VALUE"""),42403.66666666667)</f>
        <v>42403.66667</v>
      </c>
      <c r="B4550" s="1">
        <f>IFERROR(__xludf.DUMMYFUNCTION("""COMPUTED_VALUE"""),3581.53)</f>
        <v>3581.53</v>
      </c>
    </row>
    <row r="4551">
      <c r="A4551" s="2">
        <f>IFERROR(__xludf.DUMMYFUNCTION("""COMPUTED_VALUE"""),42404.66666666667)</f>
        <v>42404.66667</v>
      </c>
      <c r="B4551" s="1">
        <f>IFERROR(__xludf.DUMMYFUNCTION("""COMPUTED_VALUE"""),3587.71)</f>
        <v>3587.71</v>
      </c>
    </row>
    <row r="4552">
      <c r="A4552" s="2">
        <f>IFERROR(__xludf.DUMMYFUNCTION("""COMPUTED_VALUE"""),42405.66666666667)</f>
        <v>42405.66667</v>
      </c>
      <c r="B4552" s="1">
        <f>IFERROR(__xludf.DUMMYFUNCTION("""COMPUTED_VALUE"""),3521.6)</f>
        <v>3521.6</v>
      </c>
    </row>
    <row r="4553">
      <c r="A4553" s="2">
        <f>IFERROR(__xludf.DUMMYFUNCTION("""COMPUTED_VALUE"""),42408.66666666667)</f>
        <v>42408.66667</v>
      </c>
      <c r="B4553" s="1">
        <f>IFERROR(__xludf.DUMMYFUNCTION("""COMPUTED_VALUE"""),3472.08)</f>
        <v>3472.08</v>
      </c>
    </row>
    <row r="4554">
      <c r="A4554" s="2">
        <f>IFERROR(__xludf.DUMMYFUNCTION("""COMPUTED_VALUE"""),42409.66666666667)</f>
        <v>42409.66667</v>
      </c>
      <c r="B4554" s="1">
        <f>IFERROR(__xludf.DUMMYFUNCTION("""COMPUTED_VALUE"""),3470.5)</f>
        <v>3470.5</v>
      </c>
    </row>
    <row r="4555">
      <c r="A4555" s="2">
        <f>IFERROR(__xludf.DUMMYFUNCTION("""COMPUTED_VALUE"""),42410.66666666667)</f>
        <v>42410.66667</v>
      </c>
      <c r="B4555" s="1">
        <f>IFERROR(__xludf.DUMMYFUNCTION("""COMPUTED_VALUE"""),3471.04)</f>
        <v>3471.04</v>
      </c>
    </row>
    <row r="4556">
      <c r="A4556" s="2">
        <f>IFERROR(__xludf.DUMMYFUNCTION("""COMPUTED_VALUE"""),42411.66666666667)</f>
        <v>42411.66667</v>
      </c>
      <c r="B4556" s="1">
        <f>IFERROR(__xludf.DUMMYFUNCTION("""COMPUTED_VALUE"""),3428.99)</f>
        <v>3428.99</v>
      </c>
    </row>
    <row r="4557">
      <c r="A4557" s="2">
        <f>IFERROR(__xludf.DUMMYFUNCTION("""COMPUTED_VALUE"""),42412.66666666667)</f>
        <v>42412.66667</v>
      </c>
      <c r="B4557" s="1">
        <f>IFERROR(__xludf.DUMMYFUNCTION("""COMPUTED_VALUE"""),3496.28)</f>
        <v>3496.28</v>
      </c>
    </row>
    <row r="4558">
      <c r="A4558" s="2">
        <f>IFERROR(__xludf.DUMMYFUNCTION("""COMPUTED_VALUE"""),42416.66666666667)</f>
        <v>42416.66667</v>
      </c>
      <c r="B4558" s="1">
        <f>IFERROR(__xludf.DUMMYFUNCTION("""COMPUTED_VALUE"""),3555.2)</f>
        <v>3555.2</v>
      </c>
    </row>
    <row r="4559">
      <c r="A4559" s="2">
        <f>IFERROR(__xludf.DUMMYFUNCTION("""COMPUTED_VALUE"""),42417.66666666667)</f>
        <v>42417.66667</v>
      </c>
      <c r="B4559" s="1">
        <f>IFERROR(__xludf.DUMMYFUNCTION("""COMPUTED_VALUE"""),3614.16)</f>
        <v>3614.16</v>
      </c>
    </row>
    <row r="4560">
      <c r="A4560" s="2">
        <f>IFERROR(__xludf.DUMMYFUNCTION("""COMPUTED_VALUE"""),42418.66666666667)</f>
        <v>42418.66667</v>
      </c>
      <c r="B4560" s="1">
        <f>IFERROR(__xludf.DUMMYFUNCTION("""COMPUTED_VALUE"""),3597.49)</f>
        <v>3597.49</v>
      </c>
    </row>
    <row r="4561">
      <c r="A4561" s="2">
        <f>IFERROR(__xludf.DUMMYFUNCTION("""COMPUTED_VALUE"""),42419.66666666667)</f>
        <v>42419.66667</v>
      </c>
      <c r="B4561" s="1">
        <f>IFERROR(__xludf.DUMMYFUNCTION("""COMPUTED_VALUE"""),3597.92)</f>
        <v>3597.92</v>
      </c>
    </row>
    <row r="4562">
      <c r="A4562" s="2">
        <f>IFERROR(__xludf.DUMMYFUNCTION("""COMPUTED_VALUE"""),42422.66666666667)</f>
        <v>42422.66667</v>
      </c>
      <c r="B4562" s="1">
        <f>IFERROR(__xludf.DUMMYFUNCTION("""COMPUTED_VALUE"""),3649.92)</f>
        <v>3649.92</v>
      </c>
    </row>
    <row r="4563">
      <c r="A4563" s="2">
        <f>IFERROR(__xludf.DUMMYFUNCTION("""COMPUTED_VALUE"""),42423.66666666667)</f>
        <v>42423.66667</v>
      </c>
      <c r="B4563" s="1">
        <f>IFERROR(__xludf.DUMMYFUNCTION("""COMPUTED_VALUE"""),3604.68)</f>
        <v>3604.68</v>
      </c>
    </row>
    <row r="4564">
      <c r="A4564" s="2">
        <f>IFERROR(__xludf.DUMMYFUNCTION("""COMPUTED_VALUE"""),42424.66666666667)</f>
        <v>42424.66667</v>
      </c>
      <c r="B4564" s="1">
        <f>IFERROR(__xludf.DUMMYFUNCTION("""COMPUTED_VALUE"""),3620.87)</f>
        <v>3620.87</v>
      </c>
    </row>
    <row r="4565">
      <c r="A4565" s="2">
        <f>IFERROR(__xludf.DUMMYFUNCTION("""COMPUTED_VALUE"""),42425.66666666667)</f>
        <v>42425.66667</v>
      </c>
      <c r="B4565" s="1">
        <f>IFERROR(__xludf.DUMMYFUNCTION("""COMPUTED_VALUE"""),3662.84)</f>
        <v>3662.84</v>
      </c>
    </row>
    <row r="4566">
      <c r="A4566" s="2">
        <f>IFERROR(__xludf.DUMMYFUNCTION("""COMPUTED_VALUE"""),42426.66666666667)</f>
        <v>42426.66667</v>
      </c>
      <c r="B4566" s="1">
        <f>IFERROR(__xludf.DUMMYFUNCTION("""COMPUTED_VALUE"""),3656.42)</f>
        <v>3656.42</v>
      </c>
    </row>
    <row r="4567">
      <c r="A4567" s="2">
        <f>IFERROR(__xludf.DUMMYFUNCTION("""COMPUTED_VALUE"""),42429.66666666667)</f>
        <v>42429.66667</v>
      </c>
      <c r="B4567" s="1">
        <f>IFERROR(__xludf.DUMMYFUNCTION("""COMPUTED_VALUE"""),3627.06)</f>
        <v>3627.06</v>
      </c>
    </row>
    <row r="4568">
      <c r="A4568" s="2">
        <f>IFERROR(__xludf.DUMMYFUNCTION("""COMPUTED_VALUE"""),42430.66666666667)</f>
        <v>42430.66667</v>
      </c>
      <c r="B4568" s="1">
        <f>IFERROR(__xludf.DUMMYFUNCTION("""COMPUTED_VALUE"""),3713.7)</f>
        <v>3713.7</v>
      </c>
    </row>
    <row r="4569">
      <c r="A4569" s="2">
        <f>IFERROR(__xludf.DUMMYFUNCTION("""COMPUTED_VALUE"""),42431.66666666667)</f>
        <v>42431.66667</v>
      </c>
      <c r="B4569" s="1">
        <f>IFERROR(__xludf.DUMMYFUNCTION("""COMPUTED_VALUE"""),3729.59)</f>
        <v>3729.59</v>
      </c>
    </row>
    <row r="4570">
      <c r="A4570" s="2">
        <f>IFERROR(__xludf.DUMMYFUNCTION("""COMPUTED_VALUE"""),42432.66666666667)</f>
        <v>42432.66667</v>
      </c>
      <c r="B4570" s="1">
        <f>IFERROR(__xludf.DUMMYFUNCTION("""COMPUTED_VALUE"""),3743.02)</f>
        <v>3743.02</v>
      </c>
    </row>
    <row r="4571">
      <c r="A4571" s="2">
        <f>IFERROR(__xludf.DUMMYFUNCTION("""COMPUTED_VALUE"""),42433.66666666667)</f>
        <v>42433.66667</v>
      </c>
      <c r="B4571" s="1">
        <f>IFERROR(__xludf.DUMMYFUNCTION("""COMPUTED_VALUE"""),3755.47)</f>
        <v>3755.47</v>
      </c>
    </row>
    <row r="4572">
      <c r="A4572" s="2">
        <f>IFERROR(__xludf.DUMMYFUNCTION("""COMPUTED_VALUE"""),42436.66666666667)</f>
        <v>42436.66667</v>
      </c>
      <c r="B4572" s="1">
        <f>IFERROR(__xludf.DUMMYFUNCTION("""COMPUTED_VALUE"""),3759.05)</f>
        <v>3759.05</v>
      </c>
    </row>
    <row r="4573">
      <c r="A4573" s="2">
        <f>IFERROR(__xludf.DUMMYFUNCTION("""COMPUTED_VALUE"""),42437.66666666667)</f>
        <v>42437.66667</v>
      </c>
      <c r="B4573" s="1">
        <f>IFERROR(__xludf.DUMMYFUNCTION("""COMPUTED_VALUE"""),3717.49)</f>
        <v>3717.49</v>
      </c>
    </row>
    <row r="4574">
      <c r="A4574" s="2">
        <f>IFERROR(__xludf.DUMMYFUNCTION("""COMPUTED_VALUE"""),42438.66666666667)</f>
        <v>42438.66667</v>
      </c>
      <c r="B4574" s="1">
        <f>IFERROR(__xludf.DUMMYFUNCTION("""COMPUTED_VALUE"""),3736.92)</f>
        <v>3736.92</v>
      </c>
    </row>
    <row r="4575">
      <c r="A4575" s="2">
        <f>IFERROR(__xludf.DUMMYFUNCTION("""COMPUTED_VALUE"""),42439.66666666667)</f>
        <v>42439.66667</v>
      </c>
      <c r="B4575" s="1">
        <f>IFERROR(__xludf.DUMMYFUNCTION("""COMPUTED_VALUE"""),3737.74)</f>
        <v>3737.74</v>
      </c>
    </row>
    <row r="4576">
      <c r="A4576" s="2">
        <f>IFERROR(__xludf.DUMMYFUNCTION("""COMPUTED_VALUE"""),42440.66666666667)</f>
        <v>42440.66667</v>
      </c>
      <c r="B4576" s="1">
        <f>IFERROR(__xludf.DUMMYFUNCTION("""COMPUTED_VALUE"""),3800.07)</f>
        <v>3800.07</v>
      </c>
    </row>
    <row r="4577">
      <c r="A4577" s="2">
        <f>IFERROR(__xludf.DUMMYFUNCTION("""COMPUTED_VALUE"""),42443.66666666667)</f>
        <v>42443.66667</v>
      </c>
      <c r="B4577" s="1">
        <f>IFERROR(__xludf.DUMMYFUNCTION("""COMPUTED_VALUE"""),3795.53)</f>
        <v>3795.53</v>
      </c>
    </row>
    <row r="4578">
      <c r="A4578" s="2">
        <f>IFERROR(__xludf.DUMMYFUNCTION("""COMPUTED_VALUE"""),42444.66666666667)</f>
        <v>42444.66667</v>
      </c>
      <c r="B4578" s="1">
        <f>IFERROR(__xludf.DUMMYFUNCTION("""COMPUTED_VALUE"""),3788.62)</f>
        <v>3788.62</v>
      </c>
    </row>
    <row r="4579">
      <c r="A4579" s="2">
        <f>IFERROR(__xludf.DUMMYFUNCTION("""COMPUTED_VALUE"""),42445.66666666667)</f>
        <v>42445.66667</v>
      </c>
      <c r="B4579" s="1">
        <f>IFERROR(__xludf.DUMMYFUNCTION("""COMPUTED_VALUE"""),3810.09)</f>
        <v>3810.09</v>
      </c>
    </row>
    <row r="4580">
      <c r="A4580" s="2">
        <f>IFERROR(__xludf.DUMMYFUNCTION("""COMPUTED_VALUE"""),42446.66666666667)</f>
        <v>42446.66667</v>
      </c>
      <c r="B4580" s="1">
        <f>IFERROR(__xludf.DUMMYFUNCTION("""COMPUTED_VALUE"""),3835.26)</f>
        <v>3835.26</v>
      </c>
    </row>
    <row r="4581">
      <c r="A4581" s="2">
        <f>IFERROR(__xludf.DUMMYFUNCTION("""COMPUTED_VALUE"""),42447.66666666667)</f>
        <v>42447.66667</v>
      </c>
      <c r="B4581" s="1">
        <f>IFERROR(__xludf.DUMMYFUNCTION("""COMPUTED_VALUE"""),3852.15)</f>
        <v>3852.15</v>
      </c>
    </row>
    <row r="4582">
      <c r="A4582" s="2">
        <f>IFERROR(__xludf.DUMMYFUNCTION("""COMPUTED_VALUE"""),42450.66666666667)</f>
        <v>42450.66667</v>
      </c>
      <c r="B4582" s="1">
        <f>IFERROR(__xludf.DUMMYFUNCTION("""COMPUTED_VALUE"""),3855.97)</f>
        <v>3855.97</v>
      </c>
    </row>
    <row r="4583">
      <c r="A4583" s="2">
        <f>IFERROR(__xludf.DUMMYFUNCTION("""COMPUTED_VALUE"""),42451.66666666667)</f>
        <v>42451.66667</v>
      </c>
      <c r="B4583" s="1">
        <f>IFERROR(__xludf.DUMMYFUNCTION("""COMPUTED_VALUE"""),3853.18)</f>
        <v>3853.18</v>
      </c>
    </row>
    <row r="4584">
      <c r="A4584" s="2">
        <f>IFERROR(__xludf.DUMMYFUNCTION("""COMPUTED_VALUE"""),42452.66666666667)</f>
        <v>42452.66667</v>
      </c>
      <c r="B4584" s="1">
        <f>IFERROR(__xludf.DUMMYFUNCTION("""COMPUTED_VALUE"""),3828.58)</f>
        <v>3828.58</v>
      </c>
    </row>
    <row r="4585">
      <c r="A4585" s="2">
        <f>IFERROR(__xludf.DUMMYFUNCTION("""COMPUTED_VALUE"""),42453.66666666667)</f>
        <v>42453.66667</v>
      </c>
      <c r="B4585" s="1">
        <f>IFERROR(__xludf.DUMMYFUNCTION("""COMPUTED_VALUE"""),3827.14)</f>
        <v>3827.14</v>
      </c>
    </row>
    <row r="4586">
      <c r="A4586" s="2">
        <f>IFERROR(__xludf.DUMMYFUNCTION("""COMPUTED_VALUE"""),42457.66666666667)</f>
        <v>42457.66667</v>
      </c>
      <c r="B4586" s="1">
        <f>IFERROR(__xludf.DUMMYFUNCTION("""COMPUTED_VALUE"""),3829.26)</f>
        <v>3829.26</v>
      </c>
    </row>
    <row r="4587">
      <c r="A4587" s="2">
        <f>IFERROR(__xludf.DUMMYFUNCTION("""COMPUTED_VALUE"""),42458.66666666667)</f>
        <v>42458.66667</v>
      </c>
      <c r="B4587" s="1">
        <f>IFERROR(__xludf.DUMMYFUNCTION("""COMPUTED_VALUE"""),3863.8)</f>
        <v>3863.8</v>
      </c>
    </row>
    <row r="4588">
      <c r="A4588" s="2">
        <f>IFERROR(__xludf.DUMMYFUNCTION("""COMPUTED_VALUE"""),42459.66666666667)</f>
        <v>42459.66667</v>
      </c>
      <c r="B4588" s="1">
        <f>IFERROR(__xludf.DUMMYFUNCTION("""COMPUTED_VALUE"""),3881.01)</f>
        <v>3881.01</v>
      </c>
    </row>
    <row r="4589">
      <c r="A4589" s="2">
        <f>IFERROR(__xludf.DUMMYFUNCTION("""COMPUTED_VALUE"""),42460.66666666667)</f>
        <v>42460.66667</v>
      </c>
      <c r="B4589" s="1">
        <f>IFERROR(__xludf.DUMMYFUNCTION("""COMPUTED_VALUE"""),3873.11)</f>
        <v>3873.11</v>
      </c>
    </row>
    <row r="4590">
      <c r="A4590" s="2">
        <f>IFERROR(__xludf.DUMMYFUNCTION("""COMPUTED_VALUE"""),42461.66666666667)</f>
        <v>42461.66667</v>
      </c>
      <c r="B4590" s="1">
        <f>IFERROR(__xludf.DUMMYFUNCTION("""COMPUTED_VALUE"""),3897.66)</f>
        <v>3897.66</v>
      </c>
    </row>
    <row r="4591">
      <c r="A4591" s="2">
        <f>IFERROR(__xludf.DUMMYFUNCTION("""COMPUTED_VALUE"""),42464.66666666667)</f>
        <v>42464.66667</v>
      </c>
      <c r="B4591" s="1">
        <f>IFERROR(__xludf.DUMMYFUNCTION("""COMPUTED_VALUE"""),3886.0)</f>
        <v>3886</v>
      </c>
    </row>
    <row r="4592">
      <c r="A4592" s="2">
        <f>IFERROR(__xludf.DUMMYFUNCTION("""COMPUTED_VALUE"""),42465.66666666667)</f>
        <v>42465.66667</v>
      </c>
      <c r="B4592" s="1">
        <f>IFERROR(__xludf.DUMMYFUNCTION("""COMPUTED_VALUE"""),3846.59)</f>
        <v>3846.59</v>
      </c>
    </row>
    <row r="4593">
      <c r="A4593" s="2">
        <f>IFERROR(__xludf.DUMMYFUNCTION("""COMPUTED_VALUE"""),42466.66666666667)</f>
        <v>42466.66667</v>
      </c>
      <c r="B4593" s="1">
        <f>IFERROR(__xludf.DUMMYFUNCTION("""COMPUTED_VALUE"""),3888.41)</f>
        <v>3888.41</v>
      </c>
    </row>
    <row r="4594">
      <c r="A4594" s="2">
        <f>IFERROR(__xludf.DUMMYFUNCTION("""COMPUTED_VALUE"""),42467.66666666667)</f>
        <v>42467.66667</v>
      </c>
      <c r="B4594" s="1">
        <f>IFERROR(__xludf.DUMMYFUNCTION("""COMPUTED_VALUE"""),3841.98)</f>
        <v>3841.98</v>
      </c>
    </row>
    <row r="4595">
      <c r="A4595" s="2">
        <f>IFERROR(__xludf.DUMMYFUNCTION("""COMPUTED_VALUE"""),42468.66666666667)</f>
        <v>42468.66667</v>
      </c>
      <c r="B4595" s="1">
        <f>IFERROR(__xludf.DUMMYFUNCTION("""COMPUTED_VALUE"""),3852.72)</f>
        <v>3852.72</v>
      </c>
    </row>
    <row r="4596">
      <c r="A4596" s="2">
        <f>IFERROR(__xludf.DUMMYFUNCTION("""COMPUTED_VALUE"""),42471.66666666667)</f>
        <v>42471.66667</v>
      </c>
      <c r="B4596" s="1">
        <f>IFERROR(__xludf.DUMMYFUNCTION("""COMPUTED_VALUE"""),3842.17)</f>
        <v>3842.17</v>
      </c>
    </row>
    <row r="4597">
      <c r="A4597" s="2">
        <f>IFERROR(__xludf.DUMMYFUNCTION("""COMPUTED_VALUE"""),42472.66666666667)</f>
        <v>42472.66667</v>
      </c>
      <c r="B4597" s="1">
        <f>IFERROR(__xludf.DUMMYFUNCTION("""COMPUTED_VALUE"""),3879.42)</f>
        <v>3879.42</v>
      </c>
    </row>
    <row r="4598">
      <c r="A4598" s="2">
        <f>IFERROR(__xludf.DUMMYFUNCTION("""COMPUTED_VALUE"""),42473.66666666667)</f>
        <v>42473.66667</v>
      </c>
      <c r="B4598" s="1">
        <f>IFERROR(__xludf.DUMMYFUNCTION("""COMPUTED_VALUE"""),3918.95)</f>
        <v>3918.95</v>
      </c>
    </row>
    <row r="4599">
      <c r="A4599" s="2">
        <f>IFERROR(__xludf.DUMMYFUNCTION("""COMPUTED_VALUE"""),42474.66666666667)</f>
        <v>42474.66667</v>
      </c>
      <c r="B4599" s="1">
        <f>IFERROR(__xludf.DUMMYFUNCTION("""COMPUTED_VALUE"""),3920.03)</f>
        <v>3920.03</v>
      </c>
    </row>
    <row r="4600">
      <c r="A4600" s="2">
        <f>IFERROR(__xludf.DUMMYFUNCTION("""COMPUTED_VALUE"""),42475.66666666667)</f>
        <v>42475.66667</v>
      </c>
      <c r="B4600" s="1">
        <f>IFERROR(__xludf.DUMMYFUNCTION("""COMPUTED_VALUE"""),3916.17)</f>
        <v>3916.17</v>
      </c>
    </row>
    <row r="4601">
      <c r="A4601" s="2">
        <f>IFERROR(__xludf.DUMMYFUNCTION("""COMPUTED_VALUE"""),42478.66666666667)</f>
        <v>42478.66667</v>
      </c>
      <c r="B4601" s="1">
        <f>IFERROR(__xludf.DUMMYFUNCTION("""COMPUTED_VALUE"""),3941.86)</f>
        <v>3941.86</v>
      </c>
    </row>
    <row r="4602">
      <c r="A4602" s="2">
        <f>IFERROR(__xludf.DUMMYFUNCTION("""COMPUTED_VALUE"""),42479.66666666667)</f>
        <v>42479.66667</v>
      </c>
      <c r="B4602" s="1">
        <f>IFERROR(__xludf.DUMMYFUNCTION("""COMPUTED_VALUE"""),3954.01)</f>
        <v>3954.01</v>
      </c>
    </row>
    <row r="4603">
      <c r="A4603" s="2">
        <f>IFERROR(__xludf.DUMMYFUNCTION("""COMPUTED_VALUE"""),42480.66666666667)</f>
        <v>42480.66667</v>
      </c>
      <c r="B4603" s="1">
        <f>IFERROR(__xludf.DUMMYFUNCTION("""COMPUTED_VALUE"""),3957.25)</f>
        <v>3957.25</v>
      </c>
    </row>
    <row r="4604">
      <c r="A4604" s="2">
        <f>IFERROR(__xludf.DUMMYFUNCTION("""COMPUTED_VALUE"""),42481.66666666667)</f>
        <v>42481.66667</v>
      </c>
      <c r="B4604" s="1">
        <f>IFERROR(__xludf.DUMMYFUNCTION("""COMPUTED_VALUE"""),3936.8)</f>
        <v>3936.8</v>
      </c>
    </row>
    <row r="4605">
      <c r="A4605" s="2">
        <f>IFERROR(__xludf.DUMMYFUNCTION("""COMPUTED_VALUE"""),42482.66666666667)</f>
        <v>42482.66667</v>
      </c>
      <c r="B4605" s="1">
        <f>IFERROR(__xludf.DUMMYFUNCTION("""COMPUTED_VALUE"""),3937.0)</f>
        <v>3937</v>
      </c>
    </row>
    <row r="4606">
      <c r="A4606" s="2">
        <f>IFERROR(__xludf.DUMMYFUNCTION("""COMPUTED_VALUE"""),42485.66666666667)</f>
        <v>42485.66667</v>
      </c>
      <c r="B4606" s="1">
        <f>IFERROR(__xludf.DUMMYFUNCTION("""COMPUTED_VALUE"""),3929.88)</f>
        <v>3929.88</v>
      </c>
    </row>
    <row r="4607">
      <c r="A4607" s="2">
        <f>IFERROR(__xludf.DUMMYFUNCTION("""COMPUTED_VALUE"""),42486.66666666667)</f>
        <v>42486.66667</v>
      </c>
      <c r="B4607" s="1">
        <f>IFERROR(__xludf.DUMMYFUNCTION("""COMPUTED_VALUE"""),3937.23)</f>
        <v>3937.23</v>
      </c>
    </row>
    <row r="4608">
      <c r="A4608" s="2">
        <f>IFERROR(__xludf.DUMMYFUNCTION("""COMPUTED_VALUE"""),42487.66666666667)</f>
        <v>42487.66667</v>
      </c>
      <c r="B4608" s="1">
        <f>IFERROR(__xludf.DUMMYFUNCTION("""COMPUTED_VALUE"""),3944.02)</f>
        <v>3944.02</v>
      </c>
    </row>
    <row r="4609">
      <c r="A4609" s="2">
        <f>IFERROR(__xludf.DUMMYFUNCTION("""COMPUTED_VALUE"""),42488.66666666667)</f>
        <v>42488.66667</v>
      </c>
      <c r="B4609" s="1">
        <f>IFERROR(__xludf.DUMMYFUNCTION("""COMPUTED_VALUE"""),3907.88)</f>
        <v>3907.88</v>
      </c>
    </row>
    <row r="4610">
      <c r="A4610" s="2">
        <f>IFERROR(__xludf.DUMMYFUNCTION("""COMPUTED_VALUE"""),42489.66666666667)</f>
        <v>42489.66667</v>
      </c>
      <c r="B4610" s="1">
        <f>IFERROR(__xludf.DUMMYFUNCTION("""COMPUTED_VALUE"""),3888.13)</f>
        <v>3888.13</v>
      </c>
    </row>
    <row r="4611">
      <c r="A4611" s="2">
        <f>IFERROR(__xludf.DUMMYFUNCTION("""COMPUTED_VALUE"""),42492.66666666667)</f>
        <v>42492.66667</v>
      </c>
      <c r="B4611" s="1">
        <f>IFERROR(__xludf.DUMMYFUNCTION("""COMPUTED_VALUE"""),3918.53)</f>
        <v>3918.53</v>
      </c>
    </row>
    <row r="4612">
      <c r="A4612" s="2">
        <f>IFERROR(__xludf.DUMMYFUNCTION("""COMPUTED_VALUE"""),42493.66666666667)</f>
        <v>42493.66667</v>
      </c>
      <c r="B4612" s="1">
        <f>IFERROR(__xludf.DUMMYFUNCTION("""COMPUTED_VALUE"""),3884.63)</f>
        <v>3884.63</v>
      </c>
    </row>
    <row r="4613">
      <c r="A4613" s="2">
        <f>IFERROR(__xludf.DUMMYFUNCTION("""COMPUTED_VALUE"""),42494.66666666667)</f>
        <v>42494.66667</v>
      </c>
      <c r="B4613" s="1">
        <f>IFERROR(__xludf.DUMMYFUNCTION("""COMPUTED_VALUE"""),3862.4)</f>
        <v>3862.4</v>
      </c>
    </row>
    <row r="4614">
      <c r="A4614" s="2">
        <f>IFERROR(__xludf.DUMMYFUNCTION("""COMPUTED_VALUE"""),42495.66666666667)</f>
        <v>42495.66667</v>
      </c>
      <c r="B4614" s="1">
        <f>IFERROR(__xludf.DUMMYFUNCTION("""COMPUTED_VALUE"""),3862.4)</f>
        <v>3862.4</v>
      </c>
    </row>
    <row r="4615">
      <c r="A4615" s="2">
        <f>IFERROR(__xludf.DUMMYFUNCTION("""COMPUTED_VALUE"""),42496.66666666667)</f>
        <v>42496.66667</v>
      </c>
      <c r="B4615" s="1">
        <f>IFERROR(__xludf.DUMMYFUNCTION("""COMPUTED_VALUE"""),3875.18)</f>
        <v>3875.18</v>
      </c>
    </row>
    <row r="4616">
      <c r="A4616" s="2">
        <f>IFERROR(__xludf.DUMMYFUNCTION("""COMPUTED_VALUE"""),42499.66666666667)</f>
        <v>42499.66667</v>
      </c>
      <c r="B4616" s="1">
        <f>IFERROR(__xludf.DUMMYFUNCTION("""COMPUTED_VALUE"""),3878.14)</f>
        <v>3878.14</v>
      </c>
    </row>
    <row r="4617">
      <c r="A4617" s="2">
        <f>IFERROR(__xludf.DUMMYFUNCTION("""COMPUTED_VALUE"""),42500.66666666667)</f>
        <v>42500.66667</v>
      </c>
      <c r="B4617" s="1">
        <f>IFERROR(__xludf.DUMMYFUNCTION("""COMPUTED_VALUE"""),3926.63)</f>
        <v>3926.63</v>
      </c>
    </row>
    <row r="4618">
      <c r="A4618" s="2">
        <f>IFERROR(__xludf.DUMMYFUNCTION("""COMPUTED_VALUE"""),42501.66666666667)</f>
        <v>42501.66667</v>
      </c>
      <c r="B4618" s="1">
        <f>IFERROR(__xludf.DUMMYFUNCTION("""COMPUTED_VALUE"""),3891.13)</f>
        <v>3891.13</v>
      </c>
    </row>
    <row r="4619">
      <c r="A4619" s="2">
        <f>IFERROR(__xludf.DUMMYFUNCTION("""COMPUTED_VALUE"""),42502.66666666667)</f>
        <v>42502.66667</v>
      </c>
      <c r="B4619" s="1">
        <f>IFERROR(__xludf.DUMMYFUNCTION("""COMPUTED_VALUE"""),3890.85)</f>
        <v>3890.85</v>
      </c>
    </row>
    <row r="4620">
      <c r="A4620" s="2">
        <f>IFERROR(__xludf.DUMMYFUNCTION("""COMPUTED_VALUE"""),42503.66666666667)</f>
        <v>42503.66667</v>
      </c>
      <c r="B4620" s="1">
        <f>IFERROR(__xludf.DUMMYFUNCTION("""COMPUTED_VALUE"""),3858.17)</f>
        <v>3858.17</v>
      </c>
    </row>
    <row r="4621">
      <c r="A4621" s="2">
        <f>IFERROR(__xludf.DUMMYFUNCTION("""COMPUTED_VALUE"""),42506.66666666667)</f>
        <v>42506.66667</v>
      </c>
      <c r="B4621" s="1">
        <f>IFERROR(__xludf.DUMMYFUNCTION("""COMPUTED_VALUE"""),3896.36)</f>
        <v>3896.36</v>
      </c>
    </row>
    <row r="4622">
      <c r="A4622" s="2">
        <f>IFERROR(__xludf.DUMMYFUNCTION("""COMPUTED_VALUE"""),42507.66666666667)</f>
        <v>42507.66667</v>
      </c>
      <c r="B4622" s="1">
        <f>IFERROR(__xludf.DUMMYFUNCTION("""COMPUTED_VALUE"""),3860.88)</f>
        <v>3860.88</v>
      </c>
    </row>
    <row r="4623">
      <c r="A4623" s="2">
        <f>IFERROR(__xludf.DUMMYFUNCTION("""COMPUTED_VALUE"""),42508.66666666667)</f>
        <v>42508.66667</v>
      </c>
      <c r="B4623" s="1">
        <f>IFERROR(__xludf.DUMMYFUNCTION("""COMPUTED_VALUE"""),3862.25)</f>
        <v>3862.25</v>
      </c>
    </row>
    <row r="4624">
      <c r="A4624" s="2">
        <f>IFERROR(__xludf.DUMMYFUNCTION("""COMPUTED_VALUE"""),42509.66666666667)</f>
        <v>42509.66667</v>
      </c>
      <c r="B4624" s="1">
        <f>IFERROR(__xludf.DUMMYFUNCTION("""COMPUTED_VALUE"""),3847.97)</f>
        <v>3847.97</v>
      </c>
    </row>
    <row r="4625">
      <c r="A4625" s="2">
        <f>IFERROR(__xludf.DUMMYFUNCTION("""COMPUTED_VALUE"""),42510.66666666667)</f>
        <v>42510.66667</v>
      </c>
      <c r="B4625" s="1">
        <f>IFERROR(__xludf.DUMMYFUNCTION("""COMPUTED_VALUE"""),3871.75)</f>
        <v>3871.75</v>
      </c>
    </row>
    <row r="4626">
      <c r="A4626" s="2">
        <f>IFERROR(__xludf.DUMMYFUNCTION("""COMPUTED_VALUE"""),42513.66666666667)</f>
        <v>42513.66667</v>
      </c>
      <c r="B4626" s="1">
        <f>IFERROR(__xludf.DUMMYFUNCTION("""COMPUTED_VALUE"""),3863.82)</f>
        <v>3863.82</v>
      </c>
    </row>
    <row r="4627">
      <c r="A4627" s="2">
        <f>IFERROR(__xludf.DUMMYFUNCTION("""COMPUTED_VALUE"""),42514.66666666667)</f>
        <v>42514.66667</v>
      </c>
      <c r="B4627" s="1">
        <f>IFERROR(__xludf.DUMMYFUNCTION("""COMPUTED_VALUE"""),3916.77)</f>
        <v>3916.77</v>
      </c>
    </row>
    <row r="4628">
      <c r="A4628" s="2">
        <f>IFERROR(__xludf.DUMMYFUNCTION("""COMPUTED_VALUE"""),42515.66666666667)</f>
        <v>42515.66667</v>
      </c>
      <c r="B4628" s="1">
        <f>IFERROR(__xludf.DUMMYFUNCTION("""COMPUTED_VALUE"""),3944.33)</f>
        <v>3944.33</v>
      </c>
    </row>
    <row r="4629">
      <c r="A4629" s="2">
        <f>IFERROR(__xludf.DUMMYFUNCTION("""COMPUTED_VALUE"""),42516.66666666667)</f>
        <v>42516.66667</v>
      </c>
      <c r="B4629" s="1">
        <f>IFERROR(__xludf.DUMMYFUNCTION("""COMPUTED_VALUE"""),3944.05)</f>
        <v>3944.05</v>
      </c>
    </row>
    <row r="4630">
      <c r="A4630" s="2">
        <f>IFERROR(__xludf.DUMMYFUNCTION("""COMPUTED_VALUE"""),42517.66666666667)</f>
        <v>42517.66667</v>
      </c>
      <c r="B4630" s="1">
        <f>IFERROR(__xludf.DUMMYFUNCTION("""COMPUTED_VALUE"""),3961.67)</f>
        <v>3961.67</v>
      </c>
    </row>
    <row r="4631">
      <c r="A4631" s="2">
        <f>IFERROR(__xludf.DUMMYFUNCTION("""COMPUTED_VALUE"""),42521.66666666667)</f>
        <v>42521.66667</v>
      </c>
      <c r="B4631" s="1">
        <f>IFERROR(__xludf.DUMMYFUNCTION("""COMPUTED_VALUE"""),3957.95)</f>
        <v>3957.95</v>
      </c>
    </row>
    <row r="4632">
      <c r="A4632" s="2">
        <f>IFERROR(__xludf.DUMMYFUNCTION("""COMPUTED_VALUE"""),42522.66666666667)</f>
        <v>42522.66667</v>
      </c>
      <c r="B4632" s="1">
        <f>IFERROR(__xludf.DUMMYFUNCTION("""COMPUTED_VALUE"""),3963.1)</f>
        <v>3963.1</v>
      </c>
    </row>
    <row r="4633">
      <c r="A4633" s="2">
        <f>IFERROR(__xludf.DUMMYFUNCTION("""COMPUTED_VALUE"""),42523.66666666667)</f>
        <v>42523.66667</v>
      </c>
      <c r="B4633" s="1">
        <f>IFERROR(__xludf.DUMMYFUNCTION("""COMPUTED_VALUE"""),3974.76)</f>
        <v>3974.76</v>
      </c>
    </row>
    <row r="4634">
      <c r="A4634" s="2">
        <f>IFERROR(__xludf.DUMMYFUNCTION("""COMPUTED_VALUE"""),42524.66666666667)</f>
        <v>42524.66667</v>
      </c>
      <c r="B4634" s="1">
        <f>IFERROR(__xludf.DUMMYFUNCTION("""COMPUTED_VALUE"""),3963.23)</f>
        <v>3963.23</v>
      </c>
    </row>
    <row r="4635">
      <c r="A4635" s="2">
        <f>IFERROR(__xludf.DUMMYFUNCTION("""COMPUTED_VALUE"""),42527.66666666667)</f>
        <v>42527.66667</v>
      </c>
      <c r="B4635" s="1">
        <f>IFERROR(__xludf.DUMMYFUNCTION("""COMPUTED_VALUE"""),3982.74)</f>
        <v>3982.74</v>
      </c>
    </row>
    <row r="4636">
      <c r="A4636" s="2">
        <f>IFERROR(__xludf.DUMMYFUNCTION("""COMPUTED_VALUE"""),42528.66666666667)</f>
        <v>42528.66667</v>
      </c>
      <c r="B4636" s="1">
        <f>IFERROR(__xludf.DUMMYFUNCTION("""COMPUTED_VALUE"""),3987.96)</f>
        <v>3987.96</v>
      </c>
    </row>
    <row r="4637">
      <c r="A4637" s="2">
        <f>IFERROR(__xludf.DUMMYFUNCTION("""COMPUTED_VALUE"""),42529.66666666667)</f>
        <v>42529.66667</v>
      </c>
      <c r="B4637" s="1">
        <f>IFERROR(__xludf.DUMMYFUNCTION("""COMPUTED_VALUE"""),4001.98)</f>
        <v>4001.98</v>
      </c>
    </row>
    <row r="4638">
      <c r="A4638" s="2">
        <f>IFERROR(__xludf.DUMMYFUNCTION("""COMPUTED_VALUE"""),42530.66666666667)</f>
        <v>42530.66667</v>
      </c>
      <c r="B4638" s="1">
        <f>IFERROR(__xludf.DUMMYFUNCTION("""COMPUTED_VALUE"""),3995.28)</f>
        <v>3995.28</v>
      </c>
    </row>
    <row r="4639">
      <c r="A4639" s="2">
        <f>IFERROR(__xludf.DUMMYFUNCTION("""COMPUTED_VALUE"""),42531.66666666667)</f>
        <v>42531.66667</v>
      </c>
      <c r="B4639" s="1">
        <f>IFERROR(__xludf.DUMMYFUNCTION("""COMPUTED_VALUE"""),3958.68)</f>
        <v>3958.68</v>
      </c>
    </row>
    <row r="4640">
      <c r="A4640" s="2">
        <f>IFERROR(__xludf.DUMMYFUNCTION("""COMPUTED_VALUE"""),42534.66666666667)</f>
        <v>42534.66667</v>
      </c>
      <c r="B4640" s="1">
        <f>IFERROR(__xludf.DUMMYFUNCTION("""COMPUTED_VALUE"""),3927.73)</f>
        <v>3927.73</v>
      </c>
    </row>
    <row r="4641">
      <c r="A4641" s="2">
        <f>IFERROR(__xludf.DUMMYFUNCTION("""COMPUTED_VALUE"""),42535.66666666667)</f>
        <v>42535.66667</v>
      </c>
      <c r="B4641" s="1">
        <f>IFERROR(__xludf.DUMMYFUNCTION("""COMPUTED_VALUE"""),3920.93)</f>
        <v>3920.93</v>
      </c>
    </row>
    <row r="4642">
      <c r="A4642" s="2">
        <f>IFERROR(__xludf.DUMMYFUNCTION("""COMPUTED_VALUE"""),42536.66666666667)</f>
        <v>42536.66667</v>
      </c>
      <c r="B4642" s="1">
        <f>IFERROR(__xludf.DUMMYFUNCTION("""COMPUTED_VALUE"""),3914.02)</f>
        <v>3914.02</v>
      </c>
    </row>
    <row r="4643">
      <c r="A4643" s="2">
        <f>IFERROR(__xludf.DUMMYFUNCTION("""COMPUTED_VALUE"""),42537.66666666667)</f>
        <v>42537.66667</v>
      </c>
      <c r="B4643" s="1">
        <f>IFERROR(__xludf.DUMMYFUNCTION("""COMPUTED_VALUE"""),3926.93)</f>
        <v>3926.93</v>
      </c>
    </row>
    <row r="4644">
      <c r="A4644" s="2">
        <f>IFERROR(__xludf.DUMMYFUNCTION("""COMPUTED_VALUE"""),42538.66666666667)</f>
        <v>42538.66667</v>
      </c>
      <c r="B4644" s="1">
        <f>IFERROR(__xludf.DUMMYFUNCTION("""COMPUTED_VALUE"""),3914.15)</f>
        <v>3914.15</v>
      </c>
    </row>
    <row r="4645">
      <c r="A4645" s="2">
        <f>IFERROR(__xludf.DUMMYFUNCTION("""COMPUTED_VALUE"""),42541.66666666667)</f>
        <v>42541.66667</v>
      </c>
      <c r="B4645" s="1">
        <f>IFERROR(__xludf.DUMMYFUNCTION("""COMPUTED_VALUE"""),3936.91)</f>
        <v>3936.91</v>
      </c>
    </row>
    <row r="4646">
      <c r="A4646" s="2">
        <f>IFERROR(__xludf.DUMMYFUNCTION("""COMPUTED_VALUE"""),42542.66666666667)</f>
        <v>42542.66667</v>
      </c>
      <c r="B4646" s="1">
        <f>IFERROR(__xludf.DUMMYFUNCTION("""COMPUTED_VALUE"""),3947.94)</f>
        <v>3947.94</v>
      </c>
    </row>
    <row r="4647">
      <c r="A4647" s="2">
        <f>IFERROR(__xludf.DUMMYFUNCTION("""COMPUTED_VALUE"""),42543.66666666667)</f>
        <v>42543.66667</v>
      </c>
      <c r="B4647" s="1">
        <f>IFERROR(__xludf.DUMMYFUNCTION("""COMPUTED_VALUE"""),3941.45)</f>
        <v>3941.45</v>
      </c>
    </row>
    <row r="4648">
      <c r="A4648" s="2">
        <f>IFERROR(__xludf.DUMMYFUNCTION("""COMPUTED_VALUE"""),42544.66666666667)</f>
        <v>42544.66667</v>
      </c>
      <c r="B4648" s="1">
        <f>IFERROR(__xludf.DUMMYFUNCTION("""COMPUTED_VALUE"""),3994.18)</f>
        <v>3994.18</v>
      </c>
    </row>
    <row r="4649">
      <c r="A4649" s="2">
        <f>IFERROR(__xludf.DUMMYFUNCTION("""COMPUTED_VALUE"""),42545.66666666667)</f>
        <v>42545.66667</v>
      </c>
      <c r="B4649" s="1">
        <f>IFERROR(__xludf.DUMMYFUNCTION("""COMPUTED_VALUE"""),3850.7)</f>
        <v>3850.7</v>
      </c>
    </row>
    <row r="4650">
      <c r="A4650" s="2">
        <f>IFERROR(__xludf.DUMMYFUNCTION("""COMPUTED_VALUE"""),42548.66666666667)</f>
        <v>42548.66667</v>
      </c>
      <c r="B4650" s="1">
        <f>IFERROR(__xludf.DUMMYFUNCTION("""COMPUTED_VALUE"""),3781.02)</f>
        <v>3781.02</v>
      </c>
    </row>
    <row r="4651">
      <c r="A4651" s="2">
        <f>IFERROR(__xludf.DUMMYFUNCTION("""COMPUTED_VALUE"""),42549.66666666667)</f>
        <v>42549.66667</v>
      </c>
      <c r="B4651" s="1">
        <f>IFERROR(__xludf.DUMMYFUNCTION("""COMPUTED_VALUE"""),3849.05)</f>
        <v>3849.05</v>
      </c>
    </row>
    <row r="4652">
      <c r="A4652" s="2">
        <f>IFERROR(__xludf.DUMMYFUNCTION("""COMPUTED_VALUE"""),42550.66666666667)</f>
        <v>42550.66667</v>
      </c>
      <c r="B4652" s="1">
        <f>IFERROR(__xludf.DUMMYFUNCTION("""COMPUTED_VALUE"""),3915.1)</f>
        <v>3915.1</v>
      </c>
    </row>
    <row r="4653">
      <c r="A4653" s="2">
        <f>IFERROR(__xludf.DUMMYFUNCTION("""COMPUTED_VALUE"""),42551.66666666667)</f>
        <v>42551.66667</v>
      </c>
      <c r="B4653" s="1">
        <f>IFERROR(__xludf.DUMMYFUNCTION("""COMPUTED_VALUE"""),3968.21)</f>
        <v>3968.21</v>
      </c>
    </row>
    <row r="4654">
      <c r="A4654" s="2">
        <f>IFERROR(__xludf.DUMMYFUNCTION("""COMPUTED_VALUE"""),42552.66666666667)</f>
        <v>42552.66667</v>
      </c>
      <c r="B4654" s="1">
        <f>IFERROR(__xludf.DUMMYFUNCTION("""COMPUTED_VALUE"""),3976.68)</f>
        <v>3976.68</v>
      </c>
    </row>
    <row r="4655">
      <c r="A4655" s="2">
        <f>IFERROR(__xludf.DUMMYFUNCTION("""COMPUTED_VALUE"""),42556.66666666667)</f>
        <v>42556.66667</v>
      </c>
      <c r="B4655" s="1">
        <f>IFERROR(__xludf.DUMMYFUNCTION("""COMPUTED_VALUE"""),3949.72)</f>
        <v>3949.72</v>
      </c>
    </row>
    <row r="4656">
      <c r="A4656" s="2">
        <f>IFERROR(__xludf.DUMMYFUNCTION("""COMPUTED_VALUE"""),42557.66666666667)</f>
        <v>42557.66667</v>
      </c>
      <c r="B4656" s="1">
        <f>IFERROR(__xludf.DUMMYFUNCTION("""COMPUTED_VALUE"""),3972.26)</f>
        <v>3972.26</v>
      </c>
    </row>
    <row r="4657">
      <c r="A4657" s="2">
        <f>IFERROR(__xludf.DUMMYFUNCTION("""COMPUTED_VALUE"""),42558.66666666667)</f>
        <v>42558.66667</v>
      </c>
      <c r="B4657" s="1">
        <f>IFERROR(__xludf.DUMMYFUNCTION("""COMPUTED_VALUE"""),3969.19)</f>
        <v>3969.19</v>
      </c>
    </row>
    <row r="4658">
      <c r="A4658" s="2">
        <f>IFERROR(__xludf.DUMMYFUNCTION("""COMPUTED_VALUE"""),42559.66666666667)</f>
        <v>42559.66667</v>
      </c>
      <c r="B4658" s="1">
        <f>IFERROR(__xludf.DUMMYFUNCTION("""COMPUTED_VALUE"""),4029.75)</f>
        <v>4029.75</v>
      </c>
    </row>
    <row r="4659">
      <c r="A4659" s="2">
        <f>IFERROR(__xludf.DUMMYFUNCTION("""COMPUTED_VALUE"""),42562.66666666667)</f>
        <v>42562.66667</v>
      </c>
      <c r="B4659" s="1">
        <f>IFERROR(__xludf.DUMMYFUNCTION("""COMPUTED_VALUE"""),4043.49)</f>
        <v>4043.49</v>
      </c>
    </row>
    <row r="4660">
      <c r="A4660" s="2">
        <f>IFERROR(__xludf.DUMMYFUNCTION("""COMPUTED_VALUE"""),42563.66666666667)</f>
        <v>42563.66667</v>
      </c>
      <c r="B4660" s="1">
        <f>IFERROR(__xludf.DUMMYFUNCTION("""COMPUTED_VALUE"""),4071.85)</f>
        <v>4071.85</v>
      </c>
    </row>
    <row r="4661">
      <c r="A4661" s="2">
        <f>IFERROR(__xludf.DUMMYFUNCTION("""COMPUTED_VALUE"""),42564.66666666667)</f>
        <v>42564.66667</v>
      </c>
      <c r="B4661" s="1">
        <f>IFERROR(__xludf.DUMMYFUNCTION("""COMPUTED_VALUE"""),4072.77)</f>
        <v>4072.77</v>
      </c>
    </row>
    <row r="4662">
      <c r="A4662" s="2">
        <f>IFERROR(__xludf.DUMMYFUNCTION("""COMPUTED_VALUE"""),42565.66666666667)</f>
        <v>42565.66667</v>
      </c>
      <c r="B4662" s="1">
        <f>IFERROR(__xludf.DUMMYFUNCTION("""COMPUTED_VALUE"""),4094.28)</f>
        <v>4094.28</v>
      </c>
    </row>
    <row r="4663">
      <c r="A4663" s="2">
        <f>IFERROR(__xludf.DUMMYFUNCTION("""COMPUTED_VALUE"""),42566.66666666667)</f>
        <v>42566.66667</v>
      </c>
      <c r="B4663" s="1">
        <f>IFERROR(__xludf.DUMMYFUNCTION("""COMPUTED_VALUE"""),4090.49)</f>
        <v>4090.49</v>
      </c>
    </row>
    <row r="4664">
      <c r="A4664" s="2">
        <f>IFERROR(__xludf.DUMMYFUNCTION("""COMPUTED_VALUE"""),42569.66666666667)</f>
        <v>42569.66667</v>
      </c>
      <c r="B4664" s="1">
        <f>IFERROR(__xludf.DUMMYFUNCTION("""COMPUTED_VALUE"""),4100.4)</f>
        <v>4100.4</v>
      </c>
    </row>
    <row r="4665">
      <c r="A4665" s="2">
        <f>IFERROR(__xludf.DUMMYFUNCTION("""COMPUTED_VALUE"""),42570.66666666667)</f>
        <v>42570.66667</v>
      </c>
      <c r="B4665" s="1">
        <f>IFERROR(__xludf.DUMMYFUNCTION("""COMPUTED_VALUE"""),4094.61)</f>
        <v>4094.61</v>
      </c>
    </row>
    <row r="4666">
      <c r="A4666" s="2">
        <f>IFERROR(__xludf.DUMMYFUNCTION("""COMPUTED_VALUE"""),42571.66666666667)</f>
        <v>42571.66667</v>
      </c>
      <c r="B4666" s="1">
        <f>IFERROR(__xludf.DUMMYFUNCTION("""COMPUTED_VALUE"""),4112.61)</f>
        <v>4112.61</v>
      </c>
    </row>
    <row r="4667">
      <c r="A4667" s="2">
        <f>IFERROR(__xludf.DUMMYFUNCTION("""COMPUTED_VALUE"""),42572.66666666667)</f>
        <v>42572.66667</v>
      </c>
      <c r="B4667" s="1">
        <f>IFERROR(__xludf.DUMMYFUNCTION("""COMPUTED_VALUE"""),4097.82)</f>
        <v>4097.82</v>
      </c>
    </row>
    <row r="4668">
      <c r="A4668" s="2">
        <f>IFERROR(__xludf.DUMMYFUNCTION("""COMPUTED_VALUE"""),42573.66666666667)</f>
        <v>42573.66667</v>
      </c>
      <c r="B4668" s="1">
        <f>IFERROR(__xludf.DUMMYFUNCTION("""COMPUTED_VALUE"""),4116.5)</f>
        <v>4116.5</v>
      </c>
    </row>
    <row r="4669">
      <c r="A4669" s="2">
        <f>IFERROR(__xludf.DUMMYFUNCTION("""COMPUTED_VALUE"""),42576.66666666667)</f>
        <v>42576.66667</v>
      </c>
      <c r="B4669" s="1">
        <f>IFERROR(__xludf.DUMMYFUNCTION("""COMPUTED_VALUE"""),4104.13)</f>
        <v>4104.13</v>
      </c>
    </row>
    <row r="4670">
      <c r="A4670" s="2">
        <f>IFERROR(__xludf.DUMMYFUNCTION("""COMPUTED_VALUE"""),42577.66666666667)</f>
        <v>42577.66667</v>
      </c>
      <c r="B4670" s="1">
        <f>IFERROR(__xludf.DUMMYFUNCTION("""COMPUTED_VALUE"""),4105.57)</f>
        <v>4105.57</v>
      </c>
    </row>
    <row r="4671">
      <c r="A4671" s="2">
        <f>IFERROR(__xludf.DUMMYFUNCTION("""COMPUTED_VALUE"""),42578.66666666667)</f>
        <v>42578.66667</v>
      </c>
      <c r="B4671" s="1">
        <f>IFERROR(__xludf.DUMMYFUNCTION("""COMPUTED_VALUE"""),4100.81)</f>
        <v>4100.81</v>
      </c>
    </row>
    <row r="4672">
      <c r="A4672" s="2">
        <f>IFERROR(__xludf.DUMMYFUNCTION("""COMPUTED_VALUE"""),42579.66666666667)</f>
        <v>42579.66667</v>
      </c>
      <c r="B4672" s="1">
        <f>IFERROR(__xludf.DUMMYFUNCTION("""COMPUTED_VALUE"""),4107.75)</f>
        <v>4107.75</v>
      </c>
    </row>
    <row r="4673">
      <c r="A4673" s="2">
        <f>IFERROR(__xludf.DUMMYFUNCTION("""COMPUTED_VALUE"""),42580.66666666667)</f>
        <v>42580.66667</v>
      </c>
      <c r="B4673" s="1">
        <f>IFERROR(__xludf.DUMMYFUNCTION("""COMPUTED_VALUE"""),4114.51)</f>
        <v>4114.51</v>
      </c>
    </row>
    <row r="4674">
      <c r="A4674" s="2">
        <f>IFERROR(__xludf.DUMMYFUNCTION("""COMPUTED_VALUE"""),42583.66666666667)</f>
        <v>42583.66667</v>
      </c>
      <c r="B4674" s="1">
        <f>IFERROR(__xludf.DUMMYFUNCTION("""COMPUTED_VALUE"""),4109.28)</f>
        <v>4109.28</v>
      </c>
    </row>
    <row r="4675">
      <c r="A4675" s="2">
        <f>IFERROR(__xludf.DUMMYFUNCTION("""COMPUTED_VALUE"""),42584.66666666667)</f>
        <v>42584.66667</v>
      </c>
      <c r="B4675" s="1">
        <f>IFERROR(__xludf.DUMMYFUNCTION("""COMPUTED_VALUE"""),4083.25)</f>
        <v>4083.25</v>
      </c>
    </row>
    <row r="4676">
      <c r="A4676" s="2">
        <f>IFERROR(__xludf.DUMMYFUNCTION("""COMPUTED_VALUE"""),42585.66666666667)</f>
        <v>42585.66667</v>
      </c>
      <c r="B4676" s="1">
        <f>IFERROR(__xludf.DUMMYFUNCTION("""COMPUTED_VALUE"""),4097.3)</f>
        <v>4097.3</v>
      </c>
    </row>
    <row r="4677">
      <c r="A4677" s="2">
        <f>IFERROR(__xludf.DUMMYFUNCTION("""COMPUTED_VALUE"""),42586.66666666667)</f>
        <v>42586.66667</v>
      </c>
      <c r="B4677" s="1">
        <f>IFERROR(__xludf.DUMMYFUNCTION("""COMPUTED_VALUE"""),4099.21)</f>
        <v>4099.21</v>
      </c>
    </row>
    <row r="4678">
      <c r="A4678" s="2">
        <f>IFERROR(__xludf.DUMMYFUNCTION("""COMPUTED_VALUE"""),42587.66666666667)</f>
        <v>42587.66667</v>
      </c>
      <c r="B4678" s="1">
        <f>IFERROR(__xludf.DUMMYFUNCTION("""COMPUTED_VALUE"""),4134.56)</f>
        <v>4134.56</v>
      </c>
    </row>
    <row r="4679">
      <c r="A4679" s="2">
        <f>IFERROR(__xludf.DUMMYFUNCTION("""COMPUTED_VALUE"""),42590.66666666667)</f>
        <v>42590.66667</v>
      </c>
      <c r="B4679" s="1">
        <f>IFERROR(__xludf.DUMMYFUNCTION("""COMPUTED_VALUE"""),4131.19)</f>
        <v>4131.19</v>
      </c>
    </row>
    <row r="4680">
      <c r="A4680" s="2">
        <f>IFERROR(__xludf.DUMMYFUNCTION("""COMPUTED_VALUE"""),42591.66666666667)</f>
        <v>42591.66667</v>
      </c>
      <c r="B4680" s="1">
        <f>IFERROR(__xludf.DUMMYFUNCTION("""COMPUTED_VALUE"""),4132.96)</f>
        <v>4132.96</v>
      </c>
    </row>
    <row r="4681">
      <c r="A4681" s="2">
        <f>IFERROR(__xludf.DUMMYFUNCTION("""COMPUTED_VALUE"""),42592.66666666667)</f>
        <v>42592.66667</v>
      </c>
      <c r="B4681" s="1">
        <f>IFERROR(__xludf.DUMMYFUNCTION("""COMPUTED_VALUE"""),4122.65)</f>
        <v>4122.65</v>
      </c>
    </row>
    <row r="4682">
      <c r="A4682" s="2">
        <f>IFERROR(__xludf.DUMMYFUNCTION("""COMPUTED_VALUE"""),42593.66666666667)</f>
        <v>42593.66667</v>
      </c>
      <c r="B4682" s="1">
        <f>IFERROR(__xludf.DUMMYFUNCTION("""COMPUTED_VALUE"""),4142.72)</f>
        <v>4142.72</v>
      </c>
    </row>
    <row r="4683">
      <c r="A4683" s="2">
        <f>IFERROR(__xludf.DUMMYFUNCTION("""COMPUTED_VALUE"""),42594.66666666667)</f>
        <v>42594.66667</v>
      </c>
      <c r="B4683" s="1">
        <f>IFERROR(__xludf.DUMMYFUNCTION("""COMPUTED_VALUE"""),4139.63)</f>
        <v>4139.63</v>
      </c>
    </row>
    <row r="4684">
      <c r="A4684" s="2">
        <f>IFERROR(__xludf.DUMMYFUNCTION("""COMPUTED_VALUE"""),42597.66666666667)</f>
        <v>42597.66667</v>
      </c>
      <c r="B4684" s="1">
        <f>IFERROR(__xludf.DUMMYFUNCTION("""COMPUTED_VALUE"""),4151.69)</f>
        <v>4151.69</v>
      </c>
    </row>
    <row r="4685">
      <c r="A4685" s="2">
        <f>IFERROR(__xludf.DUMMYFUNCTION("""COMPUTED_VALUE"""),42598.66666666667)</f>
        <v>42598.66667</v>
      </c>
      <c r="B4685" s="1">
        <f>IFERROR(__xludf.DUMMYFUNCTION("""COMPUTED_VALUE"""),4129.68)</f>
        <v>4129.68</v>
      </c>
    </row>
    <row r="4686">
      <c r="A4686" s="2">
        <f>IFERROR(__xludf.DUMMYFUNCTION("""COMPUTED_VALUE"""),42599.66666666667)</f>
        <v>42599.66667</v>
      </c>
      <c r="B4686" s="1">
        <f>IFERROR(__xludf.DUMMYFUNCTION("""COMPUTED_VALUE"""),4138.42)</f>
        <v>4138.42</v>
      </c>
    </row>
    <row r="4687">
      <c r="A4687" s="2">
        <f>IFERROR(__xludf.DUMMYFUNCTION("""COMPUTED_VALUE"""),42600.66666666667)</f>
        <v>42600.66667</v>
      </c>
      <c r="B4687" s="1">
        <f>IFERROR(__xludf.DUMMYFUNCTION("""COMPUTED_VALUE"""),4147.64)</f>
        <v>4147.64</v>
      </c>
    </row>
    <row r="4688">
      <c r="A4688" s="2">
        <f>IFERROR(__xludf.DUMMYFUNCTION("""COMPUTED_VALUE"""),42601.66666666667)</f>
        <v>42601.66667</v>
      </c>
      <c r="B4688" s="1">
        <f>IFERROR(__xludf.DUMMYFUNCTION("""COMPUTED_VALUE"""),4142.23)</f>
        <v>4142.23</v>
      </c>
    </row>
    <row r="4689">
      <c r="A4689" s="2">
        <f>IFERROR(__xludf.DUMMYFUNCTION("""COMPUTED_VALUE"""),42604.66666666667)</f>
        <v>42604.66667</v>
      </c>
      <c r="B4689" s="1">
        <f>IFERROR(__xludf.DUMMYFUNCTION("""COMPUTED_VALUE"""),4139.97)</f>
        <v>4139.97</v>
      </c>
    </row>
    <row r="4690">
      <c r="A4690" s="2">
        <f>IFERROR(__xludf.DUMMYFUNCTION("""COMPUTED_VALUE"""),42605.66666666667)</f>
        <v>42605.66667</v>
      </c>
      <c r="B4690" s="1">
        <f>IFERROR(__xludf.DUMMYFUNCTION("""COMPUTED_VALUE"""),4148.16)</f>
        <v>4148.16</v>
      </c>
    </row>
    <row r="4691">
      <c r="A4691" s="2">
        <f>IFERROR(__xludf.DUMMYFUNCTION("""COMPUTED_VALUE"""),42606.66666666667)</f>
        <v>42606.66667</v>
      </c>
      <c r="B4691" s="1">
        <f>IFERROR(__xludf.DUMMYFUNCTION("""COMPUTED_VALUE"""),4126.65)</f>
        <v>4126.65</v>
      </c>
    </row>
    <row r="4692">
      <c r="A4692" s="2">
        <f>IFERROR(__xludf.DUMMYFUNCTION("""COMPUTED_VALUE"""),42607.66666666667)</f>
        <v>42607.66667</v>
      </c>
      <c r="B4692" s="1">
        <f>IFERROR(__xludf.DUMMYFUNCTION("""COMPUTED_VALUE"""),4121.09)</f>
        <v>4121.09</v>
      </c>
    </row>
    <row r="4693">
      <c r="A4693" s="2">
        <f>IFERROR(__xludf.DUMMYFUNCTION("""COMPUTED_VALUE"""),42608.66666666667)</f>
        <v>42608.66667</v>
      </c>
      <c r="B4693" s="1">
        <f>IFERROR(__xludf.DUMMYFUNCTION("""COMPUTED_VALUE"""),4114.68)</f>
        <v>4114.68</v>
      </c>
    </row>
    <row r="4694">
      <c r="A4694" s="2">
        <f>IFERROR(__xludf.DUMMYFUNCTION("""COMPUTED_VALUE"""),42611.66666666667)</f>
        <v>42611.66667</v>
      </c>
      <c r="B4694" s="1">
        <f>IFERROR(__xludf.DUMMYFUNCTION("""COMPUTED_VALUE"""),4136.75)</f>
        <v>4136.75</v>
      </c>
    </row>
    <row r="4695">
      <c r="A4695" s="2">
        <f>IFERROR(__xludf.DUMMYFUNCTION("""COMPUTED_VALUE"""),42612.66666666667)</f>
        <v>42612.66667</v>
      </c>
      <c r="B4695" s="1">
        <f>IFERROR(__xludf.DUMMYFUNCTION("""COMPUTED_VALUE"""),4129.34)</f>
        <v>4129.34</v>
      </c>
    </row>
    <row r="4696">
      <c r="A4696" s="2">
        <f>IFERROR(__xludf.DUMMYFUNCTION("""COMPUTED_VALUE"""),42613.66666666667)</f>
        <v>42613.66667</v>
      </c>
      <c r="B4696" s="1">
        <f>IFERROR(__xludf.DUMMYFUNCTION("""COMPUTED_VALUE"""),4120.29)</f>
        <v>4120.29</v>
      </c>
    </row>
    <row r="4697">
      <c r="A4697" s="2">
        <f>IFERROR(__xludf.DUMMYFUNCTION("""COMPUTED_VALUE"""),42614.66666666667)</f>
        <v>42614.66667</v>
      </c>
      <c r="B4697" s="1">
        <f>IFERROR(__xludf.DUMMYFUNCTION("""COMPUTED_VALUE"""),4120.17)</f>
        <v>4120.17</v>
      </c>
    </row>
    <row r="4698">
      <c r="A4698" s="2">
        <f>IFERROR(__xludf.DUMMYFUNCTION("""COMPUTED_VALUE"""),42615.66666666667)</f>
        <v>42615.66667</v>
      </c>
      <c r="B4698" s="1">
        <f>IFERROR(__xludf.DUMMYFUNCTION("""COMPUTED_VALUE"""),4137.7)</f>
        <v>4137.7</v>
      </c>
    </row>
    <row r="4699">
      <c r="A4699" s="2">
        <f>IFERROR(__xludf.DUMMYFUNCTION("""COMPUTED_VALUE"""),42619.66666666667)</f>
        <v>42619.66667</v>
      </c>
      <c r="B4699" s="1">
        <f>IFERROR(__xludf.DUMMYFUNCTION("""COMPUTED_VALUE"""),4150.11)</f>
        <v>4150.11</v>
      </c>
    </row>
    <row r="4700">
      <c r="A4700" s="2">
        <f>IFERROR(__xludf.DUMMYFUNCTION("""COMPUTED_VALUE"""),42620.66666666667)</f>
        <v>42620.66667</v>
      </c>
      <c r="B4700" s="1">
        <f>IFERROR(__xludf.DUMMYFUNCTION("""COMPUTED_VALUE"""),4150.51)</f>
        <v>4150.51</v>
      </c>
    </row>
    <row r="4701">
      <c r="A4701" s="2">
        <f>IFERROR(__xludf.DUMMYFUNCTION("""COMPUTED_VALUE"""),42621.66666666667)</f>
        <v>42621.66667</v>
      </c>
      <c r="B4701" s="1">
        <f>IFERROR(__xludf.DUMMYFUNCTION("""COMPUTED_VALUE"""),4141.46)</f>
        <v>4141.46</v>
      </c>
    </row>
    <row r="4702">
      <c r="A4702" s="2">
        <f>IFERROR(__xludf.DUMMYFUNCTION("""COMPUTED_VALUE"""),42622.66666666667)</f>
        <v>42622.66667</v>
      </c>
      <c r="B4702" s="1">
        <f>IFERROR(__xludf.DUMMYFUNCTION("""COMPUTED_VALUE"""),4039.95)</f>
        <v>4039.95</v>
      </c>
    </row>
    <row r="4703">
      <c r="A4703" s="2">
        <f>IFERROR(__xludf.DUMMYFUNCTION("""COMPUTED_VALUE"""),42625.66666666667)</f>
        <v>42625.66667</v>
      </c>
      <c r="B4703" s="1">
        <f>IFERROR(__xludf.DUMMYFUNCTION("""COMPUTED_VALUE"""),4099.47)</f>
        <v>4099.47</v>
      </c>
    </row>
    <row r="4704">
      <c r="A4704" s="2">
        <f>IFERROR(__xludf.DUMMYFUNCTION("""COMPUTED_VALUE"""),42626.66666666667)</f>
        <v>42626.66667</v>
      </c>
      <c r="B4704" s="1">
        <f>IFERROR(__xludf.DUMMYFUNCTION("""COMPUTED_VALUE"""),4039.92)</f>
        <v>4039.92</v>
      </c>
    </row>
    <row r="4705">
      <c r="A4705" s="2">
        <f>IFERROR(__xludf.DUMMYFUNCTION("""COMPUTED_VALUE"""),42627.66666666667)</f>
        <v>42627.66667</v>
      </c>
      <c r="B4705" s="1">
        <f>IFERROR(__xludf.DUMMYFUNCTION("""COMPUTED_VALUE"""),4037.83)</f>
        <v>4037.83</v>
      </c>
    </row>
    <row r="4706">
      <c r="A4706" s="2">
        <f>IFERROR(__xludf.DUMMYFUNCTION("""COMPUTED_VALUE"""),42628.66666666667)</f>
        <v>42628.66667</v>
      </c>
      <c r="B4706" s="1">
        <f>IFERROR(__xludf.DUMMYFUNCTION("""COMPUTED_VALUE"""),4079.32)</f>
        <v>4079.32</v>
      </c>
    </row>
    <row r="4707">
      <c r="A4707" s="2">
        <f>IFERROR(__xludf.DUMMYFUNCTION("""COMPUTED_VALUE"""),42629.66666666667)</f>
        <v>42629.66667</v>
      </c>
      <c r="B4707" s="1">
        <f>IFERROR(__xludf.DUMMYFUNCTION("""COMPUTED_VALUE"""),4063.97)</f>
        <v>4063.97</v>
      </c>
    </row>
    <row r="4708">
      <c r="A4708" s="2">
        <f>IFERROR(__xludf.DUMMYFUNCTION("""COMPUTED_VALUE"""),42632.66666666667)</f>
        <v>42632.66667</v>
      </c>
      <c r="B4708" s="1">
        <f>IFERROR(__xludf.DUMMYFUNCTION("""COMPUTED_VALUE"""),4063.94)</f>
        <v>4063.94</v>
      </c>
    </row>
    <row r="4709">
      <c r="A4709" s="2">
        <f>IFERROR(__xludf.DUMMYFUNCTION("""COMPUTED_VALUE"""),42633.66666666667)</f>
        <v>42633.66667</v>
      </c>
      <c r="B4709" s="1">
        <f>IFERROR(__xludf.DUMMYFUNCTION("""COMPUTED_VALUE"""),4065.2)</f>
        <v>4065.2</v>
      </c>
    </row>
    <row r="4710">
      <c r="A4710" s="2">
        <f>IFERROR(__xludf.DUMMYFUNCTION("""COMPUTED_VALUE"""),42634.66666666667)</f>
        <v>42634.66667</v>
      </c>
      <c r="B4710" s="1">
        <f>IFERROR(__xludf.DUMMYFUNCTION("""COMPUTED_VALUE"""),4109.63)</f>
        <v>4109.63</v>
      </c>
    </row>
    <row r="4711">
      <c r="A4711" s="2">
        <f>IFERROR(__xludf.DUMMYFUNCTION("""COMPUTED_VALUE"""),42635.66666666667)</f>
        <v>42635.66667</v>
      </c>
      <c r="B4711" s="1">
        <f>IFERROR(__xludf.DUMMYFUNCTION("""COMPUTED_VALUE"""),4136.41)</f>
        <v>4136.41</v>
      </c>
    </row>
    <row r="4712">
      <c r="A4712" s="2">
        <f>IFERROR(__xludf.DUMMYFUNCTION("""COMPUTED_VALUE"""),42636.66666666667)</f>
        <v>42636.66667</v>
      </c>
      <c r="B4712" s="1">
        <f>IFERROR(__xludf.DUMMYFUNCTION("""COMPUTED_VALUE"""),4112.69)</f>
        <v>4112.69</v>
      </c>
    </row>
    <row r="4713">
      <c r="A4713" s="2">
        <f>IFERROR(__xludf.DUMMYFUNCTION("""COMPUTED_VALUE"""),42639.66666666667)</f>
        <v>42639.66667</v>
      </c>
      <c r="B4713" s="1">
        <f>IFERROR(__xludf.DUMMYFUNCTION("""COMPUTED_VALUE"""),4077.71)</f>
        <v>4077.71</v>
      </c>
    </row>
    <row r="4714">
      <c r="A4714" s="2">
        <f>IFERROR(__xludf.DUMMYFUNCTION("""COMPUTED_VALUE"""),42640.66666666667)</f>
        <v>42640.66667</v>
      </c>
      <c r="B4714" s="1">
        <f>IFERROR(__xludf.DUMMYFUNCTION("""COMPUTED_VALUE"""),4104.18)</f>
        <v>4104.18</v>
      </c>
    </row>
    <row r="4715">
      <c r="A4715" s="2">
        <f>IFERROR(__xludf.DUMMYFUNCTION("""COMPUTED_VALUE"""),42641.66666666667)</f>
        <v>42641.66667</v>
      </c>
      <c r="B4715" s="1">
        <f>IFERROR(__xludf.DUMMYFUNCTION("""COMPUTED_VALUE"""),4126.83)</f>
        <v>4126.83</v>
      </c>
    </row>
    <row r="4716">
      <c r="A4716" s="2">
        <f>IFERROR(__xludf.DUMMYFUNCTION("""COMPUTED_VALUE"""),42642.66666666667)</f>
        <v>42642.66667</v>
      </c>
      <c r="B4716" s="1">
        <f>IFERROR(__xludf.DUMMYFUNCTION("""COMPUTED_VALUE"""),4088.47)</f>
        <v>4088.47</v>
      </c>
    </row>
    <row r="4717">
      <c r="A4717" s="2">
        <f>IFERROR(__xludf.DUMMYFUNCTION("""COMPUTED_VALUE"""),42643.66666666667)</f>
        <v>42643.66667</v>
      </c>
      <c r="B4717" s="1">
        <f>IFERROR(__xludf.DUMMYFUNCTION("""COMPUTED_VALUE"""),4121.06)</f>
        <v>4121.06</v>
      </c>
    </row>
    <row r="4718">
      <c r="A4718" s="2">
        <f>IFERROR(__xludf.DUMMYFUNCTION("""COMPUTED_VALUE"""),42646.66666666667)</f>
        <v>42646.66667</v>
      </c>
      <c r="B4718" s="1">
        <f>IFERROR(__xludf.DUMMYFUNCTION("""COMPUTED_VALUE"""),4108.13)</f>
        <v>4108.13</v>
      </c>
    </row>
    <row r="4719">
      <c r="A4719" s="2">
        <f>IFERROR(__xludf.DUMMYFUNCTION("""COMPUTED_VALUE"""),42647.66666666667)</f>
        <v>42647.66667</v>
      </c>
      <c r="B4719" s="1">
        <f>IFERROR(__xludf.DUMMYFUNCTION("""COMPUTED_VALUE"""),4088.17)</f>
        <v>4088.17</v>
      </c>
    </row>
    <row r="4720">
      <c r="A4720" s="2">
        <f>IFERROR(__xludf.DUMMYFUNCTION("""COMPUTED_VALUE"""),42648.66666666667)</f>
        <v>42648.66667</v>
      </c>
      <c r="B4720" s="1">
        <f>IFERROR(__xludf.DUMMYFUNCTION("""COMPUTED_VALUE"""),4107.4)</f>
        <v>4107.4</v>
      </c>
    </row>
    <row r="4721">
      <c r="A4721" s="2">
        <f>IFERROR(__xludf.DUMMYFUNCTION("""COMPUTED_VALUE"""),42649.66666666667)</f>
        <v>42649.66667</v>
      </c>
      <c r="B4721" s="1">
        <f>IFERROR(__xludf.DUMMYFUNCTION("""COMPUTED_VALUE"""),4109.49)</f>
        <v>4109.49</v>
      </c>
    </row>
    <row r="4722">
      <c r="A4722" s="2">
        <f>IFERROR(__xludf.DUMMYFUNCTION("""COMPUTED_VALUE"""),42650.66666666667)</f>
        <v>42650.66667</v>
      </c>
      <c r="B4722" s="1">
        <f>IFERROR(__xludf.DUMMYFUNCTION("""COMPUTED_VALUE"""),4096.25)</f>
        <v>4096.25</v>
      </c>
    </row>
    <row r="4723">
      <c r="A4723" s="2">
        <f>IFERROR(__xludf.DUMMYFUNCTION("""COMPUTED_VALUE"""),42653.66666666667)</f>
        <v>42653.66667</v>
      </c>
      <c r="B4723" s="1">
        <f>IFERROR(__xludf.DUMMYFUNCTION("""COMPUTED_VALUE"""),4115.12)</f>
        <v>4115.12</v>
      </c>
    </row>
    <row r="4724">
      <c r="A4724" s="2">
        <f>IFERROR(__xludf.DUMMYFUNCTION("""COMPUTED_VALUE"""),42654.66666666667)</f>
        <v>42654.66667</v>
      </c>
      <c r="B4724" s="1">
        <f>IFERROR(__xludf.DUMMYFUNCTION("""COMPUTED_VALUE"""),4063.92)</f>
        <v>4063.92</v>
      </c>
    </row>
    <row r="4725">
      <c r="A4725" s="2">
        <f>IFERROR(__xludf.DUMMYFUNCTION("""COMPUTED_VALUE"""),42655.66666666667)</f>
        <v>42655.66667</v>
      </c>
      <c r="B4725" s="1">
        <f>IFERROR(__xludf.DUMMYFUNCTION("""COMPUTED_VALUE"""),4068.92)</f>
        <v>4068.92</v>
      </c>
    </row>
    <row r="4726">
      <c r="A4726" s="2">
        <f>IFERROR(__xludf.DUMMYFUNCTION("""COMPUTED_VALUE"""),42656.66666666667)</f>
        <v>42656.66667</v>
      </c>
      <c r="B4726" s="1">
        <f>IFERROR(__xludf.DUMMYFUNCTION("""COMPUTED_VALUE"""),4056.45)</f>
        <v>4056.45</v>
      </c>
    </row>
    <row r="4727">
      <c r="A4727" s="2">
        <f>IFERROR(__xludf.DUMMYFUNCTION("""COMPUTED_VALUE"""),42657.66666666667)</f>
        <v>42657.66667</v>
      </c>
      <c r="B4727" s="1">
        <f>IFERROR(__xludf.DUMMYFUNCTION("""COMPUTED_VALUE"""),4057.28)</f>
        <v>4057.28</v>
      </c>
    </row>
    <row r="4728">
      <c r="A4728" s="2">
        <f>IFERROR(__xludf.DUMMYFUNCTION("""COMPUTED_VALUE"""),42660.66666666667)</f>
        <v>42660.66667</v>
      </c>
      <c r="B4728" s="1">
        <f>IFERROR(__xludf.DUMMYFUNCTION("""COMPUTED_VALUE"""),4045.07)</f>
        <v>4045.07</v>
      </c>
    </row>
    <row r="4729">
      <c r="A4729" s="2">
        <f>IFERROR(__xludf.DUMMYFUNCTION("""COMPUTED_VALUE"""),42661.66666666667)</f>
        <v>42661.66667</v>
      </c>
      <c r="B4729" s="1">
        <f>IFERROR(__xludf.DUMMYFUNCTION("""COMPUTED_VALUE"""),4069.99)</f>
        <v>4069.99</v>
      </c>
    </row>
    <row r="4730">
      <c r="A4730" s="2">
        <f>IFERROR(__xludf.DUMMYFUNCTION("""COMPUTED_VALUE"""),42662.66666666667)</f>
        <v>42662.66667</v>
      </c>
      <c r="B4730" s="1">
        <f>IFERROR(__xludf.DUMMYFUNCTION("""COMPUTED_VALUE"""),4079.5)</f>
        <v>4079.5</v>
      </c>
    </row>
    <row r="4731">
      <c r="A4731" s="2">
        <f>IFERROR(__xludf.DUMMYFUNCTION("""COMPUTED_VALUE"""),42663.66666666667)</f>
        <v>42663.66667</v>
      </c>
      <c r="B4731" s="1">
        <f>IFERROR(__xludf.DUMMYFUNCTION("""COMPUTED_VALUE"""),4074.18)</f>
        <v>4074.18</v>
      </c>
    </row>
    <row r="4732">
      <c r="A4732" s="2">
        <f>IFERROR(__xludf.DUMMYFUNCTION("""COMPUTED_VALUE"""),42664.66666666667)</f>
        <v>42664.66667</v>
      </c>
      <c r="B4732" s="1">
        <f>IFERROR(__xludf.DUMMYFUNCTION("""COMPUTED_VALUE"""),4073.85)</f>
        <v>4073.85</v>
      </c>
    </row>
    <row r="4733">
      <c r="A4733" s="2">
        <f>IFERROR(__xludf.DUMMYFUNCTION("""COMPUTED_VALUE"""),42667.66666666667)</f>
        <v>42667.66667</v>
      </c>
      <c r="B4733" s="1">
        <f>IFERROR(__xludf.DUMMYFUNCTION("""COMPUTED_VALUE"""),4093.22)</f>
        <v>4093.22</v>
      </c>
    </row>
    <row r="4734">
      <c r="A4734" s="2">
        <f>IFERROR(__xludf.DUMMYFUNCTION("""COMPUTED_VALUE"""),42668.66666666667)</f>
        <v>42668.66667</v>
      </c>
      <c r="B4734" s="1">
        <f>IFERROR(__xludf.DUMMYFUNCTION("""COMPUTED_VALUE"""),4077.8)</f>
        <v>4077.8</v>
      </c>
    </row>
    <row r="4735">
      <c r="A4735" s="2">
        <f>IFERROR(__xludf.DUMMYFUNCTION("""COMPUTED_VALUE"""),42669.66666666667)</f>
        <v>42669.66667</v>
      </c>
      <c r="B4735" s="1">
        <f>IFERROR(__xludf.DUMMYFUNCTION("""COMPUTED_VALUE"""),4070.76)</f>
        <v>4070.76</v>
      </c>
    </row>
    <row r="4736">
      <c r="A4736" s="2">
        <f>IFERROR(__xludf.DUMMYFUNCTION("""COMPUTED_VALUE"""),42670.66666666667)</f>
        <v>42670.66667</v>
      </c>
      <c r="B4736" s="1">
        <f>IFERROR(__xludf.DUMMYFUNCTION("""COMPUTED_VALUE"""),4058.75)</f>
        <v>4058.75</v>
      </c>
    </row>
    <row r="4737">
      <c r="A4737" s="2">
        <f>IFERROR(__xludf.DUMMYFUNCTION("""COMPUTED_VALUE"""),42671.66666666667)</f>
        <v>42671.66667</v>
      </c>
      <c r="B4737" s="1">
        <f>IFERROR(__xludf.DUMMYFUNCTION("""COMPUTED_VALUE"""),4046.36)</f>
        <v>4046.36</v>
      </c>
    </row>
    <row r="4738">
      <c r="A4738" s="2">
        <f>IFERROR(__xludf.DUMMYFUNCTION("""COMPUTED_VALUE"""),42674.66666666667)</f>
        <v>42674.66667</v>
      </c>
      <c r="B4738" s="1">
        <f>IFERROR(__xludf.DUMMYFUNCTION("""COMPUTED_VALUE"""),4045.89)</f>
        <v>4045.89</v>
      </c>
    </row>
    <row r="4739">
      <c r="A4739" s="2">
        <f>IFERROR(__xludf.DUMMYFUNCTION("""COMPUTED_VALUE"""),42675.66666666667)</f>
        <v>42675.66667</v>
      </c>
      <c r="B4739" s="1">
        <f>IFERROR(__xludf.DUMMYFUNCTION("""COMPUTED_VALUE"""),4018.47)</f>
        <v>4018.47</v>
      </c>
    </row>
    <row r="4740">
      <c r="A4740" s="2">
        <f>IFERROR(__xludf.DUMMYFUNCTION("""COMPUTED_VALUE"""),42676.66666666667)</f>
        <v>42676.66667</v>
      </c>
      <c r="B4740" s="1">
        <f>IFERROR(__xludf.DUMMYFUNCTION("""COMPUTED_VALUE"""),3992.76)</f>
        <v>3992.76</v>
      </c>
    </row>
    <row r="4741">
      <c r="A4741" s="2">
        <f>IFERROR(__xludf.DUMMYFUNCTION("""COMPUTED_VALUE"""),42677.66666666667)</f>
        <v>42677.66667</v>
      </c>
      <c r="B4741" s="1">
        <f>IFERROR(__xludf.DUMMYFUNCTION("""COMPUTED_VALUE"""),3976.56)</f>
        <v>3976.56</v>
      </c>
    </row>
    <row r="4742">
      <c r="A4742" s="2">
        <f>IFERROR(__xludf.DUMMYFUNCTION("""COMPUTED_VALUE"""),42678.66666666667)</f>
        <v>42678.66667</v>
      </c>
      <c r="B4742" s="1">
        <f>IFERROR(__xludf.DUMMYFUNCTION("""COMPUTED_VALUE"""),3970.02)</f>
        <v>3970.02</v>
      </c>
    </row>
    <row r="4743">
      <c r="A4743" s="2">
        <f>IFERROR(__xludf.DUMMYFUNCTION("""COMPUTED_VALUE"""),42681.66666666667)</f>
        <v>42681.66667</v>
      </c>
      <c r="B4743" s="1">
        <f>IFERROR(__xludf.DUMMYFUNCTION("""COMPUTED_VALUE"""),4058.3)</f>
        <v>4058.3</v>
      </c>
    </row>
    <row r="4744">
      <c r="A4744" s="2">
        <f>IFERROR(__xludf.DUMMYFUNCTION("""COMPUTED_VALUE"""),42682.66666666667)</f>
        <v>42682.66667</v>
      </c>
      <c r="B4744" s="1">
        <f>IFERROR(__xludf.DUMMYFUNCTION("""COMPUTED_VALUE"""),4075.61)</f>
        <v>4075.61</v>
      </c>
    </row>
    <row r="4745">
      <c r="A4745" s="2">
        <f>IFERROR(__xludf.DUMMYFUNCTION("""COMPUTED_VALUE"""),42683.66666666667)</f>
        <v>42683.66667</v>
      </c>
      <c r="B4745" s="1">
        <f>IFERROR(__xludf.DUMMYFUNCTION("""COMPUTED_VALUE"""),4121.03)</f>
        <v>4121.03</v>
      </c>
    </row>
    <row r="4746">
      <c r="A4746" s="2">
        <f>IFERROR(__xludf.DUMMYFUNCTION("""COMPUTED_VALUE"""),42684.66666666667)</f>
        <v>42684.66667</v>
      </c>
      <c r="B4746" s="1">
        <f>IFERROR(__xludf.DUMMYFUNCTION("""COMPUTED_VALUE"""),4129.46)</f>
        <v>4129.46</v>
      </c>
    </row>
    <row r="4747">
      <c r="A4747" s="2">
        <f>IFERROR(__xludf.DUMMYFUNCTION("""COMPUTED_VALUE"""),42685.66666666667)</f>
        <v>42685.66667</v>
      </c>
      <c r="B4747" s="1">
        <f>IFERROR(__xludf.DUMMYFUNCTION("""COMPUTED_VALUE"""),4123.69)</f>
        <v>4123.69</v>
      </c>
    </row>
    <row r="4748">
      <c r="A4748" s="2">
        <f>IFERROR(__xludf.DUMMYFUNCTION("""COMPUTED_VALUE"""),42688.66666666667)</f>
        <v>42688.66667</v>
      </c>
      <c r="B4748" s="1">
        <f>IFERROR(__xludf.DUMMYFUNCTION("""COMPUTED_VALUE"""),4123.81)</f>
        <v>4123.81</v>
      </c>
    </row>
    <row r="4749">
      <c r="A4749" s="2">
        <f>IFERROR(__xludf.DUMMYFUNCTION("""COMPUTED_VALUE"""),42689.66666666667)</f>
        <v>42689.66667</v>
      </c>
      <c r="B4749" s="1">
        <f>IFERROR(__xludf.DUMMYFUNCTION("""COMPUTED_VALUE"""),4155.62)</f>
        <v>4155.62</v>
      </c>
    </row>
    <row r="4750">
      <c r="A4750" s="2">
        <f>IFERROR(__xludf.DUMMYFUNCTION("""COMPUTED_VALUE"""),42690.66666666667)</f>
        <v>42690.66667</v>
      </c>
      <c r="B4750" s="1">
        <f>IFERROR(__xludf.DUMMYFUNCTION("""COMPUTED_VALUE"""),4150.21)</f>
        <v>4150.21</v>
      </c>
    </row>
    <row r="4751">
      <c r="A4751" s="2">
        <f>IFERROR(__xludf.DUMMYFUNCTION("""COMPUTED_VALUE"""),42691.66666666667)</f>
        <v>42691.66667</v>
      </c>
      <c r="B4751" s="1">
        <f>IFERROR(__xludf.DUMMYFUNCTION("""COMPUTED_VALUE"""),4169.87)</f>
        <v>4169.87</v>
      </c>
    </row>
    <row r="4752">
      <c r="A4752" s="2">
        <f>IFERROR(__xludf.DUMMYFUNCTION("""COMPUTED_VALUE"""),42692.66666666667)</f>
        <v>42692.66667</v>
      </c>
      <c r="B4752" s="1">
        <f>IFERROR(__xludf.DUMMYFUNCTION("""COMPUTED_VALUE"""),4160.58)</f>
        <v>4160.58</v>
      </c>
    </row>
    <row r="4753">
      <c r="A4753" s="2">
        <f>IFERROR(__xludf.DUMMYFUNCTION("""COMPUTED_VALUE"""),42695.66666666667)</f>
        <v>42695.66667</v>
      </c>
      <c r="B4753" s="1">
        <f>IFERROR(__xludf.DUMMYFUNCTION("""COMPUTED_VALUE"""),4191.68)</f>
        <v>4191.68</v>
      </c>
    </row>
    <row r="4754">
      <c r="A4754" s="2">
        <f>IFERROR(__xludf.DUMMYFUNCTION("""COMPUTED_VALUE"""),42696.66666666667)</f>
        <v>42696.66667</v>
      </c>
      <c r="B4754" s="1">
        <f>IFERROR(__xludf.DUMMYFUNCTION("""COMPUTED_VALUE"""),4200.95)</f>
        <v>4200.95</v>
      </c>
    </row>
    <row r="4755">
      <c r="A4755" s="2">
        <f>IFERROR(__xludf.DUMMYFUNCTION("""COMPUTED_VALUE"""),42697.66666666667)</f>
        <v>42697.66667</v>
      </c>
      <c r="B4755" s="1">
        <f>IFERROR(__xludf.DUMMYFUNCTION("""COMPUTED_VALUE"""),4204.49)</f>
        <v>4204.49</v>
      </c>
    </row>
    <row r="4756">
      <c r="A4756" s="2">
        <f>IFERROR(__xludf.DUMMYFUNCTION("""COMPUTED_VALUE"""),42699.66666666667)</f>
        <v>42699.66667</v>
      </c>
      <c r="B4756" s="1">
        <f>IFERROR(__xludf.DUMMYFUNCTION("""COMPUTED_VALUE"""),4221.02)</f>
        <v>4221.02</v>
      </c>
    </row>
    <row r="4757">
      <c r="A4757" s="2">
        <f>IFERROR(__xludf.DUMMYFUNCTION("""COMPUTED_VALUE"""),42702.66666666667)</f>
        <v>42702.66667</v>
      </c>
      <c r="B4757" s="1">
        <f>IFERROR(__xludf.DUMMYFUNCTION("""COMPUTED_VALUE"""),4199.39)</f>
        <v>4199.39</v>
      </c>
    </row>
    <row r="4758">
      <c r="A4758" s="2">
        <f>IFERROR(__xludf.DUMMYFUNCTION("""COMPUTED_VALUE"""),42703.66666666667)</f>
        <v>42703.66667</v>
      </c>
      <c r="B4758" s="1">
        <f>IFERROR(__xludf.DUMMYFUNCTION("""COMPUTED_VALUE"""),4205.99)</f>
        <v>4205.99</v>
      </c>
    </row>
    <row r="4759">
      <c r="A4759" s="2">
        <f>IFERROR(__xludf.DUMMYFUNCTION("""COMPUTED_VALUE"""),42704.66666666667)</f>
        <v>42704.66667</v>
      </c>
      <c r="B4759" s="1">
        <f>IFERROR(__xludf.DUMMYFUNCTION("""COMPUTED_VALUE"""),4195.73)</f>
        <v>4195.73</v>
      </c>
    </row>
    <row r="4760">
      <c r="A4760" s="2">
        <f>IFERROR(__xludf.DUMMYFUNCTION("""COMPUTED_VALUE"""),42705.66666666667)</f>
        <v>42705.66667</v>
      </c>
      <c r="B4760" s="1">
        <f>IFERROR(__xludf.DUMMYFUNCTION("""COMPUTED_VALUE"""),4181.15)</f>
        <v>4181.15</v>
      </c>
    </row>
    <row r="4761">
      <c r="A4761" s="2">
        <f>IFERROR(__xludf.DUMMYFUNCTION("""COMPUTED_VALUE"""),42706.66666666667)</f>
        <v>42706.66667</v>
      </c>
      <c r="B4761" s="1">
        <f>IFERROR(__xludf.DUMMYFUNCTION("""COMPUTED_VALUE"""),4182.81)</f>
        <v>4182.81</v>
      </c>
    </row>
    <row r="4762">
      <c r="A4762" s="2">
        <f>IFERROR(__xludf.DUMMYFUNCTION("""COMPUTED_VALUE"""),42709.66666666667)</f>
        <v>42709.66667</v>
      </c>
      <c r="B4762" s="1">
        <f>IFERROR(__xludf.DUMMYFUNCTION("""COMPUTED_VALUE"""),4207.57)</f>
        <v>4207.57</v>
      </c>
    </row>
    <row r="4763">
      <c r="A4763" s="2">
        <f>IFERROR(__xludf.DUMMYFUNCTION("""COMPUTED_VALUE"""),42710.66666666667)</f>
        <v>42710.66667</v>
      </c>
      <c r="B4763" s="1">
        <f>IFERROR(__xludf.DUMMYFUNCTION("""COMPUTED_VALUE"""),4222.04)</f>
        <v>4222.04</v>
      </c>
    </row>
    <row r="4764">
      <c r="A4764" s="2">
        <f>IFERROR(__xludf.DUMMYFUNCTION("""COMPUTED_VALUE"""),42711.66666666667)</f>
        <v>42711.66667</v>
      </c>
      <c r="B4764" s="1">
        <f>IFERROR(__xludf.DUMMYFUNCTION("""COMPUTED_VALUE"""),4278.44)</f>
        <v>4278.44</v>
      </c>
    </row>
    <row r="4765">
      <c r="A4765" s="2">
        <f>IFERROR(__xludf.DUMMYFUNCTION("""COMPUTED_VALUE"""),42712.66666666667)</f>
        <v>42712.66667</v>
      </c>
      <c r="B4765" s="1">
        <f>IFERROR(__xludf.DUMMYFUNCTION("""COMPUTED_VALUE"""),4288.1)</f>
        <v>4288.1</v>
      </c>
    </row>
    <row r="4766">
      <c r="A4766" s="2">
        <f>IFERROR(__xludf.DUMMYFUNCTION("""COMPUTED_VALUE"""),42713.66666666667)</f>
        <v>42713.66667</v>
      </c>
      <c r="B4766" s="1">
        <f>IFERROR(__xludf.DUMMYFUNCTION("""COMPUTED_VALUE"""),4313.61)</f>
        <v>4313.61</v>
      </c>
    </row>
    <row r="4767">
      <c r="A4767" s="2">
        <f>IFERROR(__xludf.DUMMYFUNCTION("""COMPUTED_VALUE"""),42716.66666666667)</f>
        <v>42716.66667</v>
      </c>
      <c r="B4767" s="1">
        <f>IFERROR(__xludf.DUMMYFUNCTION("""COMPUTED_VALUE"""),4308.94)</f>
        <v>4308.94</v>
      </c>
    </row>
    <row r="4768">
      <c r="A4768" s="2">
        <f>IFERROR(__xludf.DUMMYFUNCTION("""COMPUTED_VALUE"""),42717.66666666667)</f>
        <v>42717.66667</v>
      </c>
      <c r="B4768" s="1">
        <f>IFERROR(__xludf.DUMMYFUNCTION("""COMPUTED_VALUE"""),4337.86)</f>
        <v>4337.86</v>
      </c>
    </row>
    <row r="4769">
      <c r="A4769" s="2">
        <f>IFERROR(__xludf.DUMMYFUNCTION("""COMPUTED_VALUE"""),42718.66666666667)</f>
        <v>42718.66667</v>
      </c>
      <c r="B4769" s="1">
        <f>IFERROR(__xludf.DUMMYFUNCTION("""COMPUTED_VALUE"""),4302.93)</f>
        <v>4302.93</v>
      </c>
    </row>
    <row r="4770">
      <c r="A4770" s="2">
        <f>IFERROR(__xludf.DUMMYFUNCTION("""COMPUTED_VALUE"""),42719.66666666667)</f>
        <v>42719.66667</v>
      </c>
      <c r="B4770" s="1">
        <f>IFERROR(__xludf.DUMMYFUNCTION("""COMPUTED_VALUE"""),4319.84)</f>
        <v>4319.84</v>
      </c>
    </row>
    <row r="4771">
      <c r="A4771" s="2">
        <f>IFERROR(__xludf.DUMMYFUNCTION("""COMPUTED_VALUE"""),42720.66666666667)</f>
        <v>42720.66667</v>
      </c>
      <c r="B4771" s="1">
        <f>IFERROR(__xludf.DUMMYFUNCTION("""COMPUTED_VALUE"""),4312.4)</f>
        <v>4312.4</v>
      </c>
    </row>
    <row r="4772">
      <c r="A4772" s="2">
        <f>IFERROR(__xludf.DUMMYFUNCTION("""COMPUTED_VALUE"""),42723.66666666667)</f>
        <v>42723.66667</v>
      </c>
      <c r="B4772" s="1">
        <f>IFERROR(__xludf.DUMMYFUNCTION("""COMPUTED_VALUE"""),4321.02)</f>
        <v>4321.02</v>
      </c>
    </row>
    <row r="4773">
      <c r="A4773" s="2">
        <f>IFERROR(__xludf.DUMMYFUNCTION("""COMPUTED_VALUE"""),42724.66666666667)</f>
        <v>42724.66667</v>
      </c>
      <c r="B4773" s="1">
        <f>IFERROR(__xludf.DUMMYFUNCTION("""COMPUTED_VALUE"""),4337.36)</f>
        <v>4337.36</v>
      </c>
    </row>
    <row r="4774">
      <c r="A4774" s="2">
        <f>IFERROR(__xludf.DUMMYFUNCTION("""COMPUTED_VALUE"""),42725.66666666667)</f>
        <v>42725.66667</v>
      </c>
      <c r="B4774" s="1">
        <f>IFERROR(__xludf.DUMMYFUNCTION("""COMPUTED_VALUE"""),4326.85)</f>
        <v>4326.85</v>
      </c>
    </row>
    <row r="4775">
      <c r="A4775" s="2">
        <f>IFERROR(__xludf.DUMMYFUNCTION("""COMPUTED_VALUE"""),42726.66666666667)</f>
        <v>42726.66667</v>
      </c>
      <c r="B4775" s="1">
        <f>IFERROR(__xludf.DUMMYFUNCTION("""COMPUTED_VALUE"""),4319.33)</f>
        <v>4319.33</v>
      </c>
    </row>
    <row r="4776">
      <c r="A4776" s="2">
        <f>IFERROR(__xludf.DUMMYFUNCTION("""COMPUTED_VALUE"""),42727.66666666667)</f>
        <v>42727.66667</v>
      </c>
      <c r="B4776" s="1">
        <f>IFERROR(__xludf.DUMMYFUNCTION("""COMPUTED_VALUE"""),4325.17)</f>
        <v>4325.17</v>
      </c>
    </row>
    <row r="4777">
      <c r="A4777" s="2">
        <f>IFERROR(__xludf.DUMMYFUNCTION("""COMPUTED_VALUE"""),42731.66666666667)</f>
        <v>42731.66667</v>
      </c>
      <c r="B4777" s="1">
        <f>IFERROR(__xludf.DUMMYFUNCTION("""COMPUTED_VALUE"""),4334.93)</f>
        <v>4334.93</v>
      </c>
    </row>
    <row r="4778">
      <c r="A4778" s="2">
        <f>IFERROR(__xludf.DUMMYFUNCTION("""COMPUTED_VALUE"""),42732.66666666667)</f>
        <v>42732.66667</v>
      </c>
      <c r="B4778" s="1">
        <f>IFERROR(__xludf.DUMMYFUNCTION("""COMPUTED_VALUE"""),4299.45)</f>
        <v>4299.45</v>
      </c>
    </row>
    <row r="4779">
      <c r="A4779" s="2">
        <f>IFERROR(__xludf.DUMMYFUNCTION("""COMPUTED_VALUE"""),42733.66666666667)</f>
        <v>42733.66667</v>
      </c>
      <c r="B4779" s="1">
        <f>IFERROR(__xludf.DUMMYFUNCTION("""COMPUTED_VALUE"""),4298.39)</f>
        <v>4298.39</v>
      </c>
    </row>
    <row r="4780">
      <c r="A4780" s="2">
        <f>IFERROR(__xludf.DUMMYFUNCTION("""COMPUTED_VALUE"""),42734.66666666667)</f>
        <v>42734.66667</v>
      </c>
      <c r="B4780" s="1">
        <f>IFERROR(__xludf.DUMMYFUNCTION("""COMPUTED_VALUE"""),4278.66)</f>
        <v>4278.66</v>
      </c>
    </row>
    <row r="4781">
      <c r="A4781" s="2">
        <f>IFERROR(__xludf.DUMMYFUNCTION("""COMPUTED_VALUE"""),42738.66666666667)</f>
        <v>42738.66667</v>
      </c>
      <c r="B4781" s="1">
        <f>IFERROR(__xludf.DUMMYFUNCTION("""COMPUTED_VALUE"""),4315.08)</f>
        <v>4315.08</v>
      </c>
    </row>
    <row r="4782">
      <c r="A4782" s="2">
        <f>IFERROR(__xludf.DUMMYFUNCTION("""COMPUTED_VALUE"""),42739.66666666667)</f>
        <v>42739.66667</v>
      </c>
      <c r="B4782" s="1">
        <f>IFERROR(__xludf.DUMMYFUNCTION("""COMPUTED_VALUE"""),4340.75)</f>
        <v>4340.75</v>
      </c>
    </row>
    <row r="4783">
      <c r="A4783" s="2">
        <f>IFERROR(__xludf.DUMMYFUNCTION("""COMPUTED_VALUE"""),42740.66666666667)</f>
        <v>42740.66667</v>
      </c>
      <c r="B4783" s="1">
        <f>IFERROR(__xludf.DUMMYFUNCTION("""COMPUTED_VALUE"""),4337.45)</f>
        <v>4337.45</v>
      </c>
    </row>
    <row r="4784">
      <c r="A4784" s="2">
        <f>IFERROR(__xludf.DUMMYFUNCTION("""COMPUTED_VALUE"""),42741.66666666667)</f>
        <v>42741.66667</v>
      </c>
      <c r="B4784" s="1">
        <f>IFERROR(__xludf.DUMMYFUNCTION("""COMPUTED_VALUE"""),4354.05)</f>
        <v>4354.05</v>
      </c>
    </row>
    <row r="4785">
      <c r="A4785" s="2">
        <f>IFERROR(__xludf.DUMMYFUNCTION("""COMPUTED_VALUE"""),42744.66666666667)</f>
        <v>42744.66667</v>
      </c>
      <c r="B4785" s="1">
        <f>IFERROR(__xludf.DUMMYFUNCTION("""COMPUTED_VALUE"""),4338.62)</f>
        <v>4338.62</v>
      </c>
    </row>
    <row r="4786">
      <c r="A4786" s="2">
        <f>IFERROR(__xludf.DUMMYFUNCTION("""COMPUTED_VALUE"""),42745.66666666667)</f>
        <v>42745.66667</v>
      </c>
      <c r="B4786" s="1">
        <f>IFERROR(__xludf.DUMMYFUNCTION("""COMPUTED_VALUE"""),4338.64)</f>
        <v>4338.64</v>
      </c>
    </row>
    <row r="4787">
      <c r="A4787" s="2">
        <f>IFERROR(__xludf.DUMMYFUNCTION("""COMPUTED_VALUE"""),42746.66666666667)</f>
        <v>42746.66667</v>
      </c>
      <c r="B4787" s="1">
        <f>IFERROR(__xludf.DUMMYFUNCTION("""COMPUTED_VALUE"""),4351.32)</f>
        <v>4351.32</v>
      </c>
    </row>
    <row r="4788">
      <c r="A4788" s="2">
        <f>IFERROR(__xludf.DUMMYFUNCTION("""COMPUTED_VALUE"""),42747.66666666667)</f>
        <v>42747.66667</v>
      </c>
      <c r="B4788" s="1">
        <f>IFERROR(__xludf.DUMMYFUNCTION("""COMPUTED_VALUE"""),4342.09)</f>
        <v>4342.09</v>
      </c>
    </row>
    <row r="4789">
      <c r="A4789" s="2">
        <f>IFERROR(__xludf.DUMMYFUNCTION("""COMPUTED_VALUE"""),42748.66666666667)</f>
        <v>42748.66667</v>
      </c>
      <c r="B4789" s="1">
        <f>IFERROR(__xludf.DUMMYFUNCTION("""COMPUTED_VALUE"""),4350.11)</f>
        <v>4350.11</v>
      </c>
    </row>
    <row r="4790">
      <c r="A4790" s="2">
        <f>IFERROR(__xludf.DUMMYFUNCTION("""COMPUTED_VALUE"""),42752.66666666667)</f>
        <v>42752.66667</v>
      </c>
      <c r="B4790" s="1">
        <f>IFERROR(__xludf.DUMMYFUNCTION("""COMPUTED_VALUE"""),4337.2)</f>
        <v>4337.2</v>
      </c>
    </row>
    <row r="4791">
      <c r="A4791" s="2">
        <f>IFERROR(__xludf.DUMMYFUNCTION("""COMPUTED_VALUE"""),42753.66666666667)</f>
        <v>42753.66667</v>
      </c>
      <c r="B4791" s="1">
        <f>IFERROR(__xludf.DUMMYFUNCTION("""COMPUTED_VALUE"""),4345.57)</f>
        <v>4345.57</v>
      </c>
    </row>
    <row r="4792">
      <c r="A4792" s="2">
        <f>IFERROR(__xludf.DUMMYFUNCTION("""COMPUTED_VALUE"""),42754.66666666667)</f>
        <v>42754.66667</v>
      </c>
      <c r="B4792" s="1">
        <f>IFERROR(__xludf.DUMMYFUNCTION("""COMPUTED_VALUE"""),4329.96)</f>
        <v>4329.96</v>
      </c>
    </row>
    <row r="4793">
      <c r="A4793" s="2">
        <f>IFERROR(__xludf.DUMMYFUNCTION("""COMPUTED_VALUE"""),42755.66666666667)</f>
        <v>42755.66667</v>
      </c>
      <c r="B4793" s="1">
        <f>IFERROR(__xludf.DUMMYFUNCTION("""COMPUTED_VALUE"""),4344.67)</f>
        <v>4344.67</v>
      </c>
    </row>
    <row r="4794">
      <c r="A4794" s="2">
        <f>IFERROR(__xludf.DUMMYFUNCTION("""COMPUTED_VALUE"""),42758.66666666667)</f>
        <v>42758.66667</v>
      </c>
      <c r="B4794" s="1">
        <f>IFERROR(__xludf.DUMMYFUNCTION("""COMPUTED_VALUE"""),4333.1)</f>
        <v>4333.1</v>
      </c>
    </row>
    <row r="4795">
      <c r="A4795" s="2">
        <f>IFERROR(__xludf.DUMMYFUNCTION("""COMPUTED_VALUE"""),42759.66666666667)</f>
        <v>42759.66667</v>
      </c>
      <c r="B4795" s="1">
        <f>IFERROR(__xludf.DUMMYFUNCTION("""COMPUTED_VALUE"""),4361.56)</f>
        <v>4361.56</v>
      </c>
    </row>
    <row r="4796">
      <c r="A4796" s="2">
        <f>IFERROR(__xludf.DUMMYFUNCTION("""COMPUTED_VALUE"""),42760.66666666667)</f>
        <v>42760.66667</v>
      </c>
      <c r="B4796" s="1">
        <f>IFERROR(__xludf.DUMMYFUNCTION("""COMPUTED_VALUE"""),4396.57)</f>
        <v>4396.57</v>
      </c>
    </row>
    <row r="4797">
      <c r="A4797" s="2">
        <f>IFERROR(__xludf.DUMMYFUNCTION("""COMPUTED_VALUE"""),42761.66666666667)</f>
        <v>42761.66667</v>
      </c>
      <c r="B4797" s="1">
        <f>IFERROR(__xludf.DUMMYFUNCTION("""COMPUTED_VALUE"""),4393.43)</f>
        <v>4393.43</v>
      </c>
    </row>
    <row r="4798">
      <c r="A4798" s="2">
        <f>IFERROR(__xludf.DUMMYFUNCTION("""COMPUTED_VALUE"""),42762.66666666667)</f>
        <v>42762.66667</v>
      </c>
      <c r="B4798" s="1">
        <f>IFERROR(__xludf.DUMMYFUNCTION("""COMPUTED_VALUE"""),4389.85)</f>
        <v>4389.85</v>
      </c>
    </row>
    <row r="4799">
      <c r="A4799" s="2">
        <f>IFERROR(__xludf.DUMMYFUNCTION("""COMPUTED_VALUE"""),42765.66666666667)</f>
        <v>42765.66667</v>
      </c>
      <c r="B4799" s="1">
        <f>IFERROR(__xludf.DUMMYFUNCTION("""COMPUTED_VALUE"""),4363.67)</f>
        <v>4363.67</v>
      </c>
    </row>
    <row r="4800">
      <c r="A4800" s="2">
        <f>IFERROR(__xludf.DUMMYFUNCTION("""COMPUTED_VALUE"""),42766.66666666667)</f>
        <v>42766.66667</v>
      </c>
      <c r="B4800" s="1">
        <f>IFERROR(__xludf.DUMMYFUNCTION("""COMPUTED_VALUE"""),4359.81)</f>
        <v>4359.81</v>
      </c>
    </row>
    <row r="4801">
      <c r="A4801" s="2">
        <f>IFERROR(__xludf.DUMMYFUNCTION("""COMPUTED_VALUE"""),42767.66666666667)</f>
        <v>42767.66667</v>
      </c>
      <c r="B4801" s="1">
        <f>IFERROR(__xludf.DUMMYFUNCTION("""COMPUTED_VALUE"""),4362.1)</f>
        <v>4362.1</v>
      </c>
    </row>
    <row r="4802">
      <c r="A4802" s="2">
        <f>IFERROR(__xludf.DUMMYFUNCTION("""COMPUTED_VALUE"""),42768.66666666667)</f>
        <v>42768.66667</v>
      </c>
      <c r="B4802" s="1">
        <f>IFERROR(__xludf.DUMMYFUNCTION("""COMPUTED_VALUE"""),4364.85)</f>
        <v>4364.85</v>
      </c>
    </row>
    <row r="4803">
      <c r="A4803" s="2">
        <f>IFERROR(__xludf.DUMMYFUNCTION("""COMPUTED_VALUE"""),42769.66666666667)</f>
        <v>42769.66667</v>
      </c>
      <c r="B4803" s="1">
        <f>IFERROR(__xludf.DUMMYFUNCTION("""COMPUTED_VALUE"""),4396.95)</f>
        <v>4396.95</v>
      </c>
    </row>
    <row r="4804">
      <c r="A4804" s="2">
        <f>IFERROR(__xludf.DUMMYFUNCTION("""COMPUTED_VALUE"""),42772.66666666667)</f>
        <v>42772.66667</v>
      </c>
      <c r="B4804" s="1">
        <f>IFERROR(__xludf.DUMMYFUNCTION("""COMPUTED_VALUE"""),4387.67)</f>
        <v>4387.67</v>
      </c>
    </row>
    <row r="4805">
      <c r="A4805" s="2">
        <f>IFERROR(__xludf.DUMMYFUNCTION("""COMPUTED_VALUE"""),42773.66666666667)</f>
        <v>42773.66667</v>
      </c>
      <c r="B4805" s="1">
        <f>IFERROR(__xludf.DUMMYFUNCTION("""COMPUTED_VALUE"""),4388.87)</f>
        <v>4388.87</v>
      </c>
    </row>
    <row r="4806">
      <c r="A4806" s="2">
        <f>IFERROR(__xludf.DUMMYFUNCTION("""COMPUTED_VALUE"""),42774.66666666667)</f>
        <v>42774.66667</v>
      </c>
      <c r="B4806" s="1">
        <f>IFERROR(__xludf.DUMMYFUNCTION("""COMPUTED_VALUE"""),4393.31)</f>
        <v>4393.31</v>
      </c>
    </row>
    <row r="4807">
      <c r="A4807" s="2">
        <f>IFERROR(__xludf.DUMMYFUNCTION("""COMPUTED_VALUE"""),42775.66666666667)</f>
        <v>42775.66667</v>
      </c>
      <c r="B4807" s="1">
        <f>IFERROR(__xludf.DUMMYFUNCTION("""COMPUTED_VALUE"""),4419.4)</f>
        <v>4419.4</v>
      </c>
    </row>
    <row r="4808">
      <c r="A4808" s="2">
        <f>IFERROR(__xludf.DUMMYFUNCTION("""COMPUTED_VALUE"""),42776.66666666667)</f>
        <v>42776.66667</v>
      </c>
      <c r="B4808" s="1">
        <f>IFERROR(__xludf.DUMMYFUNCTION("""COMPUTED_VALUE"""),4435.42)</f>
        <v>4435.42</v>
      </c>
    </row>
    <row r="4809">
      <c r="A4809" s="2">
        <f>IFERROR(__xludf.DUMMYFUNCTION("""COMPUTED_VALUE"""),42779.66666666667)</f>
        <v>42779.66667</v>
      </c>
      <c r="B4809" s="1">
        <f>IFERROR(__xludf.DUMMYFUNCTION("""COMPUTED_VALUE"""),4459.83)</f>
        <v>4459.83</v>
      </c>
    </row>
    <row r="4810">
      <c r="A4810" s="2">
        <f>IFERROR(__xludf.DUMMYFUNCTION("""COMPUTED_VALUE"""),42780.66666666667)</f>
        <v>42780.66667</v>
      </c>
      <c r="B4810" s="1">
        <f>IFERROR(__xludf.DUMMYFUNCTION("""COMPUTED_VALUE"""),4478.98)</f>
        <v>4478.98</v>
      </c>
    </row>
    <row r="4811">
      <c r="A4811" s="2">
        <f>IFERROR(__xludf.DUMMYFUNCTION("""COMPUTED_VALUE"""),42781.66666666667)</f>
        <v>42781.66667</v>
      </c>
      <c r="B4811" s="1">
        <f>IFERROR(__xludf.DUMMYFUNCTION("""COMPUTED_VALUE"""),4501.99)</f>
        <v>4501.99</v>
      </c>
    </row>
    <row r="4812">
      <c r="A4812" s="2">
        <f>IFERROR(__xludf.DUMMYFUNCTION("""COMPUTED_VALUE"""),42782.66666666667)</f>
        <v>42782.66667</v>
      </c>
      <c r="B4812" s="1">
        <f>IFERROR(__xludf.DUMMYFUNCTION("""COMPUTED_VALUE"""),4498.56)</f>
        <v>4498.56</v>
      </c>
    </row>
    <row r="4813">
      <c r="A4813" s="2">
        <f>IFERROR(__xludf.DUMMYFUNCTION("""COMPUTED_VALUE"""),42783.66666666667)</f>
        <v>42783.66667</v>
      </c>
      <c r="B4813" s="1">
        <f>IFERROR(__xludf.DUMMYFUNCTION("""COMPUTED_VALUE"""),4506.2)</f>
        <v>4506.2</v>
      </c>
    </row>
    <row r="4814">
      <c r="A4814" s="2">
        <f>IFERROR(__xludf.DUMMYFUNCTION("""COMPUTED_VALUE"""),42787.66666666667)</f>
        <v>42787.66667</v>
      </c>
      <c r="B4814" s="1">
        <f>IFERROR(__xludf.DUMMYFUNCTION("""COMPUTED_VALUE"""),4533.46)</f>
        <v>4533.46</v>
      </c>
    </row>
    <row r="4815">
      <c r="A4815" s="2">
        <f>IFERROR(__xludf.DUMMYFUNCTION("""COMPUTED_VALUE"""),42788.66666666667)</f>
        <v>42788.66667</v>
      </c>
      <c r="B4815" s="1">
        <f>IFERROR(__xludf.DUMMYFUNCTION("""COMPUTED_VALUE"""),4528.97)</f>
        <v>4528.97</v>
      </c>
    </row>
    <row r="4816">
      <c r="A4816" s="2">
        <f>IFERROR(__xludf.DUMMYFUNCTION("""COMPUTED_VALUE"""),42789.66666666667)</f>
        <v>42789.66667</v>
      </c>
      <c r="B4816" s="1">
        <f>IFERROR(__xludf.DUMMYFUNCTION("""COMPUTED_VALUE"""),4531.39)</f>
        <v>4531.39</v>
      </c>
    </row>
    <row r="4817">
      <c r="A4817" s="2">
        <f>IFERROR(__xludf.DUMMYFUNCTION("""COMPUTED_VALUE"""),42790.66666666667)</f>
        <v>42790.66667</v>
      </c>
      <c r="B4817" s="1">
        <f>IFERROR(__xludf.DUMMYFUNCTION("""COMPUTED_VALUE"""),4539.25)</f>
        <v>4539.25</v>
      </c>
    </row>
    <row r="4818">
      <c r="A4818" s="2">
        <f>IFERROR(__xludf.DUMMYFUNCTION("""COMPUTED_VALUE"""),42793.66666666667)</f>
        <v>42793.66667</v>
      </c>
      <c r="B4818" s="1">
        <f>IFERROR(__xludf.DUMMYFUNCTION("""COMPUTED_VALUE"""),4544.51)</f>
        <v>4544.51</v>
      </c>
    </row>
    <row r="4819">
      <c r="A4819" s="2">
        <f>IFERROR(__xludf.DUMMYFUNCTION("""COMPUTED_VALUE"""),42794.66666666667)</f>
        <v>42794.66667</v>
      </c>
      <c r="B4819" s="1">
        <f>IFERROR(__xludf.DUMMYFUNCTION("""COMPUTED_VALUE"""),4532.93)</f>
        <v>4532.93</v>
      </c>
    </row>
    <row r="4820">
      <c r="A4820" s="2">
        <f>IFERROR(__xludf.DUMMYFUNCTION("""COMPUTED_VALUE"""),42795.66666666667)</f>
        <v>42795.66667</v>
      </c>
      <c r="B4820" s="1">
        <f>IFERROR(__xludf.DUMMYFUNCTION("""COMPUTED_VALUE"""),4595.73)</f>
        <v>4595.73</v>
      </c>
    </row>
    <row r="4821">
      <c r="A4821" s="2">
        <f>IFERROR(__xludf.DUMMYFUNCTION("""COMPUTED_VALUE"""),42796.66666666667)</f>
        <v>42796.66667</v>
      </c>
      <c r="B4821" s="1">
        <f>IFERROR(__xludf.DUMMYFUNCTION("""COMPUTED_VALUE"""),4569.17)</f>
        <v>4569.17</v>
      </c>
    </row>
    <row r="4822">
      <c r="A4822" s="2">
        <f>IFERROR(__xludf.DUMMYFUNCTION("""COMPUTED_VALUE"""),42797.66666666667)</f>
        <v>42797.66667</v>
      </c>
      <c r="B4822" s="1">
        <f>IFERROR(__xludf.DUMMYFUNCTION("""COMPUTED_VALUE"""),4571.6)</f>
        <v>4571.6</v>
      </c>
    </row>
    <row r="4823">
      <c r="A4823" s="2">
        <f>IFERROR(__xludf.DUMMYFUNCTION("""COMPUTED_VALUE"""),42800.66666666667)</f>
        <v>42800.66667</v>
      </c>
      <c r="B4823" s="1">
        <f>IFERROR(__xludf.DUMMYFUNCTION("""COMPUTED_VALUE"""),4556.72)</f>
        <v>4556.72</v>
      </c>
    </row>
    <row r="4824">
      <c r="A4824" s="2">
        <f>IFERROR(__xludf.DUMMYFUNCTION("""COMPUTED_VALUE"""),42801.66666666667)</f>
        <v>42801.66667</v>
      </c>
      <c r="B4824" s="1">
        <f>IFERROR(__xludf.DUMMYFUNCTION("""COMPUTED_VALUE"""),4543.75)</f>
        <v>4543.75</v>
      </c>
    </row>
    <row r="4825">
      <c r="A4825" s="2">
        <f>IFERROR(__xludf.DUMMYFUNCTION("""COMPUTED_VALUE"""),42802.66666666667)</f>
        <v>42802.66667</v>
      </c>
      <c r="B4825" s="1">
        <f>IFERROR(__xludf.DUMMYFUNCTION("""COMPUTED_VALUE"""),4534.68)</f>
        <v>4534.68</v>
      </c>
    </row>
    <row r="4826">
      <c r="A4826" s="2">
        <f>IFERROR(__xludf.DUMMYFUNCTION("""COMPUTED_VALUE"""),42803.66666666667)</f>
        <v>42803.66667</v>
      </c>
      <c r="B4826" s="1">
        <f>IFERROR(__xludf.DUMMYFUNCTION("""COMPUTED_VALUE"""),4538.36)</f>
        <v>4538.36</v>
      </c>
    </row>
    <row r="4827">
      <c r="A4827" s="2">
        <f>IFERROR(__xludf.DUMMYFUNCTION("""COMPUTED_VALUE"""),42804.66666666667)</f>
        <v>42804.66667</v>
      </c>
      <c r="B4827" s="1">
        <f>IFERROR(__xludf.DUMMYFUNCTION("""COMPUTED_VALUE"""),4553.28)</f>
        <v>4553.28</v>
      </c>
    </row>
    <row r="4828">
      <c r="A4828" s="2">
        <f>IFERROR(__xludf.DUMMYFUNCTION("""COMPUTED_VALUE"""),42807.66666666667)</f>
        <v>42807.66667</v>
      </c>
      <c r="B4828" s="1">
        <f>IFERROR(__xludf.DUMMYFUNCTION("""COMPUTED_VALUE"""),4556.44)</f>
        <v>4556.44</v>
      </c>
    </row>
    <row r="4829">
      <c r="A4829" s="2">
        <f>IFERROR(__xludf.DUMMYFUNCTION("""COMPUTED_VALUE"""),42808.66666666667)</f>
        <v>42808.66667</v>
      </c>
      <c r="B4829" s="1">
        <f>IFERROR(__xludf.DUMMYFUNCTION("""COMPUTED_VALUE"""),4541.26)</f>
        <v>4541.26</v>
      </c>
    </row>
    <row r="4830">
      <c r="A4830" s="2">
        <f>IFERROR(__xludf.DUMMYFUNCTION("""COMPUTED_VALUE"""),42809.66666666667)</f>
        <v>42809.66667</v>
      </c>
      <c r="B4830" s="1">
        <f>IFERROR(__xludf.DUMMYFUNCTION("""COMPUTED_VALUE"""),4579.44)</f>
        <v>4579.44</v>
      </c>
    </row>
    <row r="4831">
      <c r="A4831" s="2">
        <f>IFERROR(__xludf.DUMMYFUNCTION("""COMPUTED_VALUE"""),42810.66666666667)</f>
        <v>42810.66667</v>
      </c>
      <c r="B4831" s="1">
        <f>IFERROR(__xludf.DUMMYFUNCTION("""COMPUTED_VALUE"""),4572.16)</f>
        <v>4572.16</v>
      </c>
    </row>
    <row r="4832">
      <c r="A4832" s="2">
        <f>IFERROR(__xludf.DUMMYFUNCTION("""COMPUTED_VALUE"""),42811.66666666667)</f>
        <v>42811.66667</v>
      </c>
      <c r="B4832" s="1">
        <f>IFERROR(__xludf.DUMMYFUNCTION("""COMPUTED_VALUE"""),4566.17)</f>
        <v>4566.17</v>
      </c>
    </row>
    <row r="4833">
      <c r="A4833" s="2">
        <f>IFERROR(__xludf.DUMMYFUNCTION("""COMPUTED_VALUE"""),42814.66666666667)</f>
        <v>42814.66667</v>
      </c>
      <c r="B4833" s="1">
        <f>IFERROR(__xludf.DUMMYFUNCTION("""COMPUTED_VALUE"""),4557.12)</f>
        <v>4557.12</v>
      </c>
    </row>
    <row r="4834">
      <c r="A4834" s="2">
        <f>IFERROR(__xludf.DUMMYFUNCTION("""COMPUTED_VALUE"""),42815.66666666667)</f>
        <v>42815.66667</v>
      </c>
      <c r="B4834" s="1">
        <f>IFERROR(__xludf.DUMMYFUNCTION("""COMPUTED_VALUE"""),4500.98)</f>
        <v>4500.98</v>
      </c>
    </row>
    <row r="4835">
      <c r="A4835" s="2">
        <f>IFERROR(__xludf.DUMMYFUNCTION("""COMPUTED_VALUE"""),42816.66666666667)</f>
        <v>42816.66667</v>
      </c>
      <c r="B4835" s="1">
        <f>IFERROR(__xludf.DUMMYFUNCTION("""COMPUTED_VALUE"""),4509.65)</f>
        <v>4509.65</v>
      </c>
    </row>
    <row r="4836">
      <c r="A4836" s="2">
        <f>IFERROR(__xludf.DUMMYFUNCTION("""COMPUTED_VALUE"""),42817.66666666667)</f>
        <v>42817.66667</v>
      </c>
      <c r="B4836" s="1">
        <f>IFERROR(__xludf.DUMMYFUNCTION("""COMPUTED_VALUE"""),4504.92)</f>
        <v>4504.92</v>
      </c>
    </row>
    <row r="4837">
      <c r="A4837" s="2">
        <f>IFERROR(__xludf.DUMMYFUNCTION("""COMPUTED_VALUE"""),42818.66666666667)</f>
        <v>42818.66667</v>
      </c>
      <c r="B4837" s="1">
        <f>IFERROR(__xludf.DUMMYFUNCTION("""COMPUTED_VALUE"""),4501.11)</f>
        <v>4501.11</v>
      </c>
    </row>
    <row r="4838">
      <c r="A4838" s="2">
        <f>IFERROR(__xludf.DUMMYFUNCTION("""COMPUTED_VALUE"""),42821.66666666667)</f>
        <v>42821.66667</v>
      </c>
      <c r="B4838" s="1">
        <f>IFERROR(__xludf.DUMMYFUNCTION("""COMPUTED_VALUE"""),4496.53)</f>
        <v>4496.53</v>
      </c>
    </row>
    <row r="4839">
      <c r="A4839" s="2">
        <f>IFERROR(__xludf.DUMMYFUNCTION("""COMPUTED_VALUE"""),42822.66666666667)</f>
        <v>42822.66667</v>
      </c>
      <c r="B4839" s="1">
        <f>IFERROR(__xludf.DUMMYFUNCTION("""COMPUTED_VALUE"""),4529.17)</f>
        <v>4529.17</v>
      </c>
    </row>
    <row r="4840">
      <c r="A4840" s="2">
        <f>IFERROR(__xludf.DUMMYFUNCTION("""COMPUTED_VALUE"""),42823.66666666667)</f>
        <v>42823.66667</v>
      </c>
      <c r="B4840" s="1">
        <f>IFERROR(__xludf.DUMMYFUNCTION("""COMPUTED_VALUE"""),4535.01)</f>
        <v>4535.01</v>
      </c>
    </row>
    <row r="4841">
      <c r="A4841" s="2">
        <f>IFERROR(__xludf.DUMMYFUNCTION("""COMPUTED_VALUE"""),42824.66666666667)</f>
        <v>42824.66667</v>
      </c>
      <c r="B4841" s="1">
        <f>IFERROR(__xludf.DUMMYFUNCTION("""COMPUTED_VALUE"""),4548.46)</f>
        <v>4548.46</v>
      </c>
    </row>
    <row r="4842">
      <c r="A4842" s="2">
        <f>IFERROR(__xludf.DUMMYFUNCTION("""COMPUTED_VALUE"""),42825.66666666667)</f>
        <v>42825.66667</v>
      </c>
      <c r="B4842" s="1">
        <f>IFERROR(__xludf.DUMMYFUNCTION("""COMPUTED_VALUE"""),4538.21)</f>
        <v>4538.21</v>
      </c>
    </row>
    <row r="4843">
      <c r="A4843" s="2">
        <f>IFERROR(__xludf.DUMMYFUNCTION("""COMPUTED_VALUE"""),42828.66666666667)</f>
        <v>42828.66667</v>
      </c>
      <c r="B4843" s="1">
        <f>IFERROR(__xludf.DUMMYFUNCTION("""COMPUTED_VALUE"""),4530.98)</f>
        <v>4530.98</v>
      </c>
    </row>
    <row r="4844">
      <c r="A4844" s="2">
        <f>IFERROR(__xludf.DUMMYFUNCTION("""COMPUTED_VALUE"""),42829.66666666667)</f>
        <v>42829.66667</v>
      </c>
      <c r="B4844" s="1">
        <f>IFERROR(__xludf.DUMMYFUNCTION("""COMPUTED_VALUE"""),4534.25)</f>
        <v>4534.25</v>
      </c>
    </row>
    <row r="4845">
      <c r="A4845" s="2">
        <f>IFERROR(__xludf.DUMMYFUNCTION("""COMPUTED_VALUE"""),42830.66666666667)</f>
        <v>42830.66667</v>
      </c>
      <c r="B4845" s="1">
        <f>IFERROR(__xludf.DUMMYFUNCTION("""COMPUTED_VALUE"""),4520.86)</f>
        <v>4520.86</v>
      </c>
    </row>
    <row r="4846">
      <c r="A4846" s="2">
        <f>IFERROR(__xludf.DUMMYFUNCTION("""COMPUTED_VALUE"""),42831.66666666667)</f>
        <v>42831.66667</v>
      </c>
      <c r="B4846" s="1">
        <f>IFERROR(__xludf.DUMMYFUNCTION("""COMPUTED_VALUE"""),4530.93)</f>
        <v>4530.93</v>
      </c>
    </row>
    <row r="4847">
      <c r="A4847" s="2">
        <f>IFERROR(__xludf.DUMMYFUNCTION("""COMPUTED_VALUE"""),42832.66666666667)</f>
        <v>42832.66667</v>
      </c>
      <c r="B4847" s="1">
        <f>IFERROR(__xludf.DUMMYFUNCTION("""COMPUTED_VALUE"""),4527.2)</f>
        <v>4527.2</v>
      </c>
    </row>
    <row r="4848">
      <c r="A4848" s="2">
        <f>IFERROR(__xludf.DUMMYFUNCTION("""COMPUTED_VALUE"""),42835.66666666667)</f>
        <v>42835.66667</v>
      </c>
      <c r="B4848" s="1">
        <f>IFERROR(__xludf.DUMMYFUNCTION("""COMPUTED_VALUE"""),4530.57)</f>
        <v>4530.57</v>
      </c>
    </row>
    <row r="4849">
      <c r="A4849" s="2">
        <f>IFERROR(__xludf.DUMMYFUNCTION("""COMPUTED_VALUE"""),42836.66666666667)</f>
        <v>42836.66667</v>
      </c>
      <c r="B4849" s="1">
        <f>IFERROR(__xludf.DUMMYFUNCTION("""COMPUTED_VALUE"""),4524.71)</f>
        <v>4524.71</v>
      </c>
    </row>
    <row r="4850">
      <c r="A4850" s="2">
        <f>IFERROR(__xludf.DUMMYFUNCTION("""COMPUTED_VALUE"""),42837.66666666667)</f>
        <v>42837.66667</v>
      </c>
      <c r="B4850" s="1">
        <f>IFERROR(__xludf.DUMMYFUNCTION("""COMPUTED_VALUE"""),4507.76)</f>
        <v>4507.76</v>
      </c>
    </row>
    <row r="4851">
      <c r="A4851" s="2">
        <f>IFERROR(__xludf.DUMMYFUNCTION("""COMPUTED_VALUE"""),42838.66666666667)</f>
        <v>42838.66667</v>
      </c>
      <c r="B4851" s="1">
        <f>IFERROR(__xludf.DUMMYFUNCTION("""COMPUTED_VALUE"""),4477.07)</f>
        <v>4477.07</v>
      </c>
    </row>
    <row r="4852">
      <c r="A4852" s="2">
        <f>IFERROR(__xludf.DUMMYFUNCTION("""COMPUTED_VALUE"""),42842.66666666667)</f>
        <v>42842.66667</v>
      </c>
      <c r="B4852" s="1">
        <f>IFERROR(__xludf.DUMMYFUNCTION("""COMPUTED_VALUE"""),4515.65)</f>
        <v>4515.65</v>
      </c>
    </row>
    <row r="4853">
      <c r="A4853" s="2">
        <f>IFERROR(__xludf.DUMMYFUNCTION("""COMPUTED_VALUE"""),42843.66666666667)</f>
        <v>42843.66667</v>
      </c>
      <c r="B4853" s="1">
        <f>IFERROR(__xludf.DUMMYFUNCTION("""COMPUTED_VALUE"""),4502.66)</f>
        <v>4502.66</v>
      </c>
    </row>
    <row r="4854">
      <c r="A4854" s="2">
        <f>IFERROR(__xludf.DUMMYFUNCTION("""COMPUTED_VALUE"""),42844.66666666667)</f>
        <v>42844.66667</v>
      </c>
      <c r="B4854" s="1">
        <f>IFERROR(__xludf.DUMMYFUNCTION("""COMPUTED_VALUE"""),4495.56)</f>
        <v>4495.56</v>
      </c>
    </row>
    <row r="4855">
      <c r="A4855" s="2">
        <f>IFERROR(__xludf.DUMMYFUNCTION("""COMPUTED_VALUE"""),42845.66666666667)</f>
        <v>42845.66667</v>
      </c>
      <c r="B4855" s="1">
        <f>IFERROR(__xludf.DUMMYFUNCTION("""COMPUTED_VALUE"""),4529.65)</f>
        <v>4529.65</v>
      </c>
    </row>
    <row r="4856">
      <c r="A4856" s="2">
        <f>IFERROR(__xludf.DUMMYFUNCTION("""COMPUTED_VALUE"""),42846.66666666667)</f>
        <v>42846.66667</v>
      </c>
      <c r="B4856" s="1">
        <f>IFERROR(__xludf.DUMMYFUNCTION("""COMPUTED_VALUE"""),4515.9)</f>
        <v>4515.9</v>
      </c>
    </row>
    <row r="4857">
      <c r="A4857" s="2">
        <f>IFERROR(__xludf.DUMMYFUNCTION("""COMPUTED_VALUE"""),42849.66666666667)</f>
        <v>42849.66667</v>
      </c>
      <c r="B4857" s="1">
        <f>IFERROR(__xludf.DUMMYFUNCTION("""COMPUTED_VALUE"""),4564.93)</f>
        <v>4564.93</v>
      </c>
    </row>
    <row r="4858">
      <c r="A4858" s="2">
        <f>IFERROR(__xludf.DUMMYFUNCTION("""COMPUTED_VALUE"""),42850.66666666667)</f>
        <v>42850.66667</v>
      </c>
      <c r="B4858" s="1">
        <f>IFERROR(__xludf.DUMMYFUNCTION("""COMPUTED_VALUE"""),4592.74)</f>
        <v>4592.74</v>
      </c>
    </row>
    <row r="4859">
      <c r="A4859" s="2">
        <f>IFERROR(__xludf.DUMMYFUNCTION("""COMPUTED_VALUE"""),42851.66666666667)</f>
        <v>42851.66667</v>
      </c>
      <c r="B4859" s="1">
        <f>IFERROR(__xludf.DUMMYFUNCTION("""COMPUTED_VALUE"""),4590.56)</f>
        <v>4590.56</v>
      </c>
    </row>
    <row r="4860">
      <c r="A4860" s="2">
        <f>IFERROR(__xludf.DUMMYFUNCTION("""COMPUTED_VALUE"""),42852.66666666667)</f>
        <v>42852.66667</v>
      </c>
      <c r="B4860" s="1">
        <f>IFERROR(__xludf.DUMMYFUNCTION("""COMPUTED_VALUE"""),4593.57)</f>
        <v>4593.57</v>
      </c>
    </row>
    <row r="4861">
      <c r="A4861" s="2">
        <f>IFERROR(__xludf.DUMMYFUNCTION("""COMPUTED_VALUE"""),42853.66666666667)</f>
        <v>42853.66667</v>
      </c>
      <c r="B4861" s="1">
        <f>IFERROR(__xludf.DUMMYFUNCTION("""COMPUTED_VALUE"""),4584.82)</f>
        <v>4584.82</v>
      </c>
    </row>
    <row r="4862">
      <c r="A4862" s="2">
        <f>IFERROR(__xludf.DUMMYFUNCTION("""COMPUTED_VALUE"""),42856.66666666667)</f>
        <v>42856.66667</v>
      </c>
      <c r="B4862" s="1">
        <f>IFERROR(__xludf.DUMMYFUNCTION("""COMPUTED_VALUE"""),4592.78)</f>
        <v>4592.78</v>
      </c>
    </row>
    <row r="4863">
      <c r="A4863" s="2">
        <f>IFERROR(__xludf.DUMMYFUNCTION("""COMPUTED_VALUE"""),42857.66666666667)</f>
        <v>42857.66667</v>
      </c>
      <c r="B4863" s="1">
        <f>IFERROR(__xludf.DUMMYFUNCTION("""COMPUTED_VALUE"""),4598.24)</f>
        <v>4598.24</v>
      </c>
    </row>
    <row r="4864">
      <c r="A4864" s="2">
        <f>IFERROR(__xludf.DUMMYFUNCTION("""COMPUTED_VALUE"""),42858.66666666667)</f>
        <v>42858.66667</v>
      </c>
      <c r="B4864" s="1">
        <f>IFERROR(__xludf.DUMMYFUNCTION("""COMPUTED_VALUE"""),4593.32)</f>
        <v>4593.32</v>
      </c>
    </row>
    <row r="4865">
      <c r="A4865" s="2">
        <f>IFERROR(__xludf.DUMMYFUNCTION("""COMPUTED_VALUE"""),42859.66666666667)</f>
        <v>42859.66667</v>
      </c>
      <c r="B4865" s="1">
        <f>IFERROR(__xludf.DUMMYFUNCTION("""COMPUTED_VALUE"""),4596.24)</f>
        <v>4596.24</v>
      </c>
    </row>
    <row r="4866">
      <c r="A4866" s="2">
        <f>IFERROR(__xludf.DUMMYFUNCTION("""COMPUTED_VALUE"""),42860.66666666667)</f>
        <v>42860.66667</v>
      </c>
      <c r="B4866" s="1">
        <f>IFERROR(__xludf.DUMMYFUNCTION("""COMPUTED_VALUE"""),4615.09)</f>
        <v>4615.09</v>
      </c>
    </row>
    <row r="4867">
      <c r="A4867" s="2">
        <f>IFERROR(__xludf.DUMMYFUNCTION("""COMPUTED_VALUE"""),42863.66666666667)</f>
        <v>42863.66667</v>
      </c>
      <c r="B4867" s="1">
        <f>IFERROR(__xludf.DUMMYFUNCTION("""COMPUTED_VALUE"""),4615.73)</f>
        <v>4615.73</v>
      </c>
    </row>
    <row r="4868">
      <c r="A4868" s="2">
        <f>IFERROR(__xludf.DUMMYFUNCTION("""COMPUTED_VALUE"""),42864.66666666667)</f>
        <v>42864.66667</v>
      </c>
      <c r="B4868" s="1">
        <f>IFERROR(__xludf.DUMMYFUNCTION("""COMPUTED_VALUE"""),4611.21)</f>
        <v>4611.21</v>
      </c>
    </row>
    <row r="4869">
      <c r="A4869" s="2">
        <f>IFERROR(__xludf.DUMMYFUNCTION("""COMPUTED_VALUE"""),42865.66666666667)</f>
        <v>42865.66667</v>
      </c>
      <c r="B4869" s="1">
        <f>IFERROR(__xludf.DUMMYFUNCTION("""COMPUTED_VALUE"""),4618.19)</f>
        <v>4618.19</v>
      </c>
    </row>
    <row r="4870">
      <c r="A4870" s="2">
        <f>IFERROR(__xludf.DUMMYFUNCTION("""COMPUTED_VALUE"""),42866.66666666667)</f>
        <v>42866.66667</v>
      </c>
      <c r="B4870" s="1">
        <f>IFERROR(__xludf.DUMMYFUNCTION("""COMPUTED_VALUE"""),4609.69)</f>
        <v>4609.69</v>
      </c>
    </row>
    <row r="4871">
      <c r="A4871" s="2">
        <f>IFERROR(__xludf.DUMMYFUNCTION("""COMPUTED_VALUE"""),42867.66666666667)</f>
        <v>42867.66667</v>
      </c>
      <c r="B4871" s="1">
        <f>IFERROR(__xludf.DUMMYFUNCTION("""COMPUTED_VALUE"""),4602.96)</f>
        <v>4602.96</v>
      </c>
    </row>
    <row r="4872">
      <c r="A4872" s="2">
        <f>IFERROR(__xludf.DUMMYFUNCTION("""COMPUTED_VALUE"""),42870.66666666667)</f>
        <v>42870.66667</v>
      </c>
      <c r="B4872" s="1">
        <f>IFERROR(__xludf.DUMMYFUNCTION("""COMPUTED_VALUE"""),4625.51)</f>
        <v>4625.51</v>
      </c>
    </row>
    <row r="4873">
      <c r="A4873" s="2">
        <f>IFERROR(__xludf.DUMMYFUNCTION("""COMPUTED_VALUE"""),42871.66666666667)</f>
        <v>42871.66667</v>
      </c>
      <c r="B4873" s="1">
        <f>IFERROR(__xludf.DUMMYFUNCTION("""COMPUTED_VALUE"""),4623.26)</f>
        <v>4623.26</v>
      </c>
    </row>
    <row r="4874">
      <c r="A4874" s="2">
        <f>IFERROR(__xludf.DUMMYFUNCTION("""COMPUTED_VALUE"""),42872.66666666667)</f>
        <v>42872.66667</v>
      </c>
      <c r="B4874" s="1">
        <f>IFERROR(__xludf.DUMMYFUNCTION("""COMPUTED_VALUE"""),4540.58)</f>
        <v>4540.58</v>
      </c>
    </row>
    <row r="4875">
      <c r="A4875" s="2">
        <f>IFERROR(__xludf.DUMMYFUNCTION("""COMPUTED_VALUE"""),42873.66666666667)</f>
        <v>42873.66667</v>
      </c>
      <c r="B4875" s="1">
        <f>IFERROR(__xludf.DUMMYFUNCTION("""COMPUTED_VALUE"""),4557.41)</f>
        <v>4557.41</v>
      </c>
    </row>
    <row r="4876">
      <c r="A4876" s="2">
        <f>IFERROR(__xludf.DUMMYFUNCTION("""COMPUTED_VALUE"""),42874.66666666667)</f>
        <v>42874.66667</v>
      </c>
      <c r="B4876" s="1">
        <f>IFERROR(__xludf.DUMMYFUNCTION("""COMPUTED_VALUE"""),4588.35)</f>
        <v>4588.35</v>
      </c>
    </row>
    <row r="4877">
      <c r="A4877" s="2">
        <f>IFERROR(__xludf.DUMMYFUNCTION("""COMPUTED_VALUE"""),42877.66666666667)</f>
        <v>42877.66667</v>
      </c>
      <c r="B4877" s="1">
        <f>IFERROR(__xludf.DUMMYFUNCTION("""COMPUTED_VALUE"""),4612.12)</f>
        <v>4612.12</v>
      </c>
    </row>
    <row r="4878">
      <c r="A4878" s="2">
        <f>IFERROR(__xludf.DUMMYFUNCTION("""COMPUTED_VALUE"""),42878.66666666667)</f>
        <v>42878.66667</v>
      </c>
      <c r="B4878" s="1">
        <f>IFERROR(__xludf.DUMMYFUNCTION("""COMPUTED_VALUE"""),4620.7)</f>
        <v>4620.7</v>
      </c>
    </row>
    <row r="4879">
      <c r="A4879" s="2">
        <f>IFERROR(__xludf.DUMMYFUNCTION("""COMPUTED_VALUE"""),42879.66666666667)</f>
        <v>42879.66667</v>
      </c>
      <c r="B4879" s="1">
        <f>IFERROR(__xludf.DUMMYFUNCTION("""COMPUTED_VALUE"""),4632.37)</f>
        <v>4632.37</v>
      </c>
    </row>
    <row r="4880">
      <c r="A4880" s="2">
        <f>IFERROR(__xludf.DUMMYFUNCTION("""COMPUTED_VALUE"""),42880.66666666667)</f>
        <v>42880.66667</v>
      </c>
      <c r="B4880" s="1">
        <f>IFERROR(__xludf.DUMMYFUNCTION("""COMPUTED_VALUE"""),4653.59)</f>
        <v>4653.59</v>
      </c>
    </row>
    <row r="4881">
      <c r="A4881" s="2">
        <f>IFERROR(__xludf.DUMMYFUNCTION("""COMPUTED_VALUE"""),42881.66666666667)</f>
        <v>42881.66667</v>
      </c>
      <c r="B4881" s="1">
        <f>IFERROR(__xludf.DUMMYFUNCTION("""COMPUTED_VALUE"""),4655.65)</f>
        <v>4655.65</v>
      </c>
    </row>
    <row r="4882">
      <c r="A4882" s="2">
        <f>IFERROR(__xludf.DUMMYFUNCTION("""COMPUTED_VALUE"""),42885.66666666667)</f>
        <v>42885.66667</v>
      </c>
      <c r="B4882" s="1">
        <f>IFERROR(__xludf.DUMMYFUNCTION("""COMPUTED_VALUE"""),4650.76)</f>
        <v>4650.76</v>
      </c>
    </row>
    <row r="4883">
      <c r="A4883" s="2">
        <f>IFERROR(__xludf.DUMMYFUNCTION("""COMPUTED_VALUE"""),42886.66666666667)</f>
        <v>42886.66667</v>
      </c>
      <c r="B4883" s="1">
        <f>IFERROR(__xludf.DUMMYFUNCTION("""COMPUTED_VALUE"""),4649.34)</f>
        <v>4649.34</v>
      </c>
    </row>
    <row r="4884">
      <c r="A4884" s="2">
        <f>IFERROR(__xludf.DUMMYFUNCTION("""COMPUTED_VALUE"""),42887.66666666667)</f>
        <v>42887.66667</v>
      </c>
      <c r="B4884" s="1">
        <f>IFERROR(__xludf.DUMMYFUNCTION("""COMPUTED_VALUE"""),4685.11)</f>
        <v>4685.11</v>
      </c>
    </row>
    <row r="4885">
      <c r="A4885" s="2">
        <f>IFERROR(__xludf.DUMMYFUNCTION("""COMPUTED_VALUE"""),42888.66666666667)</f>
        <v>42888.66667</v>
      </c>
      <c r="B4885" s="1">
        <f>IFERROR(__xludf.DUMMYFUNCTION("""COMPUTED_VALUE"""),4702.56)</f>
        <v>4702.56</v>
      </c>
    </row>
    <row r="4886">
      <c r="A4886" s="2">
        <f>IFERROR(__xludf.DUMMYFUNCTION("""COMPUTED_VALUE"""),42891.66666666667)</f>
        <v>42891.66667</v>
      </c>
      <c r="B4886" s="1">
        <f>IFERROR(__xludf.DUMMYFUNCTION("""COMPUTED_VALUE"""),4697.0)</f>
        <v>4697</v>
      </c>
    </row>
    <row r="4887">
      <c r="A4887" s="2">
        <f>IFERROR(__xludf.DUMMYFUNCTION("""COMPUTED_VALUE"""),42892.66666666667)</f>
        <v>42892.66667</v>
      </c>
      <c r="B4887" s="1">
        <f>IFERROR(__xludf.DUMMYFUNCTION("""COMPUTED_VALUE"""),4683.96)</f>
        <v>4683.96</v>
      </c>
    </row>
    <row r="4888">
      <c r="A4888" s="2">
        <f>IFERROR(__xludf.DUMMYFUNCTION("""COMPUTED_VALUE"""),42893.66666666667)</f>
        <v>42893.66667</v>
      </c>
      <c r="B4888" s="1">
        <f>IFERROR(__xludf.DUMMYFUNCTION("""COMPUTED_VALUE"""),4692.29)</f>
        <v>4692.29</v>
      </c>
    </row>
    <row r="4889">
      <c r="A4889" s="2">
        <f>IFERROR(__xludf.DUMMYFUNCTION("""COMPUTED_VALUE"""),42894.66666666667)</f>
        <v>42894.66667</v>
      </c>
      <c r="B4889" s="1">
        <f>IFERROR(__xludf.DUMMYFUNCTION("""COMPUTED_VALUE"""),4693.67)</f>
        <v>4693.67</v>
      </c>
    </row>
    <row r="4890">
      <c r="A4890" s="2">
        <f>IFERROR(__xludf.DUMMYFUNCTION("""COMPUTED_VALUE"""),42895.66666666667)</f>
        <v>42895.66667</v>
      </c>
      <c r="B4890" s="1">
        <f>IFERROR(__xludf.DUMMYFUNCTION("""COMPUTED_VALUE"""),4689.79)</f>
        <v>4689.79</v>
      </c>
    </row>
    <row r="4891">
      <c r="A4891" s="2">
        <f>IFERROR(__xludf.DUMMYFUNCTION("""COMPUTED_VALUE"""),42898.66666666667)</f>
        <v>42898.66667</v>
      </c>
      <c r="B4891" s="1">
        <f>IFERROR(__xludf.DUMMYFUNCTION("""COMPUTED_VALUE"""),4685.54)</f>
        <v>4685.54</v>
      </c>
    </row>
    <row r="4892">
      <c r="A4892" s="2">
        <f>IFERROR(__xludf.DUMMYFUNCTION("""COMPUTED_VALUE"""),42899.66666666667)</f>
        <v>42899.66667</v>
      </c>
      <c r="B4892" s="1">
        <f>IFERROR(__xludf.DUMMYFUNCTION("""COMPUTED_VALUE"""),4707.88)</f>
        <v>4707.88</v>
      </c>
    </row>
    <row r="4893">
      <c r="A4893" s="2">
        <f>IFERROR(__xludf.DUMMYFUNCTION("""COMPUTED_VALUE"""),42900.66666666667)</f>
        <v>42900.66667</v>
      </c>
      <c r="B4893" s="1">
        <f>IFERROR(__xludf.DUMMYFUNCTION("""COMPUTED_VALUE"""),4703.53)</f>
        <v>4703.53</v>
      </c>
    </row>
    <row r="4894">
      <c r="A4894" s="2">
        <f>IFERROR(__xludf.DUMMYFUNCTION("""COMPUTED_VALUE"""),42901.66666666667)</f>
        <v>42901.66667</v>
      </c>
      <c r="B4894" s="1">
        <f>IFERROR(__xludf.DUMMYFUNCTION("""COMPUTED_VALUE"""),4693.86)</f>
        <v>4693.86</v>
      </c>
    </row>
    <row r="4895">
      <c r="A4895" s="2">
        <f>IFERROR(__xludf.DUMMYFUNCTION("""COMPUTED_VALUE"""),42902.66666666667)</f>
        <v>42902.66667</v>
      </c>
      <c r="B4895" s="1">
        <f>IFERROR(__xludf.DUMMYFUNCTION("""COMPUTED_VALUE"""),4695.23)</f>
        <v>4695.23</v>
      </c>
    </row>
    <row r="4896">
      <c r="A4896" s="2">
        <f>IFERROR(__xludf.DUMMYFUNCTION("""COMPUTED_VALUE"""),42905.66666666667)</f>
        <v>42905.66667</v>
      </c>
      <c r="B4896" s="1">
        <f>IFERROR(__xludf.DUMMYFUNCTION("""COMPUTED_VALUE"""),4734.48)</f>
        <v>4734.48</v>
      </c>
    </row>
    <row r="4897">
      <c r="A4897" s="2">
        <f>IFERROR(__xludf.DUMMYFUNCTION("""COMPUTED_VALUE"""),42906.66666666667)</f>
        <v>42906.66667</v>
      </c>
      <c r="B4897" s="1">
        <f>IFERROR(__xludf.DUMMYFUNCTION("""COMPUTED_VALUE"""),4702.82)</f>
        <v>4702.82</v>
      </c>
    </row>
    <row r="4898">
      <c r="A4898" s="2">
        <f>IFERROR(__xludf.DUMMYFUNCTION("""COMPUTED_VALUE"""),42907.66666666667)</f>
        <v>42907.66667</v>
      </c>
      <c r="B4898" s="1">
        <f>IFERROR(__xludf.DUMMYFUNCTION("""COMPUTED_VALUE"""),4700.5)</f>
        <v>4700.5</v>
      </c>
    </row>
    <row r="4899">
      <c r="A4899" s="2">
        <f>IFERROR(__xludf.DUMMYFUNCTION("""COMPUTED_VALUE"""),42908.66666666667)</f>
        <v>42908.66667</v>
      </c>
      <c r="B4899" s="1">
        <f>IFERROR(__xludf.DUMMYFUNCTION("""COMPUTED_VALUE"""),4698.4)</f>
        <v>4698.4</v>
      </c>
    </row>
    <row r="4900">
      <c r="A4900" s="2">
        <f>IFERROR(__xludf.DUMMYFUNCTION("""COMPUTED_VALUE"""),42909.66666666667)</f>
        <v>42909.66667</v>
      </c>
      <c r="B4900" s="1">
        <f>IFERROR(__xludf.DUMMYFUNCTION("""COMPUTED_VALUE"""),4705.73)</f>
        <v>4705.73</v>
      </c>
    </row>
    <row r="4901">
      <c r="A4901" s="2">
        <f>IFERROR(__xludf.DUMMYFUNCTION("""COMPUTED_VALUE"""),42912.66666666667)</f>
        <v>42912.66667</v>
      </c>
      <c r="B4901" s="1">
        <f>IFERROR(__xludf.DUMMYFUNCTION("""COMPUTED_VALUE"""),4707.27)</f>
        <v>4707.27</v>
      </c>
    </row>
    <row r="4902">
      <c r="A4902" s="2">
        <f>IFERROR(__xludf.DUMMYFUNCTION("""COMPUTED_VALUE"""),42913.66666666667)</f>
        <v>42913.66667</v>
      </c>
      <c r="B4902" s="1">
        <f>IFERROR(__xludf.DUMMYFUNCTION("""COMPUTED_VALUE"""),4669.27)</f>
        <v>4669.27</v>
      </c>
    </row>
    <row r="4903">
      <c r="A4903" s="2">
        <f>IFERROR(__xludf.DUMMYFUNCTION("""COMPUTED_VALUE"""),42914.66666666667)</f>
        <v>42914.66667</v>
      </c>
      <c r="B4903" s="1">
        <f>IFERROR(__xludf.DUMMYFUNCTION("""COMPUTED_VALUE"""),4711.33)</f>
        <v>4711.33</v>
      </c>
    </row>
    <row r="4904">
      <c r="A4904" s="2">
        <f>IFERROR(__xludf.DUMMYFUNCTION("""COMPUTED_VALUE"""),42915.66666666667)</f>
        <v>42915.66667</v>
      </c>
      <c r="B4904" s="1">
        <f>IFERROR(__xludf.DUMMYFUNCTION("""COMPUTED_VALUE"""),4670.96)</f>
        <v>4670.96</v>
      </c>
    </row>
    <row r="4905">
      <c r="A4905" s="2">
        <f>IFERROR(__xludf.DUMMYFUNCTION("""COMPUTED_VALUE"""),42916.66666666667)</f>
        <v>42916.66667</v>
      </c>
      <c r="B4905" s="1">
        <f>IFERROR(__xludf.DUMMYFUNCTION("""COMPUTED_VALUE"""),4678.36)</f>
        <v>4678.36</v>
      </c>
    </row>
    <row r="4906">
      <c r="A4906" s="2">
        <f>IFERROR(__xludf.DUMMYFUNCTION("""COMPUTED_VALUE"""),42919.66666666667)</f>
        <v>42919.66667</v>
      </c>
      <c r="B4906" s="1">
        <f>IFERROR(__xludf.DUMMYFUNCTION("""COMPUTED_VALUE"""),4689.61)</f>
        <v>4689.61</v>
      </c>
    </row>
    <row r="4907">
      <c r="A4907" s="2">
        <f>IFERROR(__xludf.DUMMYFUNCTION("""COMPUTED_VALUE"""),42921.66666666667)</f>
        <v>42921.66667</v>
      </c>
      <c r="B4907" s="1">
        <f>IFERROR(__xludf.DUMMYFUNCTION("""COMPUTED_VALUE"""),4697.34)</f>
        <v>4697.34</v>
      </c>
    </row>
    <row r="4908">
      <c r="A4908" s="2">
        <f>IFERROR(__xludf.DUMMYFUNCTION("""COMPUTED_VALUE"""),42922.66666666667)</f>
        <v>42922.66667</v>
      </c>
      <c r="B4908" s="1">
        <f>IFERROR(__xludf.DUMMYFUNCTION("""COMPUTED_VALUE"""),4655.02)</f>
        <v>4655.02</v>
      </c>
    </row>
    <row r="4909">
      <c r="A4909" s="2">
        <f>IFERROR(__xludf.DUMMYFUNCTION("""COMPUTED_VALUE"""),42923.66666666667)</f>
        <v>42923.66667</v>
      </c>
      <c r="B4909" s="1">
        <f>IFERROR(__xludf.DUMMYFUNCTION("""COMPUTED_VALUE"""),4684.88)</f>
        <v>4684.88</v>
      </c>
    </row>
    <row r="4910">
      <c r="A4910" s="2">
        <f>IFERROR(__xludf.DUMMYFUNCTION("""COMPUTED_VALUE"""),42926.66666666667)</f>
        <v>42926.66667</v>
      </c>
      <c r="B4910" s="1">
        <f>IFERROR(__xludf.DUMMYFUNCTION("""COMPUTED_VALUE"""),4689.25)</f>
        <v>4689.25</v>
      </c>
    </row>
    <row r="4911">
      <c r="A4911" s="2">
        <f>IFERROR(__xludf.DUMMYFUNCTION("""COMPUTED_VALUE"""),42927.66666666667)</f>
        <v>42927.66667</v>
      </c>
      <c r="B4911" s="1">
        <f>IFERROR(__xludf.DUMMYFUNCTION("""COMPUTED_VALUE"""),4685.64)</f>
        <v>4685.64</v>
      </c>
    </row>
    <row r="4912">
      <c r="A4912" s="2">
        <f>IFERROR(__xludf.DUMMYFUNCTION("""COMPUTED_VALUE"""),42928.66666666667)</f>
        <v>42928.66667</v>
      </c>
      <c r="B4912" s="1">
        <f>IFERROR(__xludf.DUMMYFUNCTION("""COMPUTED_VALUE"""),4720.28)</f>
        <v>4720.28</v>
      </c>
    </row>
    <row r="4913">
      <c r="A4913" s="2">
        <f>IFERROR(__xludf.DUMMYFUNCTION("""COMPUTED_VALUE"""),42929.66666666667)</f>
        <v>42929.66667</v>
      </c>
      <c r="B4913" s="1">
        <f>IFERROR(__xludf.DUMMYFUNCTION("""COMPUTED_VALUE"""),4729.25)</f>
        <v>4729.25</v>
      </c>
    </row>
    <row r="4914">
      <c r="A4914" s="2">
        <f>IFERROR(__xludf.DUMMYFUNCTION("""COMPUTED_VALUE"""),42930.66666666667)</f>
        <v>42930.66667</v>
      </c>
      <c r="B4914" s="1">
        <f>IFERROR(__xludf.DUMMYFUNCTION("""COMPUTED_VALUE"""),4751.43)</f>
        <v>4751.43</v>
      </c>
    </row>
    <row r="4915">
      <c r="A4915" s="2">
        <f>IFERROR(__xludf.DUMMYFUNCTION("""COMPUTED_VALUE"""),42933.66666666667)</f>
        <v>42933.66667</v>
      </c>
      <c r="B4915" s="1">
        <f>IFERROR(__xludf.DUMMYFUNCTION("""COMPUTED_VALUE"""),4751.33)</f>
        <v>4751.33</v>
      </c>
    </row>
    <row r="4916">
      <c r="A4916" s="2">
        <f>IFERROR(__xludf.DUMMYFUNCTION("""COMPUTED_VALUE"""),42934.66666666667)</f>
        <v>42934.66667</v>
      </c>
      <c r="B4916" s="1">
        <f>IFERROR(__xludf.DUMMYFUNCTION("""COMPUTED_VALUE"""),4754.27)</f>
        <v>4754.27</v>
      </c>
    </row>
    <row r="4917">
      <c r="A4917" s="2">
        <f>IFERROR(__xludf.DUMMYFUNCTION("""COMPUTED_VALUE"""),42935.66666666667)</f>
        <v>42935.66667</v>
      </c>
      <c r="B4917" s="1">
        <f>IFERROR(__xludf.DUMMYFUNCTION("""COMPUTED_VALUE"""),4780.25)</f>
        <v>4780.25</v>
      </c>
    </row>
    <row r="4918">
      <c r="A4918" s="2">
        <f>IFERROR(__xludf.DUMMYFUNCTION("""COMPUTED_VALUE"""),42936.66666666667)</f>
        <v>42936.66667</v>
      </c>
      <c r="B4918" s="1">
        <f>IFERROR(__xludf.DUMMYFUNCTION("""COMPUTED_VALUE"""),4779.84)</f>
        <v>4779.84</v>
      </c>
    </row>
    <row r="4919">
      <c r="A4919" s="2">
        <f>IFERROR(__xludf.DUMMYFUNCTION("""COMPUTED_VALUE"""),42937.66666666667)</f>
        <v>42937.66667</v>
      </c>
      <c r="B4919" s="1">
        <f>IFERROR(__xludf.DUMMYFUNCTION("""COMPUTED_VALUE"""),4778.07)</f>
        <v>4778.07</v>
      </c>
    </row>
    <row r="4920">
      <c r="A4920" s="2">
        <f>IFERROR(__xludf.DUMMYFUNCTION("""COMPUTED_VALUE"""),42940.66666666667)</f>
        <v>42940.66667</v>
      </c>
      <c r="B4920" s="1">
        <f>IFERROR(__xludf.DUMMYFUNCTION("""COMPUTED_VALUE"""),4773.1)</f>
        <v>4773.1</v>
      </c>
    </row>
    <row r="4921">
      <c r="A4921" s="2">
        <f>IFERROR(__xludf.DUMMYFUNCTION("""COMPUTED_VALUE"""),42941.66666666667)</f>
        <v>42941.66667</v>
      </c>
      <c r="B4921" s="1">
        <f>IFERROR(__xludf.DUMMYFUNCTION("""COMPUTED_VALUE"""),4787.04)</f>
        <v>4787.04</v>
      </c>
    </row>
    <row r="4922">
      <c r="A4922" s="2">
        <f>IFERROR(__xludf.DUMMYFUNCTION("""COMPUTED_VALUE"""),42942.66666666667)</f>
        <v>42942.66667</v>
      </c>
      <c r="B4922" s="1">
        <f>IFERROR(__xludf.DUMMYFUNCTION("""COMPUTED_VALUE"""),4788.41)</f>
        <v>4788.41</v>
      </c>
    </row>
    <row r="4923">
      <c r="A4923" s="2">
        <f>IFERROR(__xludf.DUMMYFUNCTION("""COMPUTED_VALUE"""),42943.66666666667)</f>
        <v>42943.66667</v>
      </c>
      <c r="B4923" s="1">
        <f>IFERROR(__xludf.DUMMYFUNCTION("""COMPUTED_VALUE"""),4784.26)</f>
        <v>4784.26</v>
      </c>
    </row>
    <row r="4924">
      <c r="A4924" s="2">
        <f>IFERROR(__xludf.DUMMYFUNCTION("""COMPUTED_VALUE"""),42944.66666666667)</f>
        <v>42944.66667</v>
      </c>
      <c r="B4924" s="1">
        <f>IFERROR(__xludf.DUMMYFUNCTION("""COMPUTED_VALUE"""),4778.02)</f>
        <v>4778.02</v>
      </c>
    </row>
    <row r="4925">
      <c r="A4925" s="2">
        <f>IFERROR(__xludf.DUMMYFUNCTION("""COMPUTED_VALUE"""),42947.66666666667)</f>
        <v>42947.66667</v>
      </c>
      <c r="B4925" s="1">
        <f>IFERROR(__xludf.DUMMYFUNCTION("""COMPUTED_VALUE"""),4774.56)</f>
        <v>4774.56</v>
      </c>
    </row>
    <row r="4926">
      <c r="A4926" s="2">
        <f>IFERROR(__xludf.DUMMYFUNCTION("""COMPUTED_VALUE"""),42948.66666666667)</f>
        <v>42948.66667</v>
      </c>
      <c r="B4926" s="1">
        <f>IFERROR(__xludf.DUMMYFUNCTION("""COMPUTED_VALUE"""),4786.27)</f>
        <v>4786.27</v>
      </c>
    </row>
    <row r="4927">
      <c r="A4927" s="2">
        <f>IFERROR(__xludf.DUMMYFUNCTION("""COMPUTED_VALUE"""),42949.66666666667)</f>
        <v>42949.66667</v>
      </c>
      <c r="B4927" s="1">
        <f>IFERROR(__xludf.DUMMYFUNCTION("""COMPUTED_VALUE"""),4789.54)</f>
        <v>4789.54</v>
      </c>
    </row>
    <row r="4928">
      <c r="A4928" s="2">
        <f>IFERROR(__xludf.DUMMYFUNCTION("""COMPUTED_VALUE"""),42950.66666666667)</f>
        <v>42950.66667</v>
      </c>
      <c r="B4928" s="1">
        <f>IFERROR(__xludf.DUMMYFUNCTION("""COMPUTED_VALUE"""),4779.99)</f>
        <v>4779.99</v>
      </c>
    </row>
    <row r="4929">
      <c r="A4929" s="2">
        <f>IFERROR(__xludf.DUMMYFUNCTION("""COMPUTED_VALUE"""),42951.66666666667)</f>
        <v>42951.66667</v>
      </c>
      <c r="B4929" s="1">
        <f>IFERROR(__xludf.DUMMYFUNCTION("""COMPUTED_VALUE"""),4789.11)</f>
        <v>4789.11</v>
      </c>
    </row>
    <row r="4930">
      <c r="A4930" s="2">
        <f>IFERROR(__xludf.DUMMYFUNCTION("""COMPUTED_VALUE"""),42954.66666666667)</f>
        <v>42954.66667</v>
      </c>
      <c r="B4930" s="1">
        <f>IFERROR(__xludf.DUMMYFUNCTION("""COMPUTED_VALUE"""),4797.13)</f>
        <v>4797.13</v>
      </c>
    </row>
    <row r="4931">
      <c r="A4931" s="2">
        <f>IFERROR(__xludf.DUMMYFUNCTION("""COMPUTED_VALUE"""),42955.66666666667)</f>
        <v>42955.66667</v>
      </c>
      <c r="B4931" s="1">
        <f>IFERROR(__xludf.DUMMYFUNCTION("""COMPUTED_VALUE"""),4786.12)</f>
        <v>4786.12</v>
      </c>
    </row>
    <row r="4932">
      <c r="A4932" s="2">
        <f>IFERROR(__xludf.DUMMYFUNCTION("""COMPUTED_VALUE"""),42956.66666666667)</f>
        <v>42956.66667</v>
      </c>
      <c r="B4932" s="1">
        <f>IFERROR(__xludf.DUMMYFUNCTION("""COMPUTED_VALUE"""),4784.94)</f>
        <v>4784.94</v>
      </c>
    </row>
    <row r="4933">
      <c r="A4933" s="2">
        <f>IFERROR(__xludf.DUMMYFUNCTION("""COMPUTED_VALUE"""),42957.66666666667)</f>
        <v>42957.66667</v>
      </c>
      <c r="B4933" s="1">
        <f>IFERROR(__xludf.DUMMYFUNCTION("""COMPUTED_VALUE"""),4717.4)</f>
        <v>4717.4</v>
      </c>
    </row>
    <row r="4934">
      <c r="A4934" s="2">
        <f>IFERROR(__xludf.DUMMYFUNCTION("""COMPUTED_VALUE"""),42958.66666666667)</f>
        <v>42958.66667</v>
      </c>
      <c r="B4934" s="1">
        <f>IFERROR(__xludf.DUMMYFUNCTION("""COMPUTED_VALUE"""),4723.73)</f>
        <v>4723.73</v>
      </c>
    </row>
    <row r="4935">
      <c r="A4935" s="2">
        <f>IFERROR(__xludf.DUMMYFUNCTION("""COMPUTED_VALUE"""),42961.66666666667)</f>
        <v>42961.66667</v>
      </c>
      <c r="B4935" s="1">
        <f>IFERROR(__xludf.DUMMYFUNCTION("""COMPUTED_VALUE"""),4771.43)</f>
        <v>4771.43</v>
      </c>
    </row>
    <row r="4936">
      <c r="A4936" s="2">
        <f>IFERROR(__xludf.DUMMYFUNCTION("""COMPUTED_VALUE"""),42962.66666666667)</f>
        <v>42962.66667</v>
      </c>
      <c r="B4936" s="1">
        <f>IFERROR(__xludf.DUMMYFUNCTION("""COMPUTED_VALUE"""),4770.15)</f>
        <v>4770.15</v>
      </c>
    </row>
    <row r="4937">
      <c r="A4937" s="2">
        <f>IFERROR(__xludf.DUMMYFUNCTION("""COMPUTED_VALUE"""),42963.66666666667)</f>
        <v>42963.66667</v>
      </c>
      <c r="B4937" s="1">
        <f>IFERROR(__xludf.DUMMYFUNCTION("""COMPUTED_VALUE"""),4778.28)</f>
        <v>4778.28</v>
      </c>
    </row>
    <row r="4938">
      <c r="A4938" s="2">
        <f>IFERROR(__xludf.DUMMYFUNCTION("""COMPUTED_VALUE"""),42964.66666666667)</f>
        <v>42964.66667</v>
      </c>
      <c r="B4938" s="1">
        <f>IFERROR(__xludf.DUMMYFUNCTION("""COMPUTED_VALUE"""),4704.73)</f>
        <v>4704.73</v>
      </c>
    </row>
    <row r="4939">
      <c r="A4939" s="2">
        <f>IFERROR(__xludf.DUMMYFUNCTION("""COMPUTED_VALUE"""),42965.66666666667)</f>
        <v>42965.66667</v>
      </c>
      <c r="B4939" s="1">
        <f>IFERROR(__xludf.DUMMYFUNCTION("""COMPUTED_VALUE"""),4696.22)</f>
        <v>4696.22</v>
      </c>
    </row>
    <row r="4940">
      <c r="A4940" s="2">
        <f>IFERROR(__xludf.DUMMYFUNCTION("""COMPUTED_VALUE"""),42968.66666666667)</f>
        <v>42968.66667</v>
      </c>
      <c r="B4940" s="1">
        <f>IFERROR(__xludf.DUMMYFUNCTION("""COMPUTED_VALUE"""),4701.82)</f>
        <v>4701.82</v>
      </c>
    </row>
    <row r="4941">
      <c r="A4941" s="2">
        <f>IFERROR(__xludf.DUMMYFUNCTION("""COMPUTED_VALUE"""),42969.66666666667)</f>
        <v>42969.66667</v>
      </c>
      <c r="B4941" s="1">
        <f>IFERROR(__xludf.DUMMYFUNCTION("""COMPUTED_VALUE"""),4748.73)</f>
        <v>4748.73</v>
      </c>
    </row>
    <row r="4942">
      <c r="A4942" s="2">
        <f>IFERROR(__xludf.DUMMYFUNCTION("""COMPUTED_VALUE"""),42970.66666666667)</f>
        <v>42970.66667</v>
      </c>
      <c r="B4942" s="1">
        <f>IFERROR(__xludf.DUMMYFUNCTION("""COMPUTED_VALUE"""),4732.76)</f>
        <v>4732.76</v>
      </c>
    </row>
    <row r="4943">
      <c r="A4943" s="2">
        <f>IFERROR(__xludf.DUMMYFUNCTION("""COMPUTED_VALUE"""),42971.66666666667)</f>
        <v>42971.66667</v>
      </c>
      <c r="B4943" s="1">
        <f>IFERROR(__xludf.DUMMYFUNCTION("""COMPUTED_VALUE"""),4723.03)</f>
        <v>4723.03</v>
      </c>
    </row>
    <row r="4944">
      <c r="A4944" s="2">
        <f>IFERROR(__xludf.DUMMYFUNCTION("""COMPUTED_VALUE"""),42972.66666666667)</f>
        <v>42972.66667</v>
      </c>
      <c r="B4944" s="1">
        <f>IFERROR(__xludf.DUMMYFUNCTION("""COMPUTED_VALUE"""),4731.46)</f>
        <v>4731.46</v>
      </c>
    </row>
    <row r="4945">
      <c r="A4945" s="2">
        <f>IFERROR(__xludf.DUMMYFUNCTION("""COMPUTED_VALUE"""),42975.66666666667)</f>
        <v>42975.66667</v>
      </c>
      <c r="B4945" s="1">
        <f>IFERROR(__xludf.DUMMYFUNCTION("""COMPUTED_VALUE"""),4733.97)</f>
        <v>4733.97</v>
      </c>
    </row>
    <row r="4946">
      <c r="A4946" s="2">
        <f>IFERROR(__xludf.DUMMYFUNCTION("""COMPUTED_VALUE"""),42976.66666666667)</f>
        <v>42976.66667</v>
      </c>
      <c r="B4946" s="1">
        <f>IFERROR(__xludf.DUMMYFUNCTION("""COMPUTED_VALUE"""),4738.62)</f>
        <v>4738.62</v>
      </c>
    </row>
    <row r="4947">
      <c r="A4947" s="2">
        <f>IFERROR(__xludf.DUMMYFUNCTION("""COMPUTED_VALUE"""),42977.66666666667)</f>
        <v>42977.66667</v>
      </c>
      <c r="B4947" s="1">
        <f>IFERROR(__xludf.DUMMYFUNCTION("""COMPUTED_VALUE"""),4761.72)</f>
        <v>4761.72</v>
      </c>
    </row>
    <row r="4948">
      <c r="A4948" s="2">
        <f>IFERROR(__xludf.DUMMYFUNCTION("""COMPUTED_VALUE"""),42978.66666666667)</f>
        <v>42978.66667</v>
      </c>
      <c r="B4948" s="1">
        <f>IFERROR(__xludf.DUMMYFUNCTION("""COMPUTED_VALUE"""),4789.18)</f>
        <v>4789.18</v>
      </c>
    </row>
    <row r="4949">
      <c r="A4949" s="2">
        <f>IFERROR(__xludf.DUMMYFUNCTION("""COMPUTED_VALUE"""),42979.66666666667)</f>
        <v>42979.66667</v>
      </c>
      <c r="B4949" s="1">
        <f>IFERROR(__xludf.DUMMYFUNCTION("""COMPUTED_VALUE"""),4798.99)</f>
        <v>4798.99</v>
      </c>
    </row>
    <row r="4950">
      <c r="A4950" s="2">
        <f>IFERROR(__xludf.DUMMYFUNCTION("""COMPUTED_VALUE"""),42983.66666666667)</f>
        <v>42983.66667</v>
      </c>
      <c r="B4950" s="1">
        <f>IFERROR(__xludf.DUMMYFUNCTION("""COMPUTED_VALUE"""),4762.75)</f>
        <v>4762.75</v>
      </c>
    </row>
    <row r="4951">
      <c r="A4951" s="2">
        <f>IFERROR(__xludf.DUMMYFUNCTION("""COMPUTED_VALUE"""),42984.66666666667)</f>
        <v>42984.66667</v>
      </c>
      <c r="B4951" s="1">
        <f>IFERROR(__xludf.DUMMYFUNCTION("""COMPUTED_VALUE"""),4777.69)</f>
        <v>4777.69</v>
      </c>
    </row>
    <row r="4952">
      <c r="A4952" s="2">
        <f>IFERROR(__xludf.DUMMYFUNCTION("""COMPUTED_VALUE"""),42985.66666666667)</f>
        <v>42985.66667</v>
      </c>
      <c r="B4952" s="1">
        <f>IFERROR(__xludf.DUMMYFUNCTION("""COMPUTED_VALUE"""),4777.93)</f>
        <v>4777.93</v>
      </c>
    </row>
    <row r="4953">
      <c r="A4953" s="2">
        <f>IFERROR(__xludf.DUMMYFUNCTION("""COMPUTED_VALUE"""),42986.66666666667)</f>
        <v>42986.66667</v>
      </c>
      <c r="B4953" s="1">
        <f>IFERROR(__xludf.DUMMYFUNCTION("""COMPUTED_VALUE"""),4771.02)</f>
        <v>4771.02</v>
      </c>
    </row>
    <row r="4954">
      <c r="A4954" s="2">
        <f>IFERROR(__xludf.DUMMYFUNCTION("""COMPUTED_VALUE"""),42989.66666666667)</f>
        <v>42989.66667</v>
      </c>
      <c r="B4954" s="1">
        <f>IFERROR(__xludf.DUMMYFUNCTION("""COMPUTED_VALUE"""),4822.8)</f>
        <v>4822.8</v>
      </c>
    </row>
    <row r="4955">
      <c r="A4955" s="2">
        <f>IFERROR(__xludf.DUMMYFUNCTION("""COMPUTED_VALUE"""),42990.66666666667)</f>
        <v>42990.66667</v>
      </c>
      <c r="B4955" s="1">
        <f>IFERROR(__xludf.DUMMYFUNCTION("""COMPUTED_VALUE"""),4839.31)</f>
        <v>4839.31</v>
      </c>
    </row>
    <row r="4956">
      <c r="A4956" s="2">
        <f>IFERROR(__xludf.DUMMYFUNCTION("""COMPUTED_VALUE"""),42991.66666666667)</f>
        <v>42991.66667</v>
      </c>
      <c r="B4956" s="1">
        <f>IFERROR(__xludf.DUMMYFUNCTION("""COMPUTED_VALUE"""),4843.04)</f>
        <v>4843.04</v>
      </c>
    </row>
    <row r="4957">
      <c r="A4957" s="2">
        <f>IFERROR(__xludf.DUMMYFUNCTION("""COMPUTED_VALUE"""),42992.66666666667)</f>
        <v>42992.66667</v>
      </c>
      <c r="B4957" s="1">
        <f>IFERROR(__xludf.DUMMYFUNCTION("""COMPUTED_VALUE"""),4839.29)</f>
        <v>4839.29</v>
      </c>
    </row>
    <row r="4958">
      <c r="A4958" s="2">
        <f>IFERROR(__xludf.DUMMYFUNCTION("""COMPUTED_VALUE"""),42993.66666666667)</f>
        <v>42993.66667</v>
      </c>
      <c r="B4958" s="1">
        <f>IFERROR(__xludf.DUMMYFUNCTION("""COMPUTED_VALUE"""),4848.84)</f>
        <v>4848.84</v>
      </c>
    </row>
    <row r="4959">
      <c r="A4959" s="2">
        <f>IFERROR(__xludf.DUMMYFUNCTION("""COMPUTED_VALUE"""),42996.66666666667)</f>
        <v>42996.66667</v>
      </c>
      <c r="B4959" s="1">
        <f>IFERROR(__xludf.DUMMYFUNCTION("""COMPUTED_VALUE"""),4856.08)</f>
        <v>4856.08</v>
      </c>
    </row>
    <row r="4960">
      <c r="A4960" s="2">
        <f>IFERROR(__xludf.DUMMYFUNCTION("""COMPUTED_VALUE"""),42997.66666666667)</f>
        <v>42997.66667</v>
      </c>
      <c r="B4960" s="1">
        <f>IFERROR(__xludf.DUMMYFUNCTION("""COMPUTED_VALUE"""),4861.52)</f>
        <v>4861.52</v>
      </c>
    </row>
    <row r="4961">
      <c r="A4961" s="2">
        <f>IFERROR(__xludf.DUMMYFUNCTION("""COMPUTED_VALUE"""),42998.66666666667)</f>
        <v>42998.66667</v>
      </c>
      <c r="B4961" s="1">
        <f>IFERROR(__xludf.DUMMYFUNCTION("""COMPUTED_VALUE"""),4864.61)</f>
        <v>4864.61</v>
      </c>
    </row>
    <row r="4962">
      <c r="A4962" s="2">
        <f>IFERROR(__xludf.DUMMYFUNCTION("""COMPUTED_VALUE"""),42999.66666666667)</f>
        <v>42999.66667</v>
      </c>
      <c r="B4962" s="1">
        <f>IFERROR(__xludf.DUMMYFUNCTION("""COMPUTED_VALUE"""),4849.95)</f>
        <v>4849.95</v>
      </c>
    </row>
    <row r="4963">
      <c r="A4963" s="2">
        <f>IFERROR(__xludf.DUMMYFUNCTION("""COMPUTED_VALUE"""),43000.66666666667)</f>
        <v>43000.66667</v>
      </c>
      <c r="B4963" s="1">
        <f>IFERROR(__xludf.DUMMYFUNCTION("""COMPUTED_VALUE"""),4853.2)</f>
        <v>4853.2</v>
      </c>
    </row>
    <row r="4964">
      <c r="A4964" s="2">
        <f>IFERROR(__xludf.DUMMYFUNCTION("""COMPUTED_VALUE"""),43003.66666666667)</f>
        <v>43003.66667</v>
      </c>
      <c r="B4964" s="1">
        <f>IFERROR(__xludf.DUMMYFUNCTION("""COMPUTED_VALUE"""),4842.41)</f>
        <v>4842.41</v>
      </c>
    </row>
    <row r="4965">
      <c r="A4965" s="2">
        <f>IFERROR(__xludf.DUMMYFUNCTION("""COMPUTED_VALUE"""),43004.66666666667)</f>
        <v>43004.66667</v>
      </c>
      <c r="B4965" s="1">
        <f>IFERROR(__xludf.DUMMYFUNCTION("""COMPUTED_VALUE"""),4843.14)</f>
        <v>4843.14</v>
      </c>
    </row>
    <row r="4966">
      <c r="A4966" s="2">
        <f>IFERROR(__xludf.DUMMYFUNCTION("""COMPUTED_VALUE"""),43005.66666666667)</f>
        <v>43005.66667</v>
      </c>
      <c r="B4966" s="1">
        <f>IFERROR(__xludf.DUMMYFUNCTION("""COMPUTED_VALUE"""),4862.93)</f>
        <v>4862.93</v>
      </c>
    </row>
    <row r="4967">
      <c r="A4967" s="2">
        <f>IFERROR(__xludf.DUMMYFUNCTION("""COMPUTED_VALUE"""),43006.66666666667)</f>
        <v>43006.66667</v>
      </c>
      <c r="B4967" s="1">
        <f>IFERROR(__xludf.DUMMYFUNCTION("""COMPUTED_VALUE"""),4869.81)</f>
        <v>4869.81</v>
      </c>
    </row>
    <row r="4968">
      <c r="A4968" s="2">
        <f>IFERROR(__xludf.DUMMYFUNCTION("""COMPUTED_VALUE"""),43007.66666666667)</f>
        <v>43007.66667</v>
      </c>
      <c r="B4968" s="1">
        <f>IFERROR(__xludf.DUMMYFUNCTION("""COMPUTED_VALUE"""),4887.97)</f>
        <v>4887.97</v>
      </c>
    </row>
    <row r="4969">
      <c r="A4969" s="2">
        <f>IFERROR(__xludf.DUMMYFUNCTION("""COMPUTED_VALUE"""),43010.66666666667)</f>
        <v>43010.66667</v>
      </c>
      <c r="B4969" s="1">
        <f>IFERROR(__xludf.DUMMYFUNCTION("""COMPUTED_VALUE"""),4906.92)</f>
        <v>4906.92</v>
      </c>
    </row>
    <row r="4970">
      <c r="A4970" s="2">
        <f>IFERROR(__xludf.DUMMYFUNCTION("""COMPUTED_VALUE"""),43011.66666666667)</f>
        <v>43011.66667</v>
      </c>
      <c r="B4970" s="1">
        <f>IFERROR(__xludf.DUMMYFUNCTION("""COMPUTED_VALUE"""),4917.73)</f>
        <v>4917.73</v>
      </c>
    </row>
    <row r="4971">
      <c r="A4971" s="2">
        <f>IFERROR(__xludf.DUMMYFUNCTION("""COMPUTED_VALUE"""),43012.66666666667)</f>
        <v>43012.66667</v>
      </c>
      <c r="B4971" s="1">
        <f>IFERROR(__xludf.DUMMYFUNCTION("""COMPUTED_VALUE"""),4924.19)</f>
        <v>4924.19</v>
      </c>
    </row>
    <row r="4972">
      <c r="A4972" s="2">
        <f>IFERROR(__xludf.DUMMYFUNCTION("""COMPUTED_VALUE"""),43013.66666666667)</f>
        <v>43013.66667</v>
      </c>
      <c r="B4972" s="1">
        <f>IFERROR(__xludf.DUMMYFUNCTION("""COMPUTED_VALUE"""),4952.85)</f>
        <v>4952.85</v>
      </c>
    </row>
    <row r="4973">
      <c r="A4973" s="2">
        <f>IFERROR(__xludf.DUMMYFUNCTION("""COMPUTED_VALUE"""),43014.66666666667)</f>
        <v>43014.66667</v>
      </c>
      <c r="B4973" s="1">
        <f>IFERROR(__xludf.DUMMYFUNCTION("""COMPUTED_VALUE"""),4949.09)</f>
        <v>4949.09</v>
      </c>
    </row>
    <row r="4974">
      <c r="A4974" s="2">
        <f>IFERROR(__xludf.DUMMYFUNCTION("""COMPUTED_VALUE"""),43017.66666666667)</f>
        <v>43017.66667</v>
      </c>
      <c r="B4974" s="1">
        <f>IFERROR(__xludf.DUMMYFUNCTION("""COMPUTED_VALUE"""),4940.16)</f>
        <v>4940.16</v>
      </c>
    </row>
    <row r="4975">
      <c r="A4975" s="2">
        <f>IFERROR(__xludf.DUMMYFUNCTION("""COMPUTED_VALUE"""),43018.66666666667)</f>
        <v>43018.66667</v>
      </c>
      <c r="B4975" s="1">
        <f>IFERROR(__xludf.DUMMYFUNCTION("""COMPUTED_VALUE"""),4951.77)</f>
        <v>4951.77</v>
      </c>
    </row>
    <row r="4976">
      <c r="A4976" s="2">
        <f>IFERROR(__xludf.DUMMYFUNCTION("""COMPUTED_VALUE"""),43019.66666666667)</f>
        <v>43019.66667</v>
      </c>
      <c r="B4976" s="1">
        <f>IFERROR(__xludf.DUMMYFUNCTION("""COMPUTED_VALUE"""),4960.79)</f>
        <v>4960.79</v>
      </c>
    </row>
    <row r="4977">
      <c r="A4977" s="2">
        <f>IFERROR(__xludf.DUMMYFUNCTION("""COMPUTED_VALUE"""),43020.66666666667)</f>
        <v>43020.66667</v>
      </c>
      <c r="B4977" s="1">
        <f>IFERROR(__xludf.DUMMYFUNCTION("""COMPUTED_VALUE"""),4952.85)</f>
        <v>4952.85</v>
      </c>
    </row>
    <row r="4978">
      <c r="A4978" s="2">
        <f>IFERROR(__xludf.DUMMYFUNCTION("""COMPUTED_VALUE"""),43021.66666666667)</f>
        <v>43021.66667</v>
      </c>
      <c r="B4978" s="1">
        <f>IFERROR(__xludf.DUMMYFUNCTION("""COMPUTED_VALUE"""),4957.27)</f>
        <v>4957.27</v>
      </c>
    </row>
    <row r="4979">
      <c r="A4979" s="2">
        <f>IFERROR(__xludf.DUMMYFUNCTION("""COMPUTED_VALUE"""),43024.66666666667)</f>
        <v>43024.66667</v>
      </c>
      <c r="B4979" s="1">
        <f>IFERROR(__xludf.DUMMYFUNCTION("""COMPUTED_VALUE"""),4966.05)</f>
        <v>4966.05</v>
      </c>
    </row>
    <row r="4980">
      <c r="A4980" s="2">
        <f>IFERROR(__xludf.DUMMYFUNCTION("""COMPUTED_VALUE"""),43025.66666666667)</f>
        <v>43025.66667</v>
      </c>
      <c r="B4980" s="1">
        <f>IFERROR(__xludf.DUMMYFUNCTION("""COMPUTED_VALUE"""),4969.38)</f>
        <v>4969.38</v>
      </c>
    </row>
    <row r="4981">
      <c r="A4981" s="2">
        <f>IFERROR(__xludf.DUMMYFUNCTION("""COMPUTED_VALUE"""),43026.66666666667)</f>
        <v>43026.66667</v>
      </c>
      <c r="B4981" s="1">
        <f>IFERROR(__xludf.DUMMYFUNCTION("""COMPUTED_VALUE"""),4973.28)</f>
        <v>4973.28</v>
      </c>
    </row>
    <row r="4982">
      <c r="A4982" s="2">
        <f>IFERROR(__xludf.DUMMYFUNCTION("""COMPUTED_VALUE"""),43027.66666666667)</f>
        <v>43027.66667</v>
      </c>
      <c r="B4982" s="1">
        <f>IFERROR(__xludf.DUMMYFUNCTION("""COMPUTED_VALUE"""),4975.32)</f>
        <v>4975.32</v>
      </c>
    </row>
    <row r="4983">
      <c r="A4983" s="2">
        <f>IFERROR(__xludf.DUMMYFUNCTION("""COMPUTED_VALUE"""),43028.66666666667)</f>
        <v>43028.66667</v>
      </c>
      <c r="B4983" s="1">
        <f>IFERROR(__xludf.DUMMYFUNCTION("""COMPUTED_VALUE"""),5001.11)</f>
        <v>5001.11</v>
      </c>
    </row>
    <row r="4984">
      <c r="A4984" s="2">
        <f>IFERROR(__xludf.DUMMYFUNCTION("""COMPUTED_VALUE"""),43031.66666666667)</f>
        <v>43031.66667</v>
      </c>
      <c r="B4984" s="1">
        <f>IFERROR(__xludf.DUMMYFUNCTION("""COMPUTED_VALUE"""),4981.37)</f>
        <v>4981.37</v>
      </c>
    </row>
    <row r="4985">
      <c r="A4985" s="2">
        <f>IFERROR(__xludf.DUMMYFUNCTION("""COMPUTED_VALUE"""),43032.66666666667)</f>
        <v>43032.66667</v>
      </c>
      <c r="B4985" s="1">
        <f>IFERROR(__xludf.DUMMYFUNCTION("""COMPUTED_VALUE"""),4989.56)</f>
        <v>4989.56</v>
      </c>
    </row>
    <row r="4986">
      <c r="A4986" s="2">
        <f>IFERROR(__xludf.DUMMYFUNCTION("""COMPUTED_VALUE"""),43033.66666666667)</f>
        <v>43033.66667</v>
      </c>
      <c r="B4986" s="1">
        <f>IFERROR(__xludf.DUMMYFUNCTION("""COMPUTED_VALUE"""),4966.29)</f>
        <v>4966.29</v>
      </c>
    </row>
    <row r="4987">
      <c r="A4987" s="2">
        <f>IFERROR(__xludf.DUMMYFUNCTION("""COMPUTED_VALUE"""),43034.66666666667)</f>
        <v>43034.66667</v>
      </c>
      <c r="B4987" s="1">
        <f>IFERROR(__xludf.DUMMYFUNCTION("""COMPUTED_VALUE"""),4972.6)</f>
        <v>4972.6</v>
      </c>
    </row>
    <row r="4988">
      <c r="A4988" s="2">
        <f>IFERROR(__xludf.DUMMYFUNCTION("""COMPUTED_VALUE"""),43035.66666666667)</f>
        <v>43035.66667</v>
      </c>
      <c r="B4988" s="1">
        <f>IFERROR(__xludf.DUMMYFUNCTION("""COMPUTED_VALUE"""),5012.75)</f>
        <v>5012.75</v>
      </c>
    </row>
    <row r="4989">
      <c r="A4989" s="2">
        <f>IFERROR(__xludf.DUMMYFUNCTION("""COMPUTED_VALUE"""),43038.66666666667)</f>
        <v>43038.66667</v>
      </c>
      <c r="B4989" s="1">
        <f>IFERROR(__xludf.DUMMYFUNCTION("""COMPUTED_VALUE"""),4997.15)</f>
        <v>4997.15</v>
      </c>
    </row>
    <row r="4990">
      <c r="A4990" s="2">
        <f>IFERROR(__xludf.DUMMYFUNCTION("""COMPUTED_VALUE"""),43039.66666666667)</f>
        <v>43039.66667</v>
      </c>
      <c r="B4990" s="1">
        <f>IFERROR(__xludf.DUMMYFUNCTION("""COMPUTED_VALUE"""),5002.03)</f>
        <v>5002.03</v>
      </c>
    </row>
    <row r="4991">
      <c r="A4991" s="2">
        <f>IFERROR(__xludf.DUMMYFUNCTION("""COMPUTED_VALUE"""),43040.66666666667)</f>
        <v>43040.66667</v>
      </c>
      <c r="B4991" s="1">
        <f>IFERROR(__xludf.DUMMYFUNCTION("""COMPUTED_VALUE"""),5009.99)</f>
        <v>5009.99</v>
      </c>
    </row>
    <row r="4992">
      <c r="A4992" s="2">
        <f>IFERROR(__xludf.DUMMYFUNCTION("""COMPUTED_VALUE"""),43041.66666666667)</f>
        <v>43041.66667</v>
      </c>
      <c r="B4992" s="1">
        <f>IFERROR(__xludf.DUMMYFUNCTION("""COMPUTED_VALUE"""),5011.48)</f>
        <v>5011.48</v>
      </c>
    </row>
    <row r="4993">
      <c r="A4993" s="2">
        <f>IFERROR(__xludf.DUMMYFUNCTION("""COMPUTED_VALUE"""),43042.66666666667)</f>
        <v>43042.66667</v>
      </c>
      <c r="B4993" s="1">
        <f>IFERROR(__xludf.DUMMYFUNCTION("""COMPUTED_VALUE"""),5027.49)</f>
        <v>5027.49</v>
      </c>
    </row>
    <row r="4994">
      <c r="A4994" s="2">
        <f>IFERROR(__xludf.DUMMYFUNCTION("""COMPUTED_VALUE"""),43045.66666666667)</f>
        <v>43045.66667</v>
      </c>
      <c r="B4994" s="1">
        <f>IFERROR(__xludf.DUMMYFUNCTION("""COMPUTED_VALUE"""),5034.3)</f>
        <v>5034.3</v>
      </c>
    </row>
    <row r="4995">
      <c r="A4995" s="2">
        <f>IFERROR(__xludf.DUMMYFUNCTION("""COMPUTED_VALUE"""),43046.66666666667)</f>
        <v>43046.66667</v>
      </c>
      <c r="B4995" s="1">
        <f>IFERROR(__xludf.DUMMYFUNCTION("""COMPUTED_VALUE"""),5033.38)</f>
        <v>5033.38</v>
      </c>
    </row>
    <row r="4996">
      <c r="A4996" s="2">
        <f>IFERROR(__xludf.DUMMYFUNCTION("""COMPUTED_VALUE"""),43047.66666666667)</f>
        <v>43047.66667</v>
      </c>
      <c r="B4996" s="1">
        <f>IFERROR(__xludf.DUMMYFUNCTION("""COMPUTED_VALUE"""),5040.74)</f>
        <v>5040.74</v>
      </c>
    </row>
    <row r="4997">
      <c r="A4997" s="2">
        <f>IFERROR(__xludf.DUMMYFUNCTION("""COMPUTED_VALUE"""),43048.66666666667)</f>
        <v>43048.66667</v>
      </c>
      <c r="B4997" s="1">
        <f>IFERROR(__xludf.DUMMYFUNCTION("""COMPUTED_VALUE"""),5023.01)</f>
        <v>5023.01</v>
      </c>
    </row>
    <row r="4998">
      <c r="A4998" s="2">
        <f>IFERROR(__xludf.DUMMYFUNCTION("""COMPUTED_VALUE"""),43049.66666666667)</f>
        <v>43049.66667</v>
      </c>
      <c r="B4998" s="1">
        <f>IFERROR(__xludf.DUMMYFUNCTION("""COMPUTED_VALUE"""),5020.31)</f>
        <v>5020.31</v>
      </c>
    </row>
    <row r="4999">
      <c r="A4999" s="2">
        <f>IFERROR(__xludf.DUMMYFUNCTION("""COMPUTED_VALUE"""),43052.66666666667)</f>
        <v>43052.66667</v>
      </c>
      <c r="B4999" s="1">
        <f>IFERROR(__xludf.DUMMYFUNCTION("""COMPUTED_VALUE"""),5025.36)</f>
        <v>5025.36</v>
      </c>
    </row>
    <row r="5000">
      <c r="A5000" s="2">
        <f>IFERROR(__xludf.DUMMYFUNCTION("""COMPUTED_VALUE"""),43053.66666666667)</f>
        <v>43053.66667</v>
      </c>
      <c r="B5000" s="1">
        <f>IFERROR(__xludf.DUMMYFUNCTION("""COMPUTED_VALUE"""),5014.53)</f>
        <v>5014.53</v>
      </c>
    </row>
    <row r="5001">
      <c r="A5001" s="2">
        <f>IFERROR(__xludf.DUMMYFUNCTION("""COMPUTED_VALUE"""),43054.66666666667)</f>
        <v>43054.66667</v>
      </c>
      <c r="B5001" s="1">
        <f>IFERROR(__xludf.DUMMYFUNCTION("""COMPUTED_VALUE"""),4987.96)</f>
        <v>4987.96</v>
      </c>
    </row>
    <row r="5002">
      <c r="A5002" s="2">
        <f>IFERROR(__xludf.DUMMYFUNCTION("""COMPUTED_VALUE"""),43055.66666666667)</f>
        <v>43055.66667</v>
      </c>
      <c r="B5002" s="1">
        <f>IFERROR(__xludf.DUMMYFUNCTION("""COMPUTED_VALUE"""),5030.48)</f>
        <v>5030.48</v>
      </c>
    </row>
    <row r="5003">
      <c r="A5003" s="2">
        <f>IFERROR(__xludf.DUMMYFUNCTION("""COMPUTED_VALUE"""),43056.66666666667)</f>
        <v>43056.66667</v>
      </c>
      <c r="B5003" s="1">
        <f>IFERROR(__xludf.DUMMYFUNCTION("""COMPUTED_VALUE"""),5017.45)</f>
        <v>5017.45</v>
      </c>
    </row>
    <row r="5004">
      <c r="A5004" s="2">
        <f>IFERROR(__xludf.DUMMYFUNCTION("""COMPUTED_VALUE"""),43059.66666666667)</f>
        <v>43059.66667</v>
      </c>
      <c r="B5004" s="1">
        <f>IFERROR(__xludf.DUMMYFUNCTION("""COMPUTED_VALUE"""),5024.01)</f>
        <v>5024.01</v>
      </c>
    </row>
    <row r="5005">
      <c r="A5005" s="2">
        <f>IFERROR(__xludf.DUMMYFUNCTION("""COMPUTED_VALUE"""),43060.66666666667)</f>
        <v>43060.66667</v>
      </c>
      <c r="B5005" s="1">
        <f>IFERROR(__xludf.DUMMYFUNCTION("""COMPUTED_VALUE"""),5056.95)</f>
        <v>5056.95</v>
      </c>
    </row>
    <row r="5006">
      <c r="A5006" s="2">
        <f>IFERROR(__xludf.DUMMYFUNCTION("""COMPUTED_VALUE"""),43061.66666666667)</f>
        <v>43061.66667</v>
      </c>
      <c r="B5006" s="1">
        <f>IFERROR(__xludf.DUMMYFUNCTION("""COMPUTED_VALUE"""),5053.6)</f>
        <v>5053.6</v>
      </c>
    </row>
    <row r="5007">
      <c r="A5007" s="2">
        <f>IFERROR(__xludf.DUMMYFUNCTION("""COMPUTED_VALUE"""),43063.54166666667)</f>
        <v>43063.54167</v>
      </c>
      <c r="B5007" s="1">
        <f>IFERROR(__xludf.DUMMYFUNCTION("""COMPUTED_VALUE"""),5064.23)</f>
        <v>5064.23</v>
      </c>
    </row>
    <row r="5008">
      <c r="A5008" s="2">
        <f>IFERROR(__xludf.DUMMYFUNCTION("""COMPUTED_VALUE"""),43066.66666666667)</f>
        <v>43066.66667</v>
      </c>
      <c r="B5008" s="1">
        <f>IFERROR(__xludf.DUMMYFUNCTION("""COMPUTED_VALUE"""),5062.85)</f>
        <v>5062.85</v>
      </c>
    </row>
    <row r="5009">
      <c r="A5009" s="2">
        <f>IFERROR(__xludf.DUMMYFUNCTION("""COMPUTED_VALUE"""),43067.66666666667)</f>
        <v>43067.66667</v>
      </c>
      <c r="B5009" s="1">
        <f>IFERROR(__xludf.DUMMYFUNCTION("""COMPUTED_VALUE"""),5112.91)</f>
        <v>5112.91</v>
      </c>
    </row>
    <row r="5010">
      <c r="A5010" s="2">
        <f>IFERROR(__xludf.DUMMYFUNCTION("""COMPUTED_VALUE"""),43068.66666666667)</f>
        <v>43068.66667</v>
      </c>
      <c r="B5010" s="1">
        <f>IFERROR(__xludf.DUMMYFUNCTION("""COMPUTED_VALUE"""),5111.68)</f>
        <v>5111.68</v>
      </c>
    </row>
    <row r="5011">
      <c r="A5011" s="2">
        <f>IFERROR(__xludf.DUMMYFUNCTION("""COMPUTED_VALUE"""),43069.66666666667)</f>
        <v>43069.66667</v>
      </c>
      <c r="B5011" s="1">
        <f>IFERROR(__xludf.DUMMYFUNCTION("""COMPUTED_VALUE"""),5155.44)</f>
        <v>5155.44</v>
      </c>
    </row>
    <row r="5012">
      <c r="A5012" s="2">
        <f>IFERROR(__xludf.DUMMYFUNCTION("""COMPUTED_VALUE"""),43070.66666666667)</f>
        <v>43070.66667</v>
      </c>
      <c r="B5012" s="1">
        <f>IFERROR(__xludf.DUMMYFUNCTION("""COMPUTED_VALUE"""),5145.21)</f>
        <v>5145.21</v>
      </c>
    </row>
    <row r="5013">
      <c r="A5013" s="2">
        <f>IFERROR(__xludf.DUMMYFUNCTION("""COMPUTED_VALUE"""),43073.66666666667)</f>
        <v>43073.66667</v>
      </c>
      <c r="B5013" s="1">
        <f>IFERROR(__xludf.DUMMYFUNCTION("""COMPUTED_VALUE"""),5139.91)</f>
        <v>5139.91</v>
      </c>
    </row>
    <row r="5014">
      <c r="A5014" s="2">
        <f>IFERROR(__xludf.DUMMYFUNCTION("""COMPUTED_VALUE"""),43074.66666666667)</f>
        <v>43074.66667</v>
      </c>
      <c r="B5014" s="1">
        <f>IFERROR(__xludf.DUMMYFUNCTION("""COMPUTED_VALUE"""),5120.92)</f>
        <v>5120.92</v>
      </c>
    </row>
    <row r="5015">
      <c r="A5015" s="2">
        <f>IFERROR(__xludf.DUMMYFUNCTION("""COMPUTED_VALUE"""),43075.66666666667)</f>
        <v>43075.66667</v>
      </c>
      <c r="B5015" s="1">
        <f>IFERROR(__xludf.DUMMYFUNCTION("""COMPUTED_VALUE"""),5120.46)</f>
        <v>5120.46</v>
      </c>
    </row>
    <row r="5016">
      <c r="A5016" s="2">
        <f>IFERROR(__xludf.DUMMYFUNCTION("""COMPUTED_VALUE"""),43076.66666666667)</f>
        <v>43076.66667</v>
      </c>
      <c r="B5016" s="1">
        <f>IFERROR(__xludf.DUMMYFUNCTION("""COMPUTED_VALUE"""),5136.37)</f>
        <v>5136.37</v>
      </c>
    </row>
    <row r="5017">
      <c r="A5017" s="2">
        <f>IFERROR(__xludf.DUMMYFUNCTION("""COMPUTED_VALUE"""),43077.66666666667)</f>
        <v>43077.66667</v>
      </c>
      <c r="B5017" s="1">
        <f>IFERROR(__xludf.DUMMYFUNCTION("""COMPUTED_VALUE"""),5165.19)</f>
        <v>5165.19</v>
      </c>
    </row>
    <row r="5018">
      <c r="A5018" s="2">
        <f>IFERROR(__xludf.DUMMYFUNCTION("""COMPUTED_VALUE"""),43080.66666666667)</f>
        <v>43080.66667</v>
      </c>
      <c r="B5018" s="1">
        <f>IFERROR(__xludf.DUMMYFUNCTION("""COMPUTED_VALUE"""),5181.75)</f>
        <v>5181.75</v>
      </c>
    </row>
    <row r="5019">
      <c r="A5019" s="2">
        <f>IFERROR(__xludf.DUMMYFUNCTION("""COMPUTED_VALUE"""),43081.66666666667)</f>
        <v>43081.66667</v>
      </c>
      <c r="B5019" s="1">
        <f>IFERROR(__xludf.DUMMYFUNCTION("""COMPUTED_VALUE"""),5189.96)</f>
        <v>5189.96</v>
      </c>
    </row>
    <row r="5020">
      <c r="A5020" s="2">
        <f>IFERROR(__xludf.DUMMYFUNCTION("""COMPUTED_VALUE"""),43082.66666666667)</f>
        <v>43082.66667</v>
      </c>
      <c r="B5020" s="1">
        <f>IFERROR(__xludf.DUMMYFUNCTION("""COMPUTED_VALUE"""),5187.68)</f>
        <v>5187.68</v>
      </c>
    </row>
    <row r="5021">
      <c r="A5021" s="2">
        <f>IFERROR(__xludf.DUMMYFUNCTION("""COMPUTED_VALUE"""),43083.66666666667)</f>
        <v>43083.66667</v>
      </c>
      <c r="B5021" s="1">
        <f>IFERROR(__xludf.DUMMYFUNCTION("""COMPUTED_VALUE"""),5167.45)</f>
        <v>5167.45</v>
      </c>
    </row>
    <row r="5022">
      <c r="A5022" s="2">
        <f>IFERROR(__xludf.DUMMYFUNCTION("""COMPUTED_VALUE"""),43084.66666666667)</f>
        <v>43084.66667</v>
      </c>
      <c r="B5022" s="1">
        <f>IFERROR(__xludf.DUMMYFUNCTION("""COMPUTED_VALUE"""),5214.1)</f>
        <v>5214.1</v>
      </c>
    </row>
    <row r="5023">
      <c r="A5023" s="2">
        <f>IFERROR(__xludf.DUMMYFUNCTION("""COMPUTED_VALUE"""),43087.66666666667)</f>
        <v>43087.66667</v>
      </c>
      <c r="B5023" s="1">
        <f>IFERROR(__xludf.DUMMYFUNCTION("""COMPUTED_VALUE"""),5242.28)</f>
        <v>5242.28</v>
      </c>
    </row>
    <row r="5024">
      <c r="A5024" s="2">
        <f>IFERROR(__xludf.DUMMYFUNCTION("""COMPUTED_VALUE"""),43088.66666666667)</f>
        <v>43088.66667</v>
      </c>
      <c r="B5024" s="1">
        <f>IFERROR(__xludf.DUMMYFUNCTION("""COMPUTED_VALUE"""),5225.43)</f>
        <v>5225.43</v>
      </c>
    </row>
    <row r="5025">
      <c r="A5025" s="2">
        <f>IFERROR(__xludf.DUMMYFUNCTION("""COMPUTED_VALUE"""),43089.66666666667)</f>
        <v>43089.66667</v>
      </c>
      <c r="B5025" s="1">
        <f>IFERROR(__xludf.DUMMYFUNCTION("""COMPUTED_VALUE"""),5221.79)</f>
        <v>5221.79</v>
      </c>
    </row>
    <row r="5026">
      <c r="A5026" s="2">
        <f>IFERROR(__xludf.DUMMYFUNCTION("""COMPUTED_VALUE"""),43090.66666666667)</f>
        <v>43090.66667</v>
      </c>
      <c r="B5026" s="1">
        <f>IFERROR(__xludf.DUMMYFUNCTION("""COMPUTED_VALUE"""),5232.16)</f>
        <v>5232.16</v>
      </c>
    </row>
    <row r="5027">
      <c r="A5027" s="2">
        <f>IFERROR(__xludf.DUMMYFUNCTION("""COMPUTED_VALUE"""),43091.66666666667)</f>
        <v>43091.66667</v>
      </c>
      <c r="B5027" s="1">
        <f>IFERROR(__xludf.DUMMYFUNCTION("""COMPUTED_VALUE"""),5229.79)</f>
        <v>5229.79</v>
      </c>
    </row>
    <row r="5028">
      <c r="A5028" s="2">
        <f>IFERROR(__xludf.DUMMYFUNCTION("""COMPUTED_VALUE"""),43095.66666666667)</f>
        <v>43095.66667</v>
      </c>
      <c r="B5028" s="1">
        <f>IFERROR(__xludf.DUMMYFUNCTION("""COMPUTED_VALUE"""),5224.51)</f>
        <v>5224.51</v>
      </c>
    </row>
    <row r="5029">
      <c r="A5029" s="2">
        <f>IFERROR(__xludf.DUMMYFUNCTION("""COMPUTED_VALUE"""),43096.66666666667)</f>
        <v>43096.66667</v>
      </c>
      <c r="B5029" s="1">
        <f>IFERROR(__xludf.DUMMYFUNCTION("""COMPUTED_VALUE"""),5229.01)</f>
        <v>5229.01</v>
      </c>
    </row>
    <row r="5030">
      <c r="A5030" s="2">
        <f>IFERROR(__xludf.DUMMYFUNCTION("""COMPUTED_VALUE"""),43097.66666666667)</f>
        <v>43097.66667</v>
      </c>
      <c r="B5030" s="1">
        <f>IFERROR(__xludf.DUMMYFUNCTION("""COMPUTED_VALUE"""),5239.59)</f>
        <v>5239.59</v>
      </c>
    </row>
    <row r="5031">
      <c r="A5031" s="2">
        <f>IFERROR(__xludf.DUMMYFUNCTION("""COMPUTED_VALUE"""),43098.66666666667)</f>
        <v>43098.66667</v>
      </c>
      <c r="B5031" s="1">
        <f>IFERROR(__xludf.DUMMYFUNCTION("""COMPUTED_VALUE"""),5212.76)</f>
        <v>5212.76</v>
      </c>
    </row>
    <row r="5032">
      <c r="A5032" s="2">
        <f>IFERROR(__xludf.DUMMYFUNCTION("""COMPUTED_VALUE"""),43102.66666666667)</f>
        <v>43102.66667</v>
      </c>
      <c r="B5032" s="1">
        <f>IFERROR(__xludf.DUMMYFUNCTION("""COMPUTED_VALUE"""),5256.28)</f>
        <v>5256.28</v>
      </c>
    </row>
    <row r="5033">
      <c r="A5033" s="2">
        <f>IFERROR(__xludf.DUMMYFUNCTION("""COMPUTED_VALUE"""),43103.66666666667)</f>
        <v>43103.66667</v>
      </c>
      <c r="B5033" s="1">
        <f>IFERROR(__xludf.DUMMYFUNCTION("""COMPUTED_VALUE"""),5289.92)</f>
        <v>5289.92</v>
      </c>
    </row>
    <row r="5034">
      <c r="A5034" s="2">
        <f>IFERROR(__xludf.DUMMYFUNCTION("""COMPUTED_VALUE"""),43104.66666666667)</f>
        <v>43104.66667</v>
      </c>
      <c r="B5034" s="1">
        <f>IFERROR(__xludf.DUMMYFUNCTION("""COMPUTED_VALUE"""),5312.33)</f>
        <v>5312.33</v>
      </c>
    </row>
    <row r="5035">
      <c r="A5035" s="2">
        <f>IFERROR(__xludf.DUMMYFUNCTION("""COMPUTED_VALUE"""),43105.66666666667)</f>
        <v>43105.66667</v>
      </c>
      <c r="B5035" s="1">
        <f>IFERROR(__xludf.DUMMYFUNCTION("""COMPUTED_VALUE"""),5349.69)</f>
        <v>5349.69</v>
      </c>
    </row>
    <row r="5036">
      <c r="A5036" s="2">
        <f>IFERROR(__xludf.DUMMYFUNCTION("""COMPUTED_VALUE"""),43108.66666666667)</f>
        <v>43108.66667</v>
      </c>
      <c r="B5036" s="1">
        <f>IFERROR(__xludf.DUMMYFUNCTION("""COMPUTED_VALUE"""),5358.68)</f>
        <v>5358.68</v>
      </c>
    </row>
    <row r="5037">
      <c r="A5037" s="2">
        <f>IFERROR(__xludf.DUMMYFUNCTION("""COMPUTED_VALUE"""),43109.66666666667)</f>
        <v>43109.66667</v>
      </c>
      <c r="B5037" s="1">
        <f>IFERROR(__xludf.DUMMYFUNCTION("""COMPUTED_VALUE"""),5367.26)</f>
        <v>5367.26</v>
      </c>
    </row>
    <row r="5038">
      <c r="A5038" s="2">
        <f>IFERROR(__xludf.DUMMYFUNCTION("""COMPUTED_VALUE"""),43110.66666666667)</f>
        <v>43110.66667</v>
      </c>
      <c r="B5038" s="1">
        <f>IFERROR(__xludf.DUMMYFUNCTION("""COMPUTED_VALUE"""),5361.33)</f>
        <v>5361.33</v>
      </c>
    </row>
    <row r="5039">
      <c r="A5039" s="2">
        <f>IFERROR(__xludf.DUMMYFUNCTION("""COMPUTED_VALUE"""),43111.66666666667)</f>
        <v>43111.66667</v>
      </c>
      <c r="B5039" s="1">
        <f>IFERROR(__xludf.DUMMYFUNCTION("""COMPUTED_VALUE"""),5399.46)</f>
        <v>5399.46</v>
      </c>
    </row>
    <row r="5040">
      <c r="A5040" s="2">
        <f>IFERROR(__xludf.DUMMYFUNCTION("""COMPUTED_VALUE"""),43112.66666666667)</f>
        <v>43112.66667</v>
      </c>
      <c r="B5040" s="1">
        <f>IFERROR(__xludf.DUMMYFUNCTION("""COMPUTED_VALUE"""),5435.92)</f>
        <v>5435.92</v>
      </c>
    </row>
    <row r="5041">
      <c r="A5041" s="2">
        <f>IFERROR(__xludf.DUMMYFUNCTION("""COMPUTED_VALUE"""),43116.66666666667)</f>
        <v>43116.66667</v>
      </c>
      <c r="B5041" s="1">
        <f>IFERROR(__xludf.DUMMYFUNCTION("""COMPUTED_VALUE"""),5416.86)</f>
        <v>5416.86</v>
      </c>
    </row>
    <row r="5042">
      <c r="A5042" s="2">
        <f>IFERROR(__xludf.DUMMYFUNCTION("""COMPUTED_VALUE"""),43117.66666666667)</f>
        <v>43117.66667</v>
      </c>
      <c r="B5042" s="1">
        <f>IFERROR(__xludf.DUMMYFUNCTION("""COMPUTED_VALUE"""),5467.85)</f>
        <v>5467.85</v>
      </c>
    </row>
    <row r="5043">
      <c r="A5043" s="2">
        <f>IFERROR(__xludf.DUMMYFUNCTION("""COMPUTED_VALUE"""),43118.66666666667)</f>
        <v>43118.66667</v>
      </c>
      <c r="B5043" s="1">
        <f>IFERROR(__xludf.DUMMYFUNCTION("""COMPUTED_VALUE"""),5459.5)</f>
        <v>5459.5</v>
      </c>
    </row>
    <row r="5044">
      <c r="A5044" s="2">
        <f>IFERROR(__xludf.DUMMYFUNCTION("""COMPUTED_VALUE"""),43119.66666666667)</f>
        <v>43119.66667</v>
      </c>
      <c r="B5044" s="1">
        <f>IFERROR(__xludf.DUMMYFUNCTION("""COMPUTED_VALUE"""),5483.57)</f>
        <v>5483.57</v>
      </c>
    </row>
    <row r="5045">
      <c r="A5045" s="2">
        <f>IFERROR(__xludf.DUMMYFUNCTION("""COMPUTED_VALUE"""),43122.66666666667)</f>
        <v>43122.66667</v>
      </c>
      <c r="B5045" s="1">
        <f>IFERROR(__xludf.DUMMYFUNCTION("""COMPUTED_VALUE"""),5527.89)</f>
        <v>5527.89</v>
      </c>
    </row>
    <row r="5046">
      <c r="A5046" s="2">
        <f>IFERROR(__xludf.DUMMYFUNCTION("""COMPUTED_VALUE"""),43123.66666666667)</f>
        <v>43123.66667</v>
      </c>
      <c r="B5046" s="1">
        <f>IFERROR(__xludf.DUMMYFUNCTION("""COMPUTED_VALUE"""),5540.13)</f>
        <v>5540.13</v>
      </c>
    </row>
    <row r="5047">
      <c r="A5047" s="2">
        <f>IFERROR(__xludf.DUMMYFUNCTION("""COMPUTED_VALUE"""),43124.66666666667)</f>
        <v>43124.66667</v>
      </c>
      <c r="B5047" s="1">
        <f>IFERROR(__xludf.DUMMYFUNCTION("""COMPUTED_VALUE"""),5537.03)</f>
        <v>5537.03</v>
      </c>
    </row>
    <row r="5048">
      <c r="A5048" s="2">
        <f>IFERROR(__xludf.DUMMYFUNCTION("""COMPUTED_VALUE"""),43125.66666666667)</f>
        <v>43125.66667</v>
      </c>
      <c r="B5048" s="1">
        <f>IFERROR(__xludf.DUMMYFUNCTION("""COMPUTED_VALUE"""),5540.38)</f>
        <v>5540.38</v>
      </c>
    </row>
    <row r="5049">
      <c r="A5049" s="2">
        <f>IFERROR(__xludf.DUMMYFUNCTION("""COMPUTED_VALUE"""),43126.66666666667)</f>
        <v>43126.66667</v>
      </c>
      <c r="B5049" s="1">
        <f>IFERROR(__xludf.DUMMYFUNCTION("""COMPUTED_VALUE"""),5606.08)</f>
        <v>5606.08</v>
      </c>
    </row>
    <row r="5050">
      <c r="A5050" s="2">
        <f>IFERROR(__xludf.DUMMYFUNCTION("""COMPUTED_VALUE"""),43129.66666666667)</f>
        <v>43129.66667</v>
      </c>
      <c r="B5050" s="1">
        <f>IFERROR(__xludf.DUMMYFUNCTION("""COMPUTED_VALUE"""),5568.67)</f>
        <v>5568.67</v>
      </c>
    </row>
    <row r="5051">
      <c r="A5051" s="2">
        <f>IFERROR(__xludf.DUMMYFUNCTION("""COMPUTED_VALUE"""),43130.66666666667)</f>
        <v>43130.66667</v>
      </c>
      <c r="B5051" s="1">
        <f>IFERROR(__xludf.DUMMYFUNCTION("""COMPUTED_VALUE"""),5508.36)</f>
        <v>5508.36</v>
      </c>
    </row>
    <row r="5052">
      <c r="A5052" s="2">
        <f>IFERROR(__xludf.DUMMYFUNCTION("""COMPUTED_VALUE"""),43131.66666666667)</f>
        <v>43131.66667</v>
      </c>
      <c r="B5052" s="1">
        <f>IFERROR(__xludf.DUMMYFUNCTION("""COMPUTED_VALUE"""),5511.21)</f>
        <v>5511.21</v>
      </c>
    </row>
    <row r="5053">
      <c r="A5053" s="2">
        <f>IFERROR(__xludf.DUMMYFUNCTION("""COMPUTED_VALUE"""),43132.66666666667)</f>
        <v>43132.66667</v>
      </c>
      <c r="B5053" s="1">
        <f>IFERROR(__xludf.DUMMYFUNCTION("""COMPUTED_VALUE"""),5508.7)</f>
        <v>5508.7</v>
      </c>
    </row>
    <row r="5054">
      <c r="A5054" s="2">
        <f>IFERROR(__xludf.DUMMYFUNCTION("""COMPUTED_VALUE"""),43133.66666666667)</f>
        <v>43133.66667</v>
      </c>
      <c r="B5054" s="1">
        <f>IFERROR(__xludf.DUMMYFUNCTION("""COMPUTED_VALUE"""),5392.21)</f>
        <v>5392.21</v>
      </c>
    </row>
    <row r="5055">
      <c r="A5055" s="2">
        <f>IFERROR(__xludf.DUMMYFUNCTION("""COMPUTED_VALUE"""),43136.66666666667)</f>
        <v>43136.66667</v>
      </c>
      <c r="B5055" s="1">
        <f>IFERROR(__xludf.DUMMYFUNCTION("""COMPUTED_VALUE"""),5171.26)</f>
        <v>5171.26</v>
      </c>
    </row>
    <row r="5056">
      <c r="A5056" s="2">
        <f>IFERROR(__xludf.DUMMYFUNCTION("""COMPUTED_VALUE"""),43137.66666666667)</f>
        <v>43137.66667</v>
      </c>
      <c r="B5056" s="1">
        <f>IFERROR(__xludf.DUMMYFUNCTION("""COMPUTED_VALUE"""),5262.02)</f>
        <v>5262.02</v>
      </c>
    </row>
    <row r="5057">
      <c r="A5057" s="2">
        <f>IFERROR(__xludf.DUMMYFUNCTION("""COMPUTED_VALUE"""),43138.66666666667)</f>
        <v>43138.66667</v>
      </c>
      <c r="B5057" s="1">
        <f>IFERROR(__xludf.DUMMYFUNCTION("""COMPUTED_VALUE"""),5235.84)</f>
        <v>5235.84</v>
      </c>
    </row>
    <row r="5058">
      <c r="A5058" s="2">
        <f>IFERROR(__xludf.DUMMYFUNCTION("""COMPUTED_VALUE"""),43139.66666666667)</f>
        <v>43139.66667</v>
      </c>
      <c r="B5058" s="1">
        <f>IFERROR(__xludf.DUMMYFUNCTION("""COMPUTED_VALUE"""),5040.06)</f>
        <v>5040.06</v>
      </c>
    </row>
    <row r="5059">
      <c r="A5059" s="2">
        <f>IFERROR(__xludf.DUMMYFUNCTION("""COMPUTED_VALUE"""),43140.66666666667)</f>
        <v>43140.66667</v>
      </c>
      <c r="B5059" s="1">
        <f>IFERROR(__xludf.DUMMYFUNCTION("""COMPUTED_VALUE"""),5116.99)</f>
        <v>5116.99</v>
      </c>
    </row>
    <row r="5060">
      <c r="A5060" s="2">
        <f>IFERROR(__xludf.DUMMYFUNCTION("""COMPUTED_VALUE"""),43143.66666666667)</f>
        <v>43143.66667</v>
      </c>
      <c r="B5060" s="1">
        <f>IFERROR(__xludf.DUMMYFUNCTION("""COMPUTED_VALUE"""),5188.37)</f>
        <v>5188.37</v>
      </c>
    </row>
    <row r="5061">
      <c r="A5061" s="2">
        <f>IFERROR(__xludf.DUMMYFUNCTION("""COMPUTED_VALUE"""),43144.66666666667)</f>
        <v>43144.66667</v>
      </c>
      <c r="B5061" s="1">
        <f>IFERROR(__xludf.DUMMYFUNCTION("""COMPUTED_VALUE"""),5202.22)</f>
        <v>5202.22</v>
      </c>
    </row>
    <row r="5062">
      <c r="A5062" s="2">
        <f>IFERROR(__xludf.DUMMYFUNCTION("""COMPUTED_VALUE"""),43145.66666666667)</f>
        <v>43145.66667</v>
      </c>
      <c r="B5062" s="1">
        <f>IFERROR(__xludf.DUMMYFUNCTION("""COMPUTED_VALUE"""),5273.43)</f>
        <v>5273.43</v>
      </c>
    </row>
    <row r="5063">
      <c r="A5063" s="2">
        <f>IFERROR(__xludf.DUMMYFUNCTION("""COMPUTED_VALUE"""),43146.66666666667)</f>
        <v>43146.66667</v>
      </c>
      <c r="B5063" s="1">
        <f>IFERROR(__xludf.DUMMYFUNCTION("""COMPUTED_VALUE"""),5338.35)</f>
        <v>5338.35</v>
      </c>
    </row>
    <row r="5064">
      <c r="A5064" s="2">
        <f>IFERROR(__xludf.DUMMYFUNCTION("""COMPUTED_VALUE"""),43147.66666666667)</f>
        <v>43147.66667</v>
      </c>
      <c r="B5064" s="1">
        <f>IFERROR(__xludf.DUMMYFUNCTION("""COMPUTED_VALUE"""),5340.82)</f>
        <v>5340.82</v>
      </c>
    </row>
    <row r="5065">
      <c r="A5065" s="2">
        <f>IFERROR(__xludf.DUMMYFUNCTION("""COMPUTED_VALUE"""),43151.66666666667)</f>
        <v>43151.66667</v>
      </c>
      <c r="B5065" s="1">
        <f>IFERROR(__xludf.DUMMYFUNCTION("""COMPUTED_VALUE"""),5309.99)</f>
        <v>5309.99</v>
      </c>
    </row>
    <row r="5066">
      <c r="A5066" s="2">
        <f>IFERROR(__xludf.DUMMYFUNCTION("""COMPUTED_VALUE"""),43152.66666666667)</f>
        <v>43152.66667</v>
      </c>
      <c r="B5066" s="1">
        <f>IFERROR(__xludf.DUMMYFUNCTION("""COMPUTED_VALUE"""),5280.91)</f>
        <v>5280.91</v>
      </c>
    </row>
    <row r="5067">
      <c r="A5067" s="2">
        <f>IFERROR(__xludf.DUMMYFUNCTION("""COMPUTED_VALUE"""),43153.66666666667)</f>
        <v>43153.66667</v>
      </c>
      <c r="B5067" s="1">
        <f>IFERROR(__xludf.DUMMYFUNCTION("""COMPUTED_VALUE"""),5286.5)</f>
        <v>5286.5</v>
      </c>
    </row>
    <row r="5068">
      <c r="A5068" s="2">
        <f>IFERROR(__xludf.DUMMYFUNCTION("""COMPUTED_VALUE"""),43154.66666666667)</f>
        <v>43154.66667</v>
      </c>
      <c r="B5068" s="1">
        <f>IFERROR(__xludf.DUMMYFUNCTION("""COMPUTED_VALUE"""),5371.56)</f>
        <v>5371.56</v>
      </c>
    </row>
    <row r="5069">
      <c r="A5069" s="2">
        <f>IFERROR(__xludf.DUMMYFUNCTION("""COMPUTED_VALUE"""),43157.66666666667)</f>
        <v>43157.66667</v>
      </c>
      <c r="B5069" s="1">
        <f>IFERROR(__xludf.DUMMYFUNCTION("""COMPUTED_VALUE"""),5435.38)</f>
        <v>5435.38</v>
      </c>
    </row>
    <row r="5070">
      <c r="A5070" s="2">
        <f>IFERROR(__xludf.DUMMYFUNCTION("""COMPUTED_VALUE"""),43158.66666666667)</f>
        <v>43158.66667</v>
      </c>
      <c r="B5070" s="1">
        <f>IFERROR(__xludf.DUMMYFUNCTION("""COMPUTED_VALUE"""),5367.09)</f>
        <v>5367.09</v>
      </c>
    </row>
    <row r="5071">
      <c r="A5071" s="2">
        <f>IFERROR(__xludf.DUMMYFUNCTION("""COMPUTED_VALUE"""),43159.66666666667)</f>
        <v>43159.66667</v>
      </c>
      <c r="B5071" s="1">
        <f>IFERROR(__xludf.DUMMYFUNCTION("""COMPUTED_VALUE"""),5308.09)</f>
        <v>5308.09</v>
      </c>
    </row>
    <row r="5072">
      <c r="A5072" s="2">
        <f>IFERROR(__xludf.DUMMYFUNCTION("""COMPUTED_VALUE"""),43160.66666666667)</f>
        <v>43160.66667</v>
      </c>
      <c r="B5072" s="1">
        <f>IFERROR(__xludf.DUMMYFUNCTION("""COMPUTED_VALUE"""),5238.18)</f>
        <v>5238.18</v>
      </c>
    </row>
    <row r="5073">
      <c r="A5073" s="2">
        <f>IFERROR(__xludf.DUMMYFUNCTION("""COMPUTED_VALUE"""),43161.66666666667)</f>
        <v>43161.66667</v>
      </c>
      <c r="B5073" s="1">
        <f>IFERROR(__xludf.DUMMYFUNCTION("""COMPUTED_VALUE"""),5265.24)</f>
        <v>5265.24</v>
      </c>
    </row>
    <row r="5074">
      <c r="A5074" s="2">
        <f>IFERROR(__xludf.DUMMYFUNCTION("""COMPUTED_VALUE"""),43164.66666666667)</f>
        <v>43164.66667</v>
      </c>
      <c r="B5074" s="1">
        <f>IFERROR(__xludf.DUMMYFUNCTION("""COMPUTED_VALUE"""),5323.36)</f>
        <v>5323.36</v>
      </c>
    </row>
    <row r="5075">
      <c r="A5075" s="2">
        <f>IFERROR(__xludf.DUMMYFUNCTION("""COMPUTED_VALUE"""),43165.66666666667)</f>
        <v>43165.66667</v>
      </c>
      <c r="B5075" s="1">
        <f>IFERROR(__xludf.DUMMYFUNCTION("""COMPUTED_VALUE"""),5337.69)</f>
        <v>5337.69</v>
      </c>
    </row>
    <row r="5076">
      <c r="A5076" s="2">
        <f>IFERROR(__xludf.DUMMYFUNCTION("""COMPUTED_VALUE"""),43166.66666666667)</f>
        <v>43166.66667</v>
      </c>
      <c r="B5076" s="1">
        <f>IFERROR(__xludf.DUMMYFUNCTION("""COMPUTED_VALUE"""),5335.47)</f>
        <v>5335.47</v>
      </c>
    </row>
    <row r="5077">
      <c r="A5077" s="2">
        <f>IFERROR(__xludf.DUMMYFUNCTION("""COMPUTED_VALUE"""),43167.66666666667)</f>
        <v>43167.66667</v>
      </c>
      <c r="B5077" s="1">
        <f>IFERROR(__xludf.DUMMYFUNCTION("""COMPUTED_VALUE"""),5360.73)</f>
        <v>5360.73</v>
      </c>
    </row>
    <row r="5078">
      <c r="A5078" s="2">
        <f>IFERROR(__xludf.DUMMYFUNCTION("""COMPUTED_VALUE"""),43168.66666666667)</f>
        <v>43168.66667</v>
      </c>
      <c r="B5078" s="1">
        <f>IFERROR(__xludf.DUMMYFUNCTION("""COMPUTED_VALUE"""),5454.03)</f>
        <v>5454.03</v>
      </c>
    </row>
    <row r="5079">
      <c r="A5079" s="2">
        <f>IFERROR(__xludf.DUMMYFUNCTION("""COMPUTED_VALUE"""),43171.66666666667)</f>
        <v>43171.66667</v>
      </c>
      <c r="B5079" s="1">
        <f>IFERROR(__xludf.DUMMYFUNCTION("""COMPUTED_VALUE"""),5447.1)</f>
        <v>5447.1</v>
      </c>
    </row>
    <row r="5080">
      <c r="A5080" s="2">
        <f>IFERROR(__xludf.DUMMYFUNCTION("""COMPUTED_VALUE"""),43172.66666666667)</f>
        <v>43172.66667</v>
      </c>
      <c r="B5080" s="1">
        <f>IFERROR(__xludf.DUMMYFUNCTION("""COMPUTED_VALUE"""),5412.75)</f>
        <v>5412.75</v>
      </c>
    </row>
    <row r="5081">
      <c r="A5081" s="2">
        <f>IFERROR(__xludf.DUMMYFUNCTION("""COMPUTED_VALUE"""),43173.66666666667)</f>
        <v>43173.66667</v>
      </c>
      <c r="B5081" s="1">
        <f>IFERROR(__xludf.DUMMYFUNCTION("""COMPUTED_VALUE"""),5383.27)</f>
        <v>5383.27</v>
      </c>
    </row>
    <row r="5082">
      <c r="A5082" s="2">
        <f>IFERROR(__xludf.DUMMYFUNCTION("""COMPUTED_VALUE"""),43174.66666666667)</f>
        <v>43174.66667</v>
      </c>
      <c r="B5082" s="1">
        <f>IFERROR(__xludf.DUMMYFUNCTION("""COMPUTED_VALUE"""),5379.39)</f>
        <v>5379.39</v>
      </c>
    </row>
    <row r="5083">
      <c r="A5083" s="2">
        <f>IFERROR(__xludf.DUMMYFUNCTION("""COMPUTED_VALUE"""),43175.66666666667)</f>
        <v>43175.66667</v>
      </c>
      <c r="B5083" s="1">
        <f>IFERROR(__xludf.DUMMYFUNCTION("""COMPUTED_VALUE"""),5388.74)</f>
        <v>5388.74</v>
      </c>
    </row>
    <row r="5084">
      <c r="A5084" s="2">
        <f>IFERROR(__xludf.DUMMYFUNCTION("""COMPUTED_VALUE"""),43178.66666666667)</f>
        <v>43178.66667</v>
      </c>
      <c r="B5084" s="1">
        <f>IFERROR(__xludf.DUMMYFUNCTION("""COMPUTED_VALUE"""),5312.23)</f>
        <v>5312.23</v>
      </c>
    </row>
    <row r="5085">
      <c r="A5085" s="2">
        <f>IFERROR(__xludf.DUMMYFUNCTION("""COMPUTED_VALUE"""),43179.66666666667)</f>
        <v>43179.66667</v>
      </c>
      <c r="B5085" s="1">
        <f>IFERROR(__xludf.DUMMYFUNCTION("""COMPUTED_VALUE"""),5320.2)</f>
        <v>5320.2</v>
      </c>
    </row>
    <row r="5086">
      <c r="A5086" s="2">
        <f>IFERROR(__xludf.DUMMYFUNCTION("""COMPUTED_VALUE"""),43180.66666666667)</f>
        <v>43180.66667</v>
      </c>
      <c r="B5086" s="1">
        <f>IFERROR(__xludf.DUMMYFUNCTION("""COMPUTED_VALUE"""),5310.96)</f>
        <v>5310.96</v>
      </c>
    </row>
    <row r="5087">
      <c r="A5087" s="2">
        <f>IFERROR(__xludf.DUMMYFUNCTION("""COMPUTED_VALUE"""),43181.66666666667)</f>
        <v>43181.66667</v>
      </c>
      <c r="B5087" s="1">
        <f>IFERROR(__xludf.DUMMYFUNCTION("""COMPUTED_VALUE"""),5177.52)</f>
        <v>5177.52</v>
      </c>
    </row>
    <row r="5088">
      <c r="A5088" s="2">
        <f>IFERROR(__xludf.DUMMYFUNCTION("""COMPUTED_VALUE"""),43182.66666666667)</f>
        <v>43182.66667</v>
      </c>
      <c r="B5088" s="1">
        <f>IFERROR(__xludf.DUMMYFUNCTION("""COMPUTED_VALUE"""),5069.03)</f>
        <v>5069.03</v>
      </c>
    </row>
    <row r="5089">
      <c r="A5089" s="2">
        <f>IFERROR(__xludf.DUMMYFUNCTION("""COMPUTED_VALUE"""),43185.66666666667)</f>
        <v>43185.66667</v>
      </c>
      <c r="B5089" s="1">
        <f>IFERROR(__xludf.DUMMYFUNCTION("""COMPUTED_VALUE"""),5206.69)</f>
        <v>5206.69</v>
      </c>
    </row>
    <row r="5090">
      <c r="A5090" s="2">
        <f>IFERROR(__xludf.DUMMYFUNCTION("""COMPUTED_VALUE"""),43186.66666666667)</f>
        <v>43186.66667</v>
      </c>
      <c r="B5090" s="1">
        <f>IFERROR(__xludf.DUMMYFUNCTION("""COMPUTED_VALUE"""),5116.75)</f>
        <v>5116.75</v>
      </c>
    </row>
    <row r="5091">
      <c r="A5091" s="2">
        <f>IFERROR(__xludf.DUMMYFUNCTION("""COMPUTED_VALUE"""),43187.66666666667)</f>
        <v>43187.66667</v>
      </c>
      <c r="B5091" s="1">
        <f>IFERROR(__xludf.DUMMYFUNCTION("""COMPUTED_VALUE"""),5102.69)</f>
        <v>5102.69</v>
      </c>
    </row>
    <row r="5092">
      <c r="A5092" s="2">
        <f>IFERROR(__xludf.DUMMYFUNCTION("""COMPUTED_VALUE"""),43188.66666666667)</f>
        <v>43188.66667</v>
      </c>
      <c r="B5092" s="1">
        <f>IFERROR(__xludf.DUMMYFUNCTION("""COMPUTED_VALUE"""),5173.19)</f>
        <v>5173.19</v>
      </c>
    </row>
    <row r="5093">
      <c r="A5093" s="2">
        <f>IFERROR(__xludf.DUMMYFUNCTION("""COMPUTED_VALUE"""),43192.66666666667)</f>
        <v>43192.66667</v>
      </c>
      <c r="B5093" s="1">
        <f>IFERROR(__xludf.DUMMYFUNCTION("""COMPUTED_VALUE"""),5057.69)</f>
        <v>5057.69</v>
      </c>
    </row>
    <row r="5094">
      <c r="A5094" s="2">
        <f>IFERROR(__xludf.DUMMYFUNCTION("""COMPUTED_VALUE"""),43193.66666666667)</f>
        <v>43193.66667</v>
      </c>
      <c r="B5094" s="1">
        <f>IFERROR(__xludf.DUMMYFUNCTION("""COMPUTED_VALUE"""),5121.7)</f>
        <v>5121.7</v>
      </c>
    </row>
    <row r="5095">
      <c r="A5095" s="2">
        <f>IFERROR(__xludf.DUMMYFUNCTION("""COMPUTED_VALUE"""),43194.66666666667)</f>
        <v>43194.66667</v>
      </c>
      <c r="B5095" s="1">
        <f>IFERROR(__xludf.DUMMYFUNCTION("""COMPUTED_VALUE"""),5181.31)</f>
        <v>5181.31</v>
      </c>
    </row>
    <row r="5096">
      <c r="A5096" s="2">
        <f>IFERROR(__xludf.DUMMYFUNCTION("""COMPUTED_VALUE"""),43195.66666666667)</f>
        <v>43195.66667</v>
      </c>
      <c r="B5096" s="1">
        <f>IFERROR(__xludf.DUMMYFUNCTION("""COMPUTED_VALUE"""),5217.62)</f>
        <v>5217.62</v>
      </c>
    </row>
    <row r="5097">
      <c r="A5097" s="2">
        <f>IFERROR(__xludf.DUMMYFUNCTION("""COMPUTED_VALUE"""),43196.66666666667)</f>
        <v>43196.66667</v>
      </c>
      <c r="B5097" s="1">
        <f>IFERROR(__xludf.DUMMYFUNCTION("""COMPUTED_VALUE"""),5103.35)</f>
        <v>5103.35</v>
      </c>
    </row>
    <row r="5098">
      <c r="A5098" s="2">
        <f>IFERROR(__xludf.DUMMYFUNCTION("""COMPUTED_VALUE"""),43199.66666666667)</f>
        <v>43199.66667</v>
      </c>
      <c r="B5098" s="1">
        <f>IFERROR(__xludf.DUMMYFUNCTION("""COMPUTED_VALUE"""),5121.9)</f>
        <v>5121.9</v>
      </c>
    </row>
    <row r="5099">
      <c r="A5099" s="2">
        <f>IFERROR(__xludf.DUMMYFUNCTION("""COMPUTED_VALUE"""),43200.66666666667)</f>
        <v>43200.66667</v>
      </c>
      <c r="B5099" s="1">
        <f>IFERROR(__xludf.DUMMYFUNCTION("""COMPUTED_VALUE"""),5207.73)</f>
        <v>5207.73</v>
      </c>
    </row>
    <row r="5100">
      <c r="A5100" s="2">
        <f>IFERROR(__xludf.DUMMYFUNCTION("""COMPUTED_VALUE"""),43201.66666666667)</f>
        <v>43201.66667</v>
      </c>
      <c r="B5100" s="1">
        <f>IFERROR(__xludf.DUMMYFUNCTION("""COMPUTED_VALUE"""),5179.19)</f>
        <v>5179.19</v>
      </c>
    </row>
    <row r="5101">
      <c r="A5101" s="2">
        <f>IFERROR(__xludf.DUMMYFUNCTION("""COMPUTED_VALUE"""),43202.66666666667)</f>
        <v>43202.66667</v>
      </c>
      <c r="B5101" s="1">
        <f>IFERROR(__xludf.DUMMYFUNCTION("""COMPUTED_VALUE"""),5222.55)</f>
        <v>5222.55</v>
      </c>
    </row>
    <row r="5102">
      <c r="A5102" s="2">
        <f>IFERROR(__xludf.DUMMYFUNCTION("""COMPUTED_VALUE"""),43203.66666666667)</f>
        <v>43203.66667</v>
      </c>
      <c r="B5102" s="1">
        <f>IFERROR(__xludf.DUMMYFUNCTION("""COMPUTED_VALUE"""),5207.57)</f>
        <v>5207.57</v>
      </c>
    </row>
    <row r="5103">
      <c r="A5103" s="2">
        <f>IFERROR(__xludf.DUMMYFUNCTION("""COMPUTED_VALUE"""),43206.66666666667)</f>
        <v>43206.66667</v>
      </c>
      <c r="B5103" s="1">
        <f>IFERROR(__xludf.DUMMYFUNCTION("""COMPUTED_VALUE"""),5249.94)</f>
        <v>5249.94</v>
      </c>
    </row>
    <row r="5104">
      <c r="A5104" s="2">
        <f>IFERROR(__xludf.DUMMYFUNCTION("""COMPUTED_VALUE"""),43207.66666666667)</f>
        <v>43207.66667</v>
      </c>
      <c r="B5104" s="1">
        <f>IFERROR(__xludf.DUMMYFUNCTION("""COMPUTED_VALUE"""),5305.9)</f>
        <v>5305.9</v>
      </c>
    </row>
    <row r="5105">
      <c r="A5105" s="2">
        <f>IFERROR(__xludf.DUMMYFUNCTION("""COMPUTED_VALUE"""),43208.66666666667)</f>
        <v>43208.66667</v>
      </c>
      <c r="B5105" s="1">
        <f>IFERROR(__xludf.DUMMYFUNCTION("""COMPUTED_VALUE"""),5310.32)</f>
        <v>5310.32</v>
      </c>
    </row>
    <row r="5106">
      <c r="A5106" s="2">
        <f>IFERROR(__xludf.DUMMYFUNCTION("""COMPUTED_VALUE"""),43209.66666666667)</f>
        <v>43209.66667</v>
      </c>
      <c r="B5106" s="1">
        <f>IFERROR(__xludf.DUMMYFUNCTION("""COMPUTED_VALUE"""),5280.57)</f>
        <v>5280.57</v>
      </c>
    </row>
    <row r="5107">
      <c r="A5107" s="2">
        <f>IFERROR(__xludf.DUMMYFUNCTION("""COMPUTED_VALUE"""),43210.66666666667)</f>
        <v>43210.66667</v>
      </c>
      <c r="B5107" s="1">
        <f>IFERROR(__xludf.DUMMYFUNCTION("""COMPUTED_VALUE"""),5235.75)</f>
        <v>5235.75</v>
      </c>
    </row>
    <row r="5108">
      <c r="A5108" s="2">
        <f>IFERROR(__xludf.DUMMYFUNCTION("""COMPUTED_VALUE"""),43213.66666666667)</f>
        <v>43213.66667</v>
      </c>
      <c r="B5108" s="1">
        <f>IFERROR(__xludf.DUMMYFUNCTION("""COMPUTED_VALUE"""),5236.04)</f>
        <v>5236.04</v>
      </c>
    </row>
    <row r="5109">
      <c r="A5109" s="2">
        <f>IFERROR(__xludf.DUMMYFUNCTION("""COMPUTED_VALUE"""),43214.66666666667)</f>
        <v>43214.66667</v>
      </c>
      <c r="B5109" s="1">
        <f>IFERROR(__xludf.DUMMYFUNCTION("""COMPUTED_VALUE"""),5166.1)</f>
        <v>5166.1</v>
      </c>
    </row>
    <row r="5110">
      <c r="A5110" s="2">
        <f>IFERROR(__xludf.DUMMYFUNCTION("""COMPUTED_VALUE"""),43215.66666666667)</f>
        <v>43215.66667</v>
      </c>
      <c r="B5110" s="1">
        <f>IFERROR(__xludf.DUMMYFUNCTION("""COMPUTED_VALUE"""),5175.59)</f>
        <v>5175.59</v>
      </c>
    </row>
    <row r="5111">
      <c r="A5111" s="2">
        <f>IFERROR(__xludf.DUMMYFUNCTION("""COMPUTED_VALUE"""),43216.66666666667)</f>
        <v>43216.66667</v>
      </c>
      <c r="B5111" s="1">
        <f>IFERROR(__xludf.DUMMYFUNCTION("""COMPUTED_VALUE"""),5229.61)</f>
        <v>5229.61</v>
      </c>
    </row>
    <row r="5112">
      <c r="A5112" s="2">
        <f>IFERROR(__xludf.DUMMYFUNCTION("""COMPUTED_VALUE"""),43217.66666666667)</f>
        <v>43217.66667</v>
      </c>
      <c r="B5112" s="1">
        <f>IFERROR(__xludf.DUMMYFUNCTION("""COMPUTED_VALUE"""),5235.73)</f>
        <v>5235.73</v>
      </c>
    </row>
    <row r="5113">
      <c r="A5113" s="2">
        <f>IFERROR(__xludf.DUMMYFUNCTION("""COMPUTED_VALUE"""),43220.66666666667)</f>
        <v>43220.66667</v>
      </c>
      <c r="B5113" s="1">
        <f>IFERROR(__xludf.DUMMYFUNCTION("""COMPUTED_VALUE"""),5193.04)</f>
        <v>5193.04</v>
      </c>
    </row>
    <row r="5114">
      <c r="A5114" s="2">
        <f>IFERROR(__xludf.DUMMYFUNCTION("""COMPUTED_VALUE"""),43221.66666666667)</f>
        <v>43221.66667</v>
      </c>
      <c r="B5114" s="1">
        <f>IFERROR(__xludf.DUMMYFUNCTION("""COMPUTED_VALUE"""),5206.31)</f>
        <v>5206.31</v>
      </c>
    </row>
    <row r="5115">
      <c r="A5115" s="2">
        <f>IFERROR(__xludf.DUMMYFUNCTION("""COMPUTED_VALUE"""),43222.66666666667)</f>
        <v>43222.66667</v>
      </c>
      <c r="B5115" s="1">
        <f>IFERROR(__xludf.DUMMYFUNCTION("""COMPUTED_VALUE"""),5168.79)</f>
        <v>5168.79</v>
      </c>
    </row>
    <row r="5116">
      <c r="A5116" s="2">
        <f>IFERROR(__xludf.DUMMYFUNCTION("""COMPUTED_VALUE"""),43223.66666666667)</f>
        <v>43223.66667</v>
      </c>
      <c r="B5116" s="1">
        <f>IFERROR(__xludf.DUMMYFUNCTION("""COMPUTED_VALUE"""),5157.7)</f>
        <v>5157.7</v>
      </c>
    </row>
    <row r="5117">
      <c r="A5117" s="2">
        <f>IFERROR(__xludf.DUMMYFUNCTION("""COMPUTED_VALUE"""),43224.66666666667)</f>
        <v>43224.66667</v>
      </c>
      <c r="B5117" s="1">
        <f>IFERROR(__xludf.DUMMYFUNCTION("""COMPUTED_VALUE"""),5224.71)</f>
        <v>5224.71</v>
      </c>
    </row>
    <row r="5118">
      <c r="A5118" s="2">
        <f>IFERROR(__xludf.DUMMYFUNCTION("""COMPUTED_VALUE"""),43227.66666666667)</f>
        <v>43227.66667</v>
      </c>
      <c r="B5118" s="1">
        <f>IFERROR(__xludf.DUMMYFUNCTION("""COMPUTED_VALUE"""),5242.87)</f>
        <v>5242.87</v>
      </c>
    </row>
    <row r="5119">
      <c r="A5119" s="2">
        <f>IFERROR(__xludf.DUMMYFUNCTION("""COMPUTED_VALUE"""),43228.66666666667)</f>
        <v>43228.66667</v>
      </c>
      <c r="B5119" s="1">
        <f>IFERROR(__xludf.DUMMYFUNCTION("""COMPUTED_VALUE"""),5241.53)</f>
        <v>5241.53</v>
      </c>
    </row>
    <row r="5120">
      <c r="A5120" s="2">
        <f>IFERROR(__xludf.DUMMYFUNCTION("""COMPUTED_VALUE"""),43229.66666666667)</f>
        <v>43229.66667</v>
      </c>
      <c r="B5120" s="1">
        <f>IFERROR(__xludf.DUMMYFUNCTION("""COMPUTED_VALUE"""),5292.9)</f>
        <v>5292.9</v>
      </c>
    </row>
    <row r="5121">
      <c r="A5121" s="2">
        <f>IFERROR(__xludf.DUMMYFUNCTION("""COMPUTED_VALUE"""),43230.66666666667)</f>
        <v>43230.66667</v>
      </c>
      <c r="B5121" s="1">
        <f>IFERROR(__xludf.DUMMYFUNCTION("""COMPUTED_VALUE"""),5343.7)</f>
        <v>5343.7</v>
      </c>
    </row>
    <row r="5122">
      <c r="A5122" s="2">
        <f>IFERROR(__xludf.DUMMYFUNCTION("""COMPUTED_VALUE"""),43231.66666666667)</f>
        <v>43231.66667</v>
      </c>
      <c r="B5122" s="1">
        <f>IFERROR(__xludf.DUMMYFUNCTION("""COMPUTED_VALUE"""),5354.69)</f>
        <v>5354.69</v>
      </c>
    </row>
    <row r="5123">
      <c r="A5123" s="2">
        <f>IFERROR(__xludf.DUMMYFUNCTION("""COMPUTED_VALUE"""),43234.66666666667)</f>
        <v>43234.66667</v>
      </c>
      <c r="B5123" s="1">
        <f>IFERROR(__xludf.DUMMYFUNCTION("""COMPUTED_VALUE"""),5359.66)</f>
        <v>5359.66</v>
      </c>
    </row>
    <row r="5124">
      <c r="A5124" s="2">
        <f>IFERROR(__xludf.DUMMYFUNCTION("""COMPUTED_VALUE"""),43235.66666666667)</f>
        <v>43235.66667</v>
      </c>
      <c r="B5124" s="1">
        <f>IFERROR(__xludf.DUMMYFUNCTION("""COMPUTED_VALUE"""),5323.23)</f>
        <v>5323.23</v>
      </c>
    </row>
    <row r="5125">
      <c r="A5125" s="2">
        <f>IFERROR(__xludf.DUMMYFUNCTION("""COMPUTED_VALUE"""),43236.66666666667)</f>
        <v>43236.66667</v>
      </c>
      <c r="B5125" s="1">
        <f>IFERROR(__xludf.DUMMYFUNCTION("""COMPUTED_VALUE"""),5346.33)</f>
        <v>5346.33</v>
      </c>
    </row>
    <row r="5126">
      <c r="A5126" s="2">
        <f>IFERROR(__xludf.DUMMYFUNCTION("""COMPUTED_VALUE"""),43237.66666666667)</f>
        <v>43237.66667</v>
      </c>
      <c r="B5126" s="1">
        <f>IFERROR(__xludf.DUMMYFUNCTION("""COMPUTED_VALUE"""),5343.29)</f>
        <v>5343.29</v>
      </c>
    </row>
    <row r="5127">
      <c r="A5127" s="2">
        <f>IFERROR(__xludf.DUMMYFUNCTION("""COMPUTED_VALUE"""),43238.66666666667)</f>
        <v>43238.66667</v>
      </c>
      <c r="B5127" s="1">
        <f>IFERROR(__xludf.DUMMYFUNCTION("""COMPUTED_VALUE"""),5329.66)</f>
        <v>5329.66</v>
      </c>
    </row>
    <row r="5128">
      <c r="A5128" s="2">
        <f>IFERROR(__xludf.DUMMYFUNCTION("""COMPUTED_VALUE"""),43241.66666666667)</f>
        <v>43241.66667</v>
      </c>
      <c r="B5128" s="1">
        <f>IFERROR(__xludf.DUMMYFUNCTION("""COMPUTED_VALUE"""),5369.19)</f>
        <v>5369.19</v>
      </c>
    </row>
    <row r="5129">
      <c r="A5129" s="2">
        <f>IFERROR(__xludf.DUMMYFUNCTION("""COMPUTED_VALUE"""),43242.66666666667)</f>
        <v>43242.66667</v>
      </c>
      <c r="B5129" s="1">
        <f>IFERROR(__xludf.DUMMYFUNCTION("""COMPUTED_VALUE"""),5352.45)</f>
        <v>5352.45</v>
      </c>
    </row>
    <row r="5130">
      <c r="A5130" s="2">
        <f>IFERROR(__xludf.DUMMYFUNCTION("""COMPUTED_VALUE"""),43243.66666666667)</f>
        <v>43243.66667</v>
      </c>
      <c r="B5130" s="1">
        <f>IFERROR(__xludf.DUMMYFUNCTION("""COMPUTED_VALUE"""),5369.99)</f>
        <v>5369.99</v>
      </c>
    </row>
    <row r="5131">
      <c r="A5131" s="2">
        <f>IFERROR(__xludf.DUMMYFUNCTION("""COMPUTED_VALUE"""),43244.66666666667)</f>
        <v>43244.66667</v>
      </c>
      <c r="B5131" s="1">
        <f>IFERROR(__xludf.DUMMYFUNCTION("""COMPUTED_VALUE"""),5359.32)</f>
        <v>5359.32</v>
      </c>
    </row>
    <row r="5132">
      <c r="A5132" s="2">
        <f>IFERROR(__xludf.DUMMYFUNCTION("""COMPUTED_VALUE"""),43245.66666666667)</f>
        <v>43245.66667</v>
      </c>
      <c r="B5132" s="1">
        <f>IFERROR(__xludf.DUMMYFUNCTION("""COMPUTED_VALUE"""),5347.31)</f>
        <v>5347.31</v>
      </c>
    </row>
    <row r="5133">
      <c r="A5133" s="2">
        <f>IFERROR(__xludf.DUMMYFUNCTION("""COMPUTED_VALUE"""),43249.66666666667)</f>
        <v>43249.66667</v>
      </c>
      <c r="B5133" s="1">
        <f>IFERROR(__xludf.DUMMYFUNCTION("""COMPUTED_VALUE"""),5285.7)</f>
        <v>5285.7</v>
      </c>
    </row>
    <row r="5134">
      <c r="A5134" s="2">
        <f>IFERROR(__xludf.DUMMYFUNCTION("""COMPUTED_VALUE"""),43250.66666666667)</f>
        <v>43250.66667</v>
      </c>
      <c r="B5134" s="1">
        <f>IFERROR(__xludf.DUMMYFUNCTION("""COMPUTED_VALUE"""),5353.76)</f>
        <v>5353.76</v>
      </c>
    </row>
    <row r="5135">
      <c r="A5135" s="2">
        <f>IFERROR(__xludf.DUMMYFUNCTION("""COMPUTED_VALUE"""),43251.66666666667)</f>
        <v>43251.66667</v>
      </c>
      <c r="B5135" s="1">
        <f>IFERROR(__xludf.DUMMYFUNCTION("""COMPUTED_VALUE"""),5318.1)</f>
        <v>5318.1</v>
      </c>
    </row>
    <row r="5136">
      <c r="A5136" s="2">
        <f>IFERROR(__xludf.DUMMYFUNCTION("""COMPUTED_VALUE"""),43252.66666666667)</f>
        <v>43252.66667</v>
      </c>
      <c r="B5136" s="1">
        <f>IFERROR(__xludf.DUMMYFUNCTION("""COMPUTED_VALUE"""),5376.29)</f>
        <v>5376.29</v>
      </c>
    </row>
    <row r="5137">
      <c r="A5137" s="2">
        <f>IFERROR(__xludf.DUMMYFUNCTION("""COMPUTED_VALUE"""),43255.66666666667)</f>
        <v>43255.66667</v>
      </c>
      <c r="B5137" s="1">
        <f>IFERROR(__xludf.DUMMYFUNCTION("""COMPUTED_VALUE"""),5400.5)</f>
        <v>5400.5</v>
      </c>
    </row>
    <row r="5138">
      <c r="A5138" s="2">
        <f>IFERROR(__xludf.DUMMYFUNCTION("""COMPUTED_VALUE"""),43256.66666666667)</f>
        <v>43256.66667</v>
      </c>
      <c r="B5138" s="1">
        <f>IFERROR(__xludf.DUMMYFUNCTION("""COMPUTED_VALUE"""),5404.62)</f>
        <v>5404.62</v>
      </c>
    </row>
    <row r="5139">
      <c r="A5139" s="2">
        <f>IFERROR(__xludf.DUMMYFUNCTION("""COMPUTED_VALUE"""),43257.66666666667)</f>
        <v>43257.66667</v>
      </c>
      <c r="B5139" s="1">
        <f>IFERROR(__xludf.DUMMYFUNCTION("""COMPUTED_VALUE"""),5451.09)</f>
        <v>5451.09</v>
      </c>
    </row>
    <row r="5140">
      <c r="A5140" s="2">
        <f>IFERROR(__xludf.DUMMYFUNCTION("""COMPUTED_VALUE"""),43258.66666666667)</f>
        <v>43258.66667</v>
      </c>
      <c r="B5140" s="1">
        <f>IFERROR(__xludf.DUMMYFUNCTION("""COMPUTED_VALUE"""),5448.18)</f>
        <v>5448.18</v>
      </c>
    </row>
    <row r="5141">
      <c r="A5141" s="2">
        <f>IFERROR(__xludf.DUMMYFUNCTION("""COMPUTED_VALUE"""),43259.66666666667)</f>
        <v>43259.66667</v>
      </c>
      <c r="B5141" s="1">
        <f>IFERROR(__xludf.DUMMYFUNCTION("""COMPUTED_VALUE"""),5465.42)</f>
        <v>5465.42</v>
      </c>
    </row>
    <row r="5142">
      <c r="A5142" s="2">
        <f>IFERROR(__xludf.DUMMYFUNCTION("""COMPUTED_VALUE"""),43262.66666666667)</f>
        <v>43262.66667</v>
      </c>
      <c r="B5142" s="1">
        <f>IFERROR(__xludf.DUMMYFUNCTION("""COMPUTED_VALUE"""),5471.29)</f>
        <v>5471.29</v>
      </c>
    </row>
    <row r="5143">
      <c r="A5143" s="2">
        <f>IFERROR(__xludf.DUMMYFUNCTION("""COMPUTED_VALUE"""),43263.66666666667)</f>
        <v>43263.66667</v>
      </c>
      <c r="B5143" s="1">
        <f>IFERROR(__xludf.DUMMYFUNCTION("""COMPUTED_VALUE"""),5481.07)</f>
        <v>5481.07</v>
      </c>
    </row>
    <row r="5144">
      <c r="A5144" s="2">
        <f>IFERROR(__xludf.DUMMYFUNCTION("""COMPUTED_VALUE"""),43264.66666666667)</f>
        <v>43264.66667</v>
      </c>
      <c r="B5144" s="1">
        <f>IFERROR(__xludf.DUMMYFUNCTION("""COMPUTED_VALUE"""),5459.21)</f>
        <v>5459.21</v>
      </c>
    </row>
    <row r="5145">
      <c r="A5145" s="2">
        <f>IFERROR(__xludf.DUMMYFUNCTION("""COMPUTED_VALUE"""),43265.66666666667)</f>
        <v>43265.66667</v>
      </c>
      <c r="B5145" s="1">
        <f>IFERROR(__xludf.DUMMYFUNCTION("""COMPUTED_VALUE"""),5474.37)</f>
        <v>5474.37</v>
      </c>
    </row>
    <row r="5146">
      <c r="A5146" s="2">
        <f>IFERROR(__xludf.DUMMYFUNCTION("""COMPUTED_VALUE"""),43266.66666666667)</f>
        <v>43266.66667</v>
      </c>
      <c r="B5146" s="1">
        <f>IFERROR(__xludf.DUMMYFUNCTION("""COMPUTED_VALUE"""),5469.37)</f>
        <v>5469.37</v>
      </c>
    </row>
    <row r="5147">
      <c r="A5147" s="2">
        <f>IFERROR(__xludf.DUMMYFUNCTION("""COMPUTED_VALUE"""),43269.66666666667)</f>
        <v>43269.66667</v>
      </c>
      <c r="B5147" s="1">
        <f>IFERROR(__xludf.DUMMYFUNCTION("""COMPUTED_VALUE"""),5457.83)</f>
        <v>5457.83</v>
      </c>
    </row>
    <row r="5148">
      <c r="A5148" s="2">
        <f>IFERROR(__xludf.DUMMYFUNCTION("""COMPUTED_VALUE"""),43270.66666666667)</f>
        <v>43270.66667</v>
      </c>
      <c r="B5148" s="1">
        <f>IFERROR(__xludf.DUMMYFUNCTION("""COMPUTED_VALUE"""),5436.13)</f>
        <v>5436.13</v>
      </c>
    </row>
    <row r="5149">
      <c r="A5149" s="2">
        <f>IFERROR(__xludf.DUMMYFUNCTION("""COMPUTED_VALUE"""),43271.66666666667)</f>
        <v>43271.66667</v>
      </c>
      <c r="B5149" s="1">
        <f>IFERROR(__xludf.DUMMYFUNCTION("""COMPUTED_VALUE"""),5445.43)</f>
        <v>5445.43</v>
      </c>
    </row>
    <row r="5150">
      <c r="A5150" s="2">
        <f>IFERROR(__xludf.DUMMYFUNCTION("""COMPUTED_VALUE"""),43272.66666666667)</f>
        <v>43272.66667</v>
      </c>
      <c r="B5150" s="1">
        <f>IFERROR(__xludf.DUMMYFUNCTION("""COMPUTED_VALUE"""),5411.4)</f>
        <v>5411.4</v>
      </c>
    </row>
    <row r="5151">
      <c r="A5151" s="2">
        <f>IFERROR(__xludf.DUMMYFUNCTION("""COMPUTED_VALUE"""),43273.66666666667)</f>
        <v>43273.66667</v>
      </c>
      <c r="B5151" s="1">
        <f>IFERROR(__xludf.DUMMYFUNCTION("""COMPUTED_VALUE"""),5421.63)</f>
        <v>5421.63</v>
      </c>
    </row>
    <row r="5152">
      <c r="A5152" s="2">
        <f>IFERROR(__xludf.DUMMYFUNCTION("""COMPUTED_VALUE"""),43276.66666666667)</f>
        <v>43276.66667</v>
      </c>
      <c r="B5152" s="1">
        <f>IFERROR(__xludf.DUMMYFUNCTION("""COMPUTED_VALUE"""),5347.23)</f>
        <v>5347.23</v>
      </c>
    </row>
    <row r="5153">
      <c r="A5153" s="2">
        <f>IFERROR(__xludf.DUMMYFUNCTION("""COMPUTED_VALUE"""),43277.66666666667)</f>
        <v>43277.66667</v>
      </c>
      <c r="B5153" s="1">
        <f>IFERROR(__xludf.DUMMYFUNCTION("""COMPUTED_VALUE"""),5359.01)</f>
        <v>5359.01</v>
      </c>
    </row>
    <row r="5154">
      <c r="A5154" s="2">
        <f>IFERROR(__xludf.DUMMYFUNCTION("""COMPUTED_VALUE"""),43278.66666666667)</f>
        <v>43278.66667</v>
      </c>
      <c r="B5154" s="1">
        <f>IFERROR(__xludf.DUMMYFUNCTION("""COMPUTED_VALUE"""),5312.89)</f>
        <v>5312.89</v>
      </c>
    </row>
    <row r="5155">
      <c r="A5155" s="2">
        <f>IFERROR(__xludf.DUMMYFUNCTION("""COMPUTED_VALUE"""),43279.66666666667)</f>
        <v>43279.66667</v>
      </c>
      <c r="B5155" s="1">
        <f>IFERROR(__xludf.DUMMYFUNCTION("""COMPUTED_VALUE"""),5346.44)</f>
        <v>5346.44</v>
      </c>
    </row>
    <row r="5156">
      <c r="A5156" s="2">
        <f>IFERROR(__xludf.DUMMYFUNCTION("""COMPUTED_VALUE"""),43280.66666666667)</f>
        <v>43280.66667</v>
      </c>
      <c r="B5156" s="1">
        <f>IFERROR(__xludf.DUMMYFUNCTION("""COMPUTED_VALUE"""),5350.83)</f>
        <v>5350.83</v>
      </c>
    </row>
    <row r="5157">
      <c r="A5157" s="2">
        <f>IFERROR(__xludf.DUMMYFUNCTION("""COMPUTED_VALUE"""),43283.66666666667)</f>
        <v>43283.66667</v>
      </c>
      <c r="B5157" s="1">
        <f>IFERROR(__xludf.DUMMYFUNCTION("""COMPUTED_VALUE"""),5367.49)</f>
        <v>5367.49</v>
      </c>
    </row>
    <row r="5158">
      <c r="A5158" s="2">
        <f>IFERROR(__xludf.DUMMYFUNCTION("""COMPUTED_VALUE"""),43284.54166666667)</f>
        <v>43284.54167</v>
      </c>
      <c r="B5158" s="1">
        <f>IFERROR(__xludf.DUMMYFUNCTION("""COMPUTED_VALUE"""),5340.93)</f>
        <v>5340.93</v>
      </c>
    </row>
    <row r="5159">
      <c r="A5159" s="2">
        <f>IFERROR(__xludf.DUMMYFUNCTION("""COMPUTED_VALUE"""),43286.66666666667)</f>
        <v>43286.66667</v>
      </c>
      <c r="B5159" s="1">
        <f>IFERROR(__xludf.DUMMYFUNCTION("""COMPUTED_VALUE"""),5388.28)</f>
        <v>5388.28</v>
      </c>
    </row>
    <row r="5160">
      <c r="A5160" s="2">
        <f>IFERROR(__xludf.DUMMYFUNCTION("""COMPUTED_VALUE"""),43287.66666666667)</f>
        <v>43287.66667</v>
      </c>
      <c r="B5160" s="1">
        <f>IFERROR(__xludf.DUMMYFUNCTION("""COMPUTED_VALUE"""),5434.36)</f>
        <v>5434.36</v>
      </c>
    </row>
    <row r="5161">
      <c r="A5161" s="2">
        <f>IFERROR(__xludf.DUMMYFUNCTION("""COMPUTED_VALUE"""),43290.66666666667)</f>
        <v>43290.66667</v>
      </c>
      <c r="B5161" s="1">
        <f>IFERROR(__xludf.DUMMYFUNCTION("""COMPUTED_VALUE"""),5483.89)</f>
        <v>5483.89</v>
      </c>
    </row>
    <row r="5162">
      <c r="A5162" s="2">
        <f>IFERROR(__xludf.DUMMYFUNCTION("""COMPUTED_VALUE"""),43291.66666666667)</f>
        <v>43291.66667</v>
      </c>
      <c r="B5162" s="1">
        <f>IFERROR(__xludf.DUMMYFUNCTION("""COMPUTED_VALUE"""),5503.05)</f>
        <v>5503.05</v>
      </c>
    </row>
    <row r="5163">
      <c r="A5163" s="2">
        <f>IFERROR(__xludf.DUMMYFUNCTION("""COMPUTED_VALUE"""),43292.66666666667)</f>
        <v>43292.66667</v>
      </c>
      <c r="B5163" s="1">
        <f>IFERROR(__xludf.DUMMYFUNCTION("""COMPUTED_VALUE"""),5464.01)</f>
        <v>5464.01</v>
      </c>
    </row>
    <row r="5164">
      <c r="A5164" s="2">
        <f>IFERROR(__xludf.DUMMYFUNCTION("""COMPUTED_VALUE"""),43293.66666666667)</f>
        <v>43293.66667</v>
      </c>
      <c r="B5164" s="1">
        <f>IFERROR(__xludf.DUMMYFUNCTION("""COMPUTED_VALUE"""),5512.36)</f>
        <v>5512.36</v>
      </c>
    </row>
    <row r="5165">
      <c r="A5165" s="2">
        <f>IFERROR(__xludf.DUMMYFUNCTION("""COMPUTED_VALUE"""),43294.66666666667)</f>
        <v>43294.66667</v>
      </c>
      <c r="B5165" s="1">
        <f>IFERROR(__xludf.DUMMYFUNCTION("""COMPUTED_VALUE"""),5518.33)</f>
        <v>5518.33</v>
      </c>
    </row>
    <row r="5166">
      <c r="A5166" s="2">
        <f>IFERROR(__xludf.DUMMYFUNCTION("""COMPUTED_VALUE"""),43297.66666666667)</f>
        <v>43297.66667</v>
      </c>
      <c r="B5166" s="1">
        <f>IFERROR(__xludf.DUMMYFUNCTION("""COMPUTED_VALUE"""),5512.92)</f>
        <v>5512.92</v>
      </c>
    </row>
    <row r="5167">
      <c r="A5167" s="2">
        <f>IFERROR(__xludf.DUMMYFUNCTION("""COMPUTED_VALUE"""),43298.66666666667)</f>
        <v>43298.66667</v>
      </c>
      <c r="B5167" s="1">
        <f>IFERROR(__xludf.DUMMYFUNCTION("""COMPUTED_VALUE"""),5534.91)</f>
        <v>5534.91</v>
      </c>
    </row>
    <row r="5168">
      <c r="A5168" s="2">
        <f>IFERROR(__xludf.DUMMYFUNCTION("""COMPUTED_VALUE"""),43299.66666666667)</f>
        <v>43299.66667</v>
      </c>
      <c r="B5168" s="1">
        <f>IFERROR(__xludf.DUMMYFUNCTION("""COMPUTED_VALUE"""),5546.86)</f>
        <v>5546.86</v>
      </c>
    </row>
    <row r="5169">
      <c r="A5169" s="2">
        <f>IFERROR(__xludf.DUMMYFUNCTION("""COMPUTED_VALUE"""),43300.66666666667)</f>
        <v>43300.66667</v>
      </c>
      <c r="B5169" s="1">
        <f>IFERROR(__xludf.DUMMYFUNCTION("""COMPUTED_VALUE"""),5525.51)</f>
        <v>5525.51</v>
      </c>
    </row>
    <row r="5170">
      <c r="A5170" s="2">
        <f>IFERROR(__xludf.DUMMYFUNCTION("""COMPUTED_VALUE"""),43301.66666666667)</f>
        <v>43301.66667</v>
      </c>
      <c r="B5170" s="1">
        <f>IFERROR(__xludf.DUMMYFUNCTION("""COMPUTED_VALUE"""),5520.5)</f>
        <v>5520.5</v>
      </c>
    </row>
    <row r="5171">
      <c r="A5171" s="2">
        <f>IFERROR(__xludf.DUMMYFUNCTION("""COMPUTED_VALUE"""),43304.66666666667)</f>
        <v>43304.66667</v>
      </c>
      <c r="B5171" s="1">
        <f>IFERROR(__xludf.DUMMYFUNCTION("""COMPUTED_VALUE"""),5530.66)</f>
        <v>5530.66</v>
      </c>
    </row>
    <row r="5172">
      <c r="A5172" s="2">
        <f>IFERROR(__xludf.DUMMYFUNCTION("""COMPUTED_VALUE"""),43305.66666666667)</f>
        <v>43305.66667</v>
      </c>
      <c r="B5172" s="1">
        <f>IFERROR(__xludf.DUMMYFUNCTION("""COMPUTED_VALUE"""),5557.37)</f>
        <v>5557.37</v>
      </c>
    </row>
    <row r="5173">
      <c r="A5173" s="2">
        <f>IFERROR(__xludf.DUMMYFUNCTION("""COMPUTED_VALUE"""),43306.66666666667)</f>
        <v>43306.66667</v>
      </c>
      <c r="B5173" s="1">
        <f>IFERROR(__xludf.DUMMYFUNCTION("""COMPUTED_VALUE"""),5607.99)</f>
        <v>5607.99</v>
      </c>
    </row>
    <row r="5174">
      <c r="A5174" s="2">
        <f>IFERROR(__xludf.DUMMYFUNCTION("""COMPUTED_VALUE"""),43307.66666666667)</f>
        <v>43307.66667</v>
      </c>
      <c r="B5174" s="1">
        <f>IFERROR(__xludf.DUMMYFUNCTION("""COMPUTED_VALUE"""),5590.99)</f>
        <v>5590.99</v>
      </c>
    </row>
    <row r="5175">
      <c r="A5175" s="2">
        <f>IFERROR(__xludf.DUMMYFUNCTION("""COMPUTED_VALUE"""),43308.66666666667)</f>
        <v>43308.66667</v>
      </c>
      <c r="B5175" s="1">
        <f>IFERROR(__xludf.DUMMYFUNCTION("""COMPUTED_VALUE"""),5554.31)</f>
        <v>5554.31</v>
      </c>
    </row>
    <row r="5176">
      <c r="A5176" s="2">
        <f>IFERROR(__xludf.DUMMYFUNCTION("""COMPUTED_VALUE"""),43311.66666666667)</f>
        <v>43311.66667</v>
      </c>
      <c r="B5176" s="1">
        <f>IFERROR(__xludf.DUMMYFUNCTION("""COMPUTED_VALUE"""),5522.81)</f>
        <v>5522.81</v>
      </c>
    </row>
    <row r="5177">
      <c r="A5177" s="2">
        <f>IFERROR(__xludf.DUMMYFUNCTION("""COMPUTED_VALUE"""),43312.66666666667)</f>
        <v>43312.66667</v>
      </c>
      <c r="B5177" s="1">
        <f>IFERROR(__xludf.DUMMYFUNCTION("""COMPUTED_VALUE"""),5549.96)</f>
        <v>5549.96</v>
      </c>
    </row>
    <row r="5178">
      <c r="A5178" s="2">
        <f>IFERROR(__xludf.DUMMYFUNCTION("""COMPUTED_VALUE"""),43313.66666666667)</f>
        <v>43313.66667</v>
      </c>
      <c r="B5178" s="1">
        <f>IFERROR(__xludf.DUMMYFUNCTION("""COMPUTED_VALUE"""),5544.19)</f>
        <v>5544.19</v>
      </c>
    </row>
    <row r="5179">
      <c r="A5179" s="2">
        <f>IFERROR(__xludf.DUMMYFUNCTION("""COMPUTED_VALUE"""),43314.66666666667)</f>
        <v>43314.66667</v>
      </c>
      <c r="B5179" s="1">
        <f>IFERROR(__xludf.DUMMYFUNCTION("""COMPUTED_VALUE"""),5572.08)</f>
        <v>5572.08</v>
      </c>
    </row>
    <row r="5180">
      <c r="A5180" s="2">
        <f>IFERROR(__xludf.DUMMYFUNCTION("""COMPUTED_VALUE"""),43315.66666666667)</f>
        <v>43315.66667</v>
      </c>
      <c r="B5180" s="1">
        <f>IFERROR(__xludf.DUMMYFUNCTION("""COMPUTED_VALUE"""),5598.71)</f>
        <v>5598.71</v>
      </c>
    </row>
    <row r="5181">
      <c r="A5181" s="2">
        <f>IFERROR(__xludf.DUMMYFUNCTION("""COMPUTED_VALUE"""),43318.66666666667)</f>
        <v>43318.66667</v>
      </c>
      <c r="B5181" s="1">
        <f>IFERROR(__xludf.DUMMYFUNCTION("""COMPUTED_VALUE"""),5619.05)</f>
        <v>5619.05</v>
      </c>
    </row>
    <row r="5182">
      <c r="A5182" s="2">
        <f>IFERROR(__xludf.DUMMYFUNCTION("""COMPUTED_VALUE"""),43319.66666666667)</f>
        <v>43319.66667</v>
      </c>
      <c r="B5182" s="1">
        <f>IFERROR(__xludf.DUMMYFUNCTION("""COMPUTED_VALUE"""),5634.98)</f>
        <v>5634.98</v>
      </c>
    </row>
    <row r="5183">
      <c r="A5183" s="2">
        <f>IFERROR(__xludf.DUMMYFUNCTION("""COMPUTED_VALUE"""),43320.66666666667)</f>
        <v>43320.66667</v>
      </c>
      <c r="B5183" s="1">
        <f>IFERROR(__xludf.DUMMYFUNCTION("""COMPUTED_VALUE"""),5633.67)</f>
        <v>5633.67</v>
      </c>
    </row>
    <row r="5184">
      <c r="A5184" s="2">
        <f>IFERROR(__xludf.DUMMYFUNCTION("""COMPUTED_VALUE"""),43321.66666666667)</f>
        <v>43321.66667</v>
      </c>
      <c r="B5184" s="1">
        <f>IFERROR(__xludf.DUMMYFUNCTION("""COMPUTED_VALUE"""),5627.0)</f>
        <v>5627</v>
      </c>
    </row>
    <row r="5185">
      <c r="A5185" s="2">
        <f>IFERROR(__xludf.DUMMYFUNCTION("""COMPUTED_VALUE"""),43322.66666666667)</f>
        <v>43322.66667</v>
      </c>
      <c r="B5185" s="1">
        <f>IFERROR(__xludf.DUMMYFUNCTION("""COMPUTED_VALUE"""),5588.66)</f>
        <v>5588.66</v>
      </c>
    </row>
    <row r="5186">
      <c r="A5186" s="2">
        <f>IFERROR(__xludf.DUMMYFUNCTION("""COMPUTED_VALUE"""),43325.66666666667)</f>
        <v>43325.66667</v>
      </c>
      <c r="B5186" s="1">
        <f>IFERROR(__xludf.DUMMYFUNCTION("""COMPUTED_VALUE"""),5566.36)</f>
        <v>5566.36</v>
      </c>
    </row>
    <row r="5187">
      <c r="A5187" s="2">
        <f>IFERROR(__xludf.DUMMYFUNCTION("""COMPUTED_VALUE"""),43326.66666666667)</f>
        <v>43326.66667</v>
      </c>
      <c r="B5187" s="1">
        <f>IFERROR(__xludf.DUMMYFUNCTION("""COMPUTED_VALUE"""),5602.41)</f>
        <v>5602.41</v>
      </c>
    </row>
    <row r="5188">
      <c r="A5188" s="2">
        <f>IFERROR(__xludf.DUMMYFUNCTION("""COMPUTED_VALUE"""),43327.66666666667)</f>
        <v>43327.66667</v>
      </c>
      <c r="B5188" s="1">
        <f>IFERROR(__xludf.DUMMYFUNCTION("""COMPUTED_VALUE"""),5560.85)</f>
        <v>5560.85</v>
      </c>
    </row>
    <row r="5189">
      <c r="A5189" s="2">
        <f>IFERROR(__xludf.DUMMYFUNCTION("""COMPUTED_VALUE"""),43328.66666666667)</f>
        <v>43328.66667</v>
      </c>
      <c r="B5189" s="1">
        <f>IFERROR(__xludf.DUMMYFUNCTION("""COMPUTED_VALUE"""),5606.56)</f>
        <v>5606.56</v>
      </c>
    </row>
    <row r="5190">
      <c r="A5190" s="2">
        <f>IFERROR(__xludf.DUMMYFUNCTION("""COMPUTED_VALUE"""),43329.66666666667)</f>
        <v>43329.66667</v>
      </c>
      <c r="B5190" s="1">
        <f>IFERROR(__xludf.DUMMYFUNCTION("""COMPUTED_VALUE"""),5625.66)</f>
        <v>5625.66</v>
      </c>
    </row>
    <row r="5191">
      <c r="A5191" s="2">
        <f>IFERROR(__xludf.DUMMYFUNCTION("""COMPUTED_VALUE"""),43332.66666666667)</f>
        <v>43332.66667</v>
      </c>
      <c r="B5191" s="1">
        <f>IFERROR(__xludf.DUMMYFUNCTION("""COMPUTED_VALUE"""),5639.53)</f>
        <v>5639.53</v>
      </c>
    </row>
    <row r="5192">
      <c r="A5192" s="2">
        <f>IFERROR(__xludf.DUMMYFUNCTION("""COMPUTED_VALUE"""),43333.66666666667)</f>
        <v>43333.66667</v>
      </c>
      <c r="B5192" s="1">
        <f>IFERROR(__xludf.DUMMYFUNCTION("""COMPUTED_VALUE"""),5651.39)</f>
        <v>5651.39</v>
      </c>
    </row>
    <row r="5193">
      <c r="A5193" s="2">
        <f>IFERROR(__xludf.DUMMYFUNCTION("""COMPUTED_VALUE"""),43334.66666666667)</f>
        <v>43334.66667</v>
      </c>
      <c r="B5193" s="1">
        <f>IFERROR(__xludf.DUMMYFUNCTION("""COMPUTED_VALUE"""),5649.31)</f>
        <v>5649.31</v>
      </c>
    </row>
    <row r="5194">
      <c r="A5194" s="2">
        <f>IFERROR(__xludf.DUMMYFUNCTION("""COMPUTED_VALUE"""),43335.66666666667)</f>
        <v>43335.66667</v>
      </c>
      <c r="B5194" s="1">
        <f>IFERROR(__xludf.DUMMYFUNCTION("""COMPUTED_VALUE"""),5640.1)</f>
        <v>5640.1</v>
      </c>
    </row>
    <row r="5195">
      <c r="A5195" s="2">
        <f>IFERROR(__xludf.DUMMYFUNCTION("""COMPUTED_VALUE"""),43336.66666666667)</f>
        <v>43336.66667</v>
      </c>
      <c r="B5195" s="1">
        <f>IFERROR(__xludf.DUMMYFUNCTION("""COMPUTED_VALUE"""),5675.12)</f>
        <v>5675.12</v>
      </c>
    </row>
    <row r="5196">
      <c r="A5196" s="2">
        <f>IFERROR(__xludf.DUMMYFUNCTION("""COMPUTED_VALUE"""),43339.66666666667)</f>
        <v>43339.66667</v>
      </c>
      <c r="B5196" s="1">
        <f>IFERROR(__xludf.DUMMYFUNCTION("""COMPUTED_VALUE"""),5719.3)</f>
        <v>5719.3</v>
      </c>
    </row>
    <row r="5197">
      <c r="A5197" s="2">
        <f>IFERROR(__xludf.DUMMYFUNCTION("""COMPUTED_VALUE"""),43340.66666666667)</f>
        <v>43340.66667</v>
      </c>
      <c r="B5197" s="1">
        <f>IFERROR(__xludf.DUMMYFUNCTION("""COMPUTED_VALUE"""),5720.89)</f>
        <v>5720.89</v>
      </c>
    </row>
    <row r="5198">
      <c r="A5198" s="2">
        <f>IFERROR(__xludf.DUMMYFUNCTION("""COMPUTED_VALUE"""),43341.66666666667)</f>
        <v>43341.66667</v>
      </c>
      <c r="B5198" s="1">
        <f>IFERROR(__xludf.DUMMYFUNCTION("""COMPUTED_VALUE"""),5754.0)</f>
        <v>5754</v>
      </c>
    </row>
    <row r="5199">
      <c r="A5199" s="2">
        <f>IFERROR(__xludf.DUMMYFUNCTION("""COMPUTED_VALUE"""),43342.66666666667)</f>
        <v>43342.66667</v>
      </c>
      <c r="B5199" s="1">
        <f>IFERROR(__xludf.DUMMYFUNCTION("""COMPUTED_VALUE"""),5729.45)</f>
        <v>5729.45</v>
      </c>
    </row>
    <row r="5200">
      <c r="A5200" s="2">
        <f>IFERROR(__xludf.DUMMYFUNCTION("""COMPUTED_VALUE"""),43343.66666666667)</f>
        <v>43343.66667</v>
      </c>
      <c r="B5200" s="1">
        <f>IFERROR(__xludf.DUMMYFUNCTION("""COMPUTED_VALUE"""),5730.8)</f>
        <v>5730.8</v>
      </c>
    </row>
    <row r="5201">
      <c r="A5201" s="2">
        <f>IFERROR(__xludf.DUMMYFUNCTION("""COMPUTED_VALUE"""),43347.66666666667)</f>
        <v>43347.66667</v>
      </c>
      <c r="B5201" s="1">
        <f>IFERROR(__xludf.DUMMYFUNCTION("""COMPUTED_VALUE"""),5721.86)</f>
        <v>5721.86</v>
      </c>
    </row>
    <row r="5202">
      <c r="A5202" s="2">
        <f>IFERROR(__xludf.DUMMYFUNCTION("""COMPUTED_VALUE"""),43348.66666666667)</f>
        <v>43348.66667</v>
      </c>
      <c r="B5202" s="1">
        <f>IFERROR(__xludf.DUMMYFUNCTION("""COMPUTED_VALUE"""),5705.86)</f>
        <v>5705.86</v>
      </c>
    </row>
    <row r="5203">
      <c r="A5203" s="2">
        <f>IFERROR(__xludf.DUMMYFUNCTION("""COMPUTED_VALUE"""),43349.66666666667)</f>
        <v>43349.66667</v>
      </c>
      <c r="B5203" s="1">
        <f>IFERROR(__xludf.DUMMYFUNCTION("""COMPUTED_VALUE"""),5686.7)</f>
        <v>5686.7</v>
      </c>
    </row>
    <row r="5204">
      <c r="A5204" s="2">
        <f>IFERROR(__xludf.DUMMYFUNCTION("""COMPUTED_VALUE"""),43350.66666666667)</f>
        <v>43350.66667</v>
      </c>
      <c r="B5204" s="1">
        <f>IFERROR(__xludf.DUMMYFUNCTION("""COMPUTED_VALUE"""),5674.58)</f>
        <v>5674.58</v>
      </c>
    </row>
    <row r="5205">
      <c r="A5205" s="2">
        <f>IFERROR(__xludf.DUMMYFUNCTION("""COMPUTED_VALUE"""),43353.66666666667)</f>
        <v>43353.66667</v>
      </c>
      <c r="B5205" s="1">
        <f>IFERROR(__xludf.DUMMYFUNCTION("""COMPUTED_VALUE"""),5685.34)</f>
        <v>5685.34</v>
      </c>
    </row>
    <row r="5206">
      <c r="A5206" s="2">
        <f>IFERROR(__xludf.DUMMYFUNCTION("""COMPUTED_VALUE"""),43354.66666666667)</f>
        <v>43354.66667</v>
      </c>
      <c r="B5206" s="1">
        <f>IFERROR(__xludf.DUMMYFUNCTION("""COMPUTED_VALUE"""),5706.99)</f>
        <v>5706.99</v>
      </c>
    </row>
    <row r="5207">
      <c r="A5207" s="2">
        <f>IFERROR(__xludf.DUMMYFUNCTION("""COMPUTED_VALUE"""),43355.66666666667)</f>
        <v>43355.66667</v>
      </c>
      <c r="B5207" s="1">
        <f>IFERROR(__xludf.DUMMYFUNCTION("""COMPUTED_VALUE"""),5709.08)</f>
        <v>5709.08</v>
      </c>
    </row>
    <row r="5208">
      <c r="A5208" s="2">
        <f>IFERROR(__xludf.DUMMYFUNCTION("""COMPUTED_VALUE"""),43356.66666666667)</f>
        <v>43356.66667</v>
      </c>
      <c r="B5208" s="1">
        <f>IFERROR(__xludf.DUMMYFUNCTION("""COMPUTED_VALUE"""),5740.75)</f>
        <v>5740.75</v>
      </c>
    </row>
    <row r="5209">
      <c r="A5209" s="2">
        <f>IFERROR(__xludf.DUMMYFUNCTION("""COMPUTED_VALUE"""),43357.66666666667)</f>
        <v>43357.66667</v>
      </c>
      <c r="B5209" s="1">
        <f>IFERROR(__xludf.DUMMYFUNCTION("""COMPUTED_VALUE"""),5743.19)</f>
        <v>5743.19</v>
      </c>
    </row>
    <row r="5210">
      <c r="A5210" s="2">
        <f>IFERROR(__xludf.DUMMYFUNCTION("""COMPUTED_VALUE"""),43360.66666666667)</f>
        <v>43360.66667</v>
      </c>
      <c r="B5210" s="1">
        <f>IFERROR(__xludf.DUMMYFUNCTION("""COMPUTED_VALUE"""),5711.29)</f>
        <v>5711.29</v>
      </c>
    </row>
    <row r="5211">
      <c r="A5211" s="2">
        <f>IFERROR(__xludf.DUMMYFUNCTION("""COMPUTED_VALUE"""),43361.66666666667)</f>
        <v>43361.66667</v>
      </c>
      <c r="B5211" s="1">
        <f>IFERROR(__xludf.DUMMYFUNCTION("""COMPUTED_VALUE"""),5742.18)</f>
        <v>5742.18</v>
      </c>
    </row>
    <row r="5212">
      <c r="A5212" s="2">
        <f>IFERROR(__xludf.DUMMYFUNCTION("""COMPUTED_VALUE"""),43362.66666666667)</f>
        <v>43362.66667</v>
      </c>
      <c r="B5212" s="1">
        <f>IFERROR(__xludf.DUMMYFUNCTION("""COMPUTED_VALUE"""),5749.39)</f>
        <v>5749.39</v>
      </c>
    </row>
    <row r="5213">
      <c r="A5213" s="2">
        <f>IFERROR(__xludf.DUMMYFUNCTION("""COMPUTED_VALUE"""),43363.66666666667)</f>
        <v>43363.66667</v>
      </c>
      <c r="B5213" s="1">
        <f>IFERROR(__xludf.DUMMYFUNCTION("""COMPUTED_VALUE"""),5794.72)</f>
        <v>5794.72</v>
      </c>
    </row>
    <row r="5214">
      <c r="A5214" s="2">
        <f>IFERROR(__xludf.DUMMYFUNCTION("""COMPUTED_VALUE"""),43364.66666666667)</f>
        <v>43364.66667</v>
      </c>
      <c r="B5214" s="1">
        <f>IFERROR(__xludf.DUMMYFUNCTION("""COMPUTED_VALUE"""),5792.72)</f>
        <v>5792.72</v>
      </c>
    </row>
    <row r="5215">
      <c r="A5215" s="2">
        <f>IFERROR(__xludf.DUMMYFUNCTION("""COMPUTED_VALUE"""),43367.66666666667)</f>
        <v>43367.66667</v>
      </c>
      <c r="B5215" s="1">
        <f>IFERROR(__xludf.DUMMYFUNCTION("""COMPUTED_VALUE"""),5772.36)</f>
        <v>5772.36</v>
      </c>
    </row>
    <row r="5216">
      <c r="A5216" s="2">
        <f>IFERROR(__xludf.DUMMYFUNCTION("""COMPUTED_VALUE"""),43368.66666666667)</f>
        <v>43368.66667</v>
      </c>
      <c r="B5216" s="1">
        <f>IFERROR(__xludf.DUMMYFUNCTION("""COMPUTED_VALUE"""),5765.25)</f>
        <v>5765.25</v>
      </c>
    </row>
    <row r="5217">
      <c r="A5217" s="2">
        <f>IFERROR(__xludf.DUMMYFUNCTION("""COMPUTED_VALUE"""),43369.66666666667)</f>
        <v>43369.66667</v>
      </c>
      <c r="B5217" s="1">
        <f>IFERROR(__xludf.DUMMYFUNCTION("""COMPUTED_VALUE"""),5746.27)</f>
        <v>5746.27</v>
      </c>
    </row>
    <row r="5218">
      <c r="A5218" s="2">
        <f>IFERROR(__xludf.DUMMYFUNCTION("""COMPUTED_VALUE"""),43370.66666666667)</f>
        <v>43370.66667</v>
      </c>
      <c r="B5218" s="1">
        <f>IFERROR(__xludf.DUMMYFUNCTION("""COMPUTED_VALUE"""),5763.22)</f>
        <v>5763.22</v>
      </c>
    </row>
    <row r="5219">
      <c r="A5219" s="2">
        <f>IFERROR(__xludf.DUMMYFUNCTION("""COMPUTED_VALUE"""),43371.66666666667)</f>
        <v>43371.66667</v>
      </c>
      <c r="B5219" s="1">
        <f>IFERROR(__xludf.DUMMYFUNCTION("""COMPUTED_VALUE"""),5763.42)</f>
        <v>5763.42</v>
      </c>
    </row>
    <row r="5220">
      <c r="A5220" s="2">
        <f>IFERROR(__xludf.DUMMYFUNCTION("""COMPUTED_VALUE"""),43374.66666666667)</f>
        <v>43374.66667</v>
      </c>
      <c r="B5220" s="1">
        <f>IFERROR(__xludf.DUMMYFUNCTION("""COMPUTED_VALUE"""),5784.45)</f>
        <v>5784.45</v>
      </c>
    </row>
    <row r="5221">
      <c r="A5221" s="2">
        <f>IFERROR(__xludf.DUMMYFUNCTION("""COMPUTED_VALUE"""),43375.66666666667)</f>
        <v>43375.66667</v>
      </c>
      <c r="B5221" s="1">
        <f>IFERROR(__xludf.DUMMYFUNCTION("""COMPUTED_VALUE"""),5782.37)</f>
        <v>5782.37</v>
      </c>
    </row>
    <row r="5222">
      <c r="A5222" s="2">
        <f>IFERROR(__xludf.DUMMYFUNCTION("""COMPUTED_VALUE"""),43376.66666666667)</f>
        <v>43376.66667</v>
      </c>
      <c r="B5222" s="1">
        <f>IFERROR(__xludf.DUMMYFUNCTION("""COMPUTED_VALUE"""),5786.48)</f>
        <v>5786.48</v>
      </c>
    </row>
    <row r="5223">
      <c r="A5223" s="2">
        <f>IFERROR(__xludf.DUMMYFUNCTION("""COMPUTED_VALUE"""),43377.66666666667)</f>
        <v>43377.66667</v>
      </c>
      <c r="B5223" s="1">
        <f>IFERROR(__xludf.DUMMYFUNCTION("""COMPUTED_VALUE"""),5740.56)</f>
        <v>5740.56</v>
      </c>
    </row>
    <row r="5224">
      <c r="A5224" s="2">
        <f>IFERROR(__xludf.DUMMYFUNCTION("""COMPUTED_VALUE"""),43378.66666666667)</f>
        <v>43378.66667</v>
      </c>
      <c r="B5224" s="1">
        <f>IFERROR(__xludf.DUMMYFUNCTION("""COMPUTED_VALUE"""),5708.9)</f>
        <v>5708.9</v>
      </c>
    </row>
    <row r="5225">
      <c r="A5225" s="2">
        <f>IFERROR(__xludf.DUMMYFUNCTION("""COMPUTED_VALUE"""),43381.66666666667)</f>
        <v>43381.66667</v>
      </c>
      <c r="B5225" s="1">
        <f>IFERROR(__xludf.DUMMYFUNCTION("""COMPUTED_VALUE"""),5706.66)</f>
        <v>5706.66</v>
      </c>
    </row>
    <row r="5226">
      <c r="A5226" s="2">
        <f>IFERROR(__xludf.DUMMYFUNCTION("""COMPUTED_VALUE"""),43382.66666666667)</f>
        <v>43382.66667</v>
      </c>
      <c r="B5226" s="1">
        <f>IFERROR(__xludf.DUMMYFUNCTION("""COMPUTED_VALUE"""),5700.23)</f>
        <v>5700.23</v>
      </c>
    </row>
    <row r="5227">
      <c r="A5227" s="2">
        <f>IFERROR(__xludf.DUMMYFUNCTION("""COMPUTED_VALUE"""),43383.66666666667)</f>
        <v>43383.66667</v>
      </c>
      <c r="B5227" s="1">
        <f>IFERROR(__xludf.DUMMYFUNCTION("""COMPUTED_VALUE"""),5512.94)</f>
        <v>5512.94</v>
      </c>
    </row>
    <row r="5228">
      <c r="A5228" s="2">
        <f>IFERROR(__xludf.DUMMYFUNCTION("""COMPUTED_VALUE"""),43384.66666666667)</f>
        <v>43384.66667</v>
      </c>
      <c r="B5228" s="1">
        <f>IFERROR(__xludf.DUMMYFUNCTION("""COMPUTED_VALUE"""),5399.54)</f>
        <v>5399.54</v>
      </c>
    </row>
    <row r="5229">
      <c r="A5229" s="2">
        <f>IFERROR(__xludf.DUMMYFUNCTION("""COMPUTED_VALUE"""),43385.66666666667)</f>
        <v>43385.66667</v>
      </c>
      <c r="B5229" s="1">
        <f>IFERROR(__xludf.DUMMYFUNCTION("""COMPUTED_VALUE"""),5476.83)</f>
        <v>5476.83</v>
      </c>
    </row>
    <row r="5230">
      <c r="A5230" s="2">
        <f>IFERROR(__xludf.DUMMYFUNCTION("""COMPUTED_VALUE"""),43388.66666666667)</f>
        <v>43388.66667</v>
      </c>
      <c r="B5230" s="1">
        <f>IFERROR(__xludf.DUMMYFUNCTION("""COMPUTED_VALUE"""),5444.61)</f>
        <v>5444.61</v>
      </c>
    </row>
    <row r="5231">
      <c r="A5231" s="2">
        <f>IFERROR(__xludf.DUMMYFUNCTION("""COMPUTED_VALUE"""),43389.66666666667)</f>
        <v>43389.66667</v>
      </c>
      <c r="B5231" s="1">
        <f>IFERROR(__xludf.DUMMYFUNCTION("""COMPUTED_VALUE"""),5561.8)</f>
        <v>5561.8</v>
      </c>
    </row>
    <row r="5232">
      <c r="A5232" s="2">
        <f>IFERROR(__xludf.DUMMYFUNCTION("""COMPUTED_VALUE"""),43390.66666666667)</f>
        <v>43390.66667</v>
      </c>
      <c r="B5232" s="1">
        <f>IFERROR(__xludf.DUMMYFUNCTION("""COMPUTED_VALUE"""),5560.62)</f>
        <v>5560.62</v>
      </c>
    </row>
    <row r="5233">
      <c r="A5233" s="2">
        <f>IFERROR(__xludf.DUMMYFUNCTION("""COMPUTED_VALUE"""),43391.66666666667)</f>
        <v>43391.66667</v>
      </c>
      <c r="B5233" s="1">
        <f>IFERROR(__xludf.DUMMYFUNCTION("""COMPUTED_VALUE"""),5481.13)</f>
        <v>5481.13</v>
      </c>
    </row>
    <row r="5234">
      <c r="A5234" s="2">
        <f>IFERROR(__xludf.DUMMYFUNCTION("""COMPUTED_VALUE"""),43392.66666666667)</f>
        <v>43392.66667</v>
      </c>
      <c r="B5234" s="1">
        <f>IFERROR(__xludf.DUMMYFUNCTION("""COMPUTED_VALUE"""),5479.3)</f>
        <v>5479.3</v>
      </c>
    </row>
    <row r="5235">
      <c r="A5235" s="2">
        <f>IFERROR(__xludf.DUMMYFUNCTION("""COMPUTED_VALUE"""),43395.66666666667)</f>
        <v>43395.66667</v>
      </c>
      <c r="B5235" s="1">
        <f>IFERROR(__xludf.DUMMYFUNCTION("""COMPUTED_VALUE"""),5455.88)</f>
        <v>5455.88</v>
      </c>
    </row>
    <row r="5236">
      <c r="A5236" s="2">
        <f>IFERROR(__xludf.DUMMYFUNCTION("""COMPUTED_VALUE"""),43396.66666666667)</f>
        <v>43396.66667</v>
      </c>
      <c r="B5236" s="1">
        <f>IFERROR(__xludf.DUMMYFUNCTION("""COMPUTED_VALUE"""),5426.08)</f>
        <v>5426.08</v>
      </c>
    </row>
    <row r="5237">
      <c r="A5237" s="2">
        <f>IFERROR(__xludf.DUMMYFUNCTION("""COMPUTED_VALUE"""),43397.66666666667)</f>
        <v>43397.66667</v>
      </c>
      <c r="B5237" s="1">
        <f>IFERROR(__xludf.DUMMYFUNCTION("""COMPUTED_VALUE"""),5258.61)</f>
        <v>5258.61</v>
      </c>
    </row>
    <row r="5238">
      <c r="A5238" s="2">
        <f>IFERROR(__xludf.DUMMYFUNCTION("""COMPUTED_VALUE"""),43398.66666666667)</f>
        <v>43398.66667</v>
      </c>
      <c r="B5238" s="1">
        <f>IFERROR(__xludf.DUMMYFUNCTION("""COMPUTED_VALUE"""),5356.54)</f>
        <v>5356.54</v>
      </c>
    </row>
    <row r="5239">
      <c r="A5239" s="2">
        <f>IFERROR(__xludf.DUMMYFUNCTION("""COMPUTED_VALUE"""),43399.66666666667)</f>
        <v>43399.66667</v>
      </c>
      <c r="B5239" s="1">
        <f>IFERROR(__xludf.DUMMYFUNCTION("""COMPUTED_VALUE"""),5263.74)</f>
        <v>5263.74</v>
      </c>
    </row>
    <row r="5240">
      <c r="A5240" s="2">
        <f>IFERROR(__xludf.DUMMYFUNCTION("""COMPUTED_VALUE"""),43402.66666666667)</f>
        <v>43402.66667</v>
      </c>
      <c r="B5240" s="1">
        <f>IFERROR(__xludf.DUMMYFUNCTION("""COMPUTED_VALUE"""),5229.28)</f>
        <v>5229.28</v>
      </c>
    </row>
    <row r="5241">
      <c r="A5241" s="2">
        <f>IFERROR(__xludf.DUMMYFUNCTION("""COMPUTED_VALUE"""),43403.66666666667)</f>
        <v>43403.66667</v>
      </c>
      <c r="B5241" s="1">
        <f>IFERROR(__xludf.DUMMYFUNCTION("""COMPUTED_VALUE"""),5311.67)</f>
        <v>5311.67</v>
      </c>
    </row>
    <row r="5242">
      <c r="A5242" s="2">
        <f>IFERROR(__xludf.DUMMYFUNCTION("""COMPUTED_VALUE"""),43404.66666666667)</f>
        <v>43404.66667</v>
      </c>
      <c r="B5242" s="1">
        <f>IFERROR(__xludf.DUMMYFUNCTION("""COMPUTED_VALUE"""),5369.49)</f>
        <v>5369.49</v>
      </c>
    </row>
    <row r="5243">
      <c r="A5243" s="2">
        <f>IFERROR(__xludf.DUMMYFUNCTION("""COMPUTED_VALUE"""),43405.66666666667)</f>
        <v>43405.66667</v>
      </c>
      <c r="B5243" s="1">
        <f>IFERROR(__xludf.DUMMYFUNCTION("""COMPUTED_VALUE"""),5426.33)</f>
        <v>5426.33</v>
      </c>
    </row>
    <row r="5244">
      <c r="A5244" s="2">
        <f>IFERROR(__xludf.DUMMYFUNCTION("""COMPUTED_VALUE"""),43406.66666666667)</f>
        <v>43406.66667</v>
      </c>
      <c r="B5244" s="1">
        <f>IFERROR(__xludf.DUMMYFUNCTION("""COMPUTED_VALUE"""),5392.53)</f>
        <v>5392.53</v>
      </c>
    </row>
    <row r="5245">
      <c r="A5245" s="2">
        <f>IFERROR(__xludf.DUMMYFUNCTION("""COMPUTED_VALUE"""),43409.66666666667)</f>
        <v>43409.66667</v>
      </c>
      <c r="B5245" s="1">
        <f>IFERROR(__xludf.DUMMYFUNCTION("""COMPUTED_VALUE"""),5422.88)</f>
        <v>5422.88</v>
      </c>
    </row>
    <row r="5246">
      <c r="A5246" s="2">
        <f>IFERROR(__xludf.DUMMYFUNCTION("""COMPUTED_VALUE"""),43410.66666666667)</f>
        <v>43410.66667</v>
      </c>
      <c r="B5246" s="1">
        <f>IFERROR(__xludf.DUMMYFUNCTION("""COMPUTED_VALUE"""),5457.25)</f>
        <v>5457.25</v>
      </c>
    </row>
    <row r="5247">
      <c r="A5247" s="2">
        <f>IFERROR(__xludf.DUMMYFUNCTION("""COMPUTED_VALUE"""),43411.66666666667)</f>
        <v>43411.66667</v>
      </c>
      <c r="B5247" s="1">
        <f>IFERROR(__xludf.DUMMYFUNCTION("""COMPUTED_VALUE"""),5573.06)</f>
        <v>5573.06</v>
      </c>
    </row>
    <row r="5248">
      <c r="A5248" s="2">
        <f>IFERROR(__xludf.DUMMYFUNCTION("""COMPUTED_VALUE"""),43412.66666666667)</f>
        <v>43412.66667</v>
      </c>
      <c r="B5248" s="1">
        <f>IFERROR(__xludf.DUMMYFUNCTION("""COMPUTED_VALUE"""),5562.0)</f>
        <v>5562</v>
      </c>
    </row>
    <row r="5249">
      <c r="A5249" s="2">
        <f>IFERROR(__xludf.DUMMYFUNCTION("""COMPUTED_VALUE"""),43413.66666666667)</f>
        <v>43413.66667</v>
      </c>
      <c r="B5249" s="1">
        <f>IFERROR(__xludf.DUMMYFUNCTION("""COMPUTED_VALUE"""),5511.79)</f>
        <v>5511.79</v>
      </c>
    </row>
    <row r="5250">
      <c r="A5250" s="2">
        <f>IFERROR(__xludf.DUMMYFUNCTION("""COMPUTED_VALUE"""),43416.66666666667)</f>
        <v>43416.66667</v>
      </c>
      <c r="B5250" s="1">
        <f>IFERROR(__xludf.DUMMYFUNCTION("""COMPUTED_VALUE"""),5403.19)</f>
        <v>5403.19</v>
      </c>
    </row>
    <row r="5251">
      <c r="A5251" s="2">
        <f>IFERROR(__xludf.DUMMYFUNCTION("""COMPUTED_VALUE"""),43417.66666666667)</f>
        <v>43417.66667</v>
      </c>
      <c r="B5251" s="1">
        <f>IFERROR(__xludf.DUMMYFUNCTION("""COMPUTED_VALUE"""),5395.37)</f>
        <v>5395.37</v>
      </c>
    </row>
    <row r="5252">
      <c r="A5252" s="2">
        <f>IFERROR(__xludf.DUMMYFUNCTION("""COMPUTED_VALUE"""),43418.66666666667)</f>
        <v>43418.66667</v>
      </c>
      <c r="B5252" s="1">
        <f>IFERROR(__xludf.DUMMYFUNCTION("""COMPUTED_VALUE"""),5355.94)</f>
        <v>5355.94</v>
      </c>
    </row>
    <row r="5253">
      <c r="A5253" s="2">
        <f>IFERROR(__xludf.DUMMYFUNCTION("""COMPUTED_VALUE"""),43419.66666666667)</f>
        <v>43419.66667</v>
      </c>
      <c r="B5253" s="1">
        <f>IFERROR(__xludf.DUMMYFUNCTION("""COMPUTED_VALUE"""),5414.43)</f>
        <v>5414.43</v>
      </c>
    </row>
    <row r="5254">
      <c r="A5254" s="2">
        <f>IFERROR(__xludf.DUMMYFUNCTION("""COMPUTED_VALUE"""),43420.66666666667)</f>
        <v>43420.66667</v>
      </c>
      <c r="B5254" s="1">
        <f>IFERROR(__xludf.DUMMYFUNCTION("""COMPUTED_VALUE"""),5426.86)</f>
        <v>5426.86</v>
      </c>
    </row>
    <row r="5255">
      <c r="A5255" s="2">
        <f>IFERROR(__xludf.DUMMYFUNCTION("""COMPUTED_VALUE"""),43423.66666666667)</f>
        <v>43423.66667</v>
      </c>
      <c r="B5255" s="1">
        <f>IFERROR(__xludf.DUMMYFUNCTION("""COMPUTED_VALUE"""),5336.7)</f>
        <v>5336.7</v>
      </c>
    </row>
    <row r="5256">
      <c r="A5256" s="2">
        <f>IFERROR(__xludf.DUMMYFUNCTION("""COMPUTED_VALUE"""),43424.66666666667)</f>
        <v>43424.66667</v>
      </c>
      <c r="B5256" s="1">
        <f>IFERROR(__xludf.DUMMYFUNCTION("""COMPUTED_VALUE"""),5240.23)</f>
        <v>5240.23</v>
      </c>
    </row>
    <row r="5257">
      <c r="A5257" s="2">
        <f>IFERROR(__xludf.DUMMYFUNCTION("""COMPUTED_VALUE"""),43425.66666666667)</f>
        <v>43425.66667</v>
      </c>
      <c r="B5257" s="1">
        <f>IFERROR(__xludf.DUMMYFUNCTION("""COMPUTED_VALUE"""),5256.61)</f>
        <v>5256.61</v>
      </c>
    </row>
    <row r="5258">
      <c r="A5258" s="2">
        <f>IFERROR(__xludf.DUMMYFUNCTION("""COMPUTED_VALUE"""),43427.54166666667)</f>
        <v>43427.54167</v>
      </c>
      <c r="B5258" s="1">
        <f>IFERROR(__xludf.DUMMYFUNCTION("""COMPUTED_VALUE"""),5222.43)</f>
        <v>5222.43</v>
      </c>
    </row>
    <row r="5259">
      <c r="A5259" s="2">
        <f>IFERROR(__xludf.DUMMYFUNCTION("""COMPUTED_VALUE"""),43430.66666666667)</f>
        <v>43430.66667</v>
      </c>
      <c r="B5259" s="1">
        <f>IFERROR(__xludf.DUMMYFUNCTION("""COMPUTED_VALUE"""),5304.17)</f>
        <v>5304.17</v>
      </c>
    </row>
    <row r="5260">
      <c r="A5260" s="2">
        <f>IFERROR(__xludf.DUMMYFUNCTION("""COMPUTED_VALUE"""),43431.66666666667)</f>
        <v>43431.66667</v>
      </c>
      <c r="B5260" s="1">
        <f>IFERROR(__xludf.DUMMYFUNCTION("""COMPUTED_VALUE"""),5321.52)</f>
        <v>5321.52</v>
      </c>
    </row>
    <row r="5261">
      <c r="A5261" s="2">
        <f>IFERROR(__xludf.DUMMYFUNCTION("""COMPUTED_VALUE"""),43432.66666666667)</f>
        <v>43432.66667</v>
      </c>
      <c r="B5261" s="1">
        <f>IFERROR(__xludf.DUMMYFUNCTION("""COMPUTED_VALUE"""),5444.12)</f>
        <v>5444.12</v>
      </c>
    </row>
    <row r="5262">
      <c r="A5262" s="2">
        <f>IFERROR(__xludf.DUMMYFUNCTION("""COMPUTED_VALUE"""),43433.66666666667)</f>
        <v>43433.66667</v>
      </c>
      <c r="B5262" s="1">
        <f>IFERROR(__xludf.DUMMYFUNCTION("""COMPUTED_VALUE"""),5433.49)</f>
        <v>5433.49</v>
      </c>
    </row>
    <row r="5263">
      <c r="A5263" s="2">
        <f>IFERROR(__xludf.DUMMYFUNCTION("""COMPUTED_VALUE"""),43434.66666666667)</f>
        <v>43434.66667</v>
      </c>
      <c r="B5263" s="1">
        <f>IFERROR(__xludf.DUMMYFUNCTION("""COMPUTED_VALUE"""),5478.91)</f>
        <v>5478.91</v>
      </c>
    </row>
    <row r="5264">
      <c r="A5264" s="2">
        <f>IFERROR(__xludf.DUMMYFUNCTION("""COMPUTED_VALUE"""),43437.66666666667)</f>
        <v>43437.66667</v>
      </c>
      <c r="B5264" s="1">
        <f>IFERROR(__xludf.DUMMYFUNCTION("""COMPUTED_VALUE"""),5538.86)</f>
        <v>5538.86</v>
      </c>
    </row>
    <row r="5265">
      <c r="A5265" s="2">
        <f>IFERROR(__xludf.DUMMYFUNCTION("""COMPUTED_VALUE"""),43438.66666666667)</f>
        <v>43438.66667</v>
      </c>
      <c r="B5265" s="1">
        <f>IFERROR(__xludf.DUMMYFUNCTION("""COMPUTED_VALUE"""),5359.91)</f>
        <v>5359.91</v>
      </c>
    </row>
    <row r="5266">
      <c r="A5266" s="2">
        <f>IFERROR(__xludf.DUMMYFUNCTION("""COMPUTED_VALUE"""),43440.66666666667)</f>
        <v>43440.66667</v>
      </c>
      <c r="B5266" s="1">
        <f>IFERROR(__xludf.DUMMYFUNCTION("""COMPUTED_VALUE"""),5353.43)</f>
        <v>5353.43</v>
      </c>
    </row>
    <row r="5267">
      <c r="A5267" s="2">
        <f>IFERROR(__xludf.DUMMYFUNCTION("""COMPUTED_VALUE"""),43441.66666666667)</f>
        <v>43441.66667</v>
      </c>
      <c r="B5267" s="1">
        <f>IFERROR(__xludf.DUMMYFUNCTION("""COMPUTED_VALUE"""),5229.44)</f>
        <v>5229.44</v>
      </c>
    </row>
    <row r="5268">
      <c r="A5268" s="2">
        <f>IFERROR(__xludf.DUMMYFUNCTION("""COMPUTED_VALUE"""),43444.66666666667)</f>
        <v>43444.66667</v>
      </c>
      <c r="B5268" s="1">
        <f>IFERROR(__xludf.DUMMYFUNCTION("""COMPUTED_VALUE"""),5238.7)</f>
        <v>5238.7</v>
      </c>
    </row>
    <row r="5269">
      <c r="A5269" s="2">
        <f>IFERROR(__xludf.DUMMYFUNCTION("""COMPUTED_VALUE"""),43445.66666666667)</f>
        <v>43445.66667</v>
      </c>
      <c r="B5269" s="1">
        <f>IFERROR(__xludf.DUMMYFUNCTION("""COMPUTED_VALUE"""),5237.1)</f>
        <v>5237.1</v>
      </c>
    </row>
    <row r="5270">
      <c r="A5270" s="2">
        <f>IFERROR(__xludf.DUMMYFUNCTION("""COMPUTED_VALUE"""),43446.66666666667)</f>
        <v>43446.66667</v>
      </c>
      <c r="B5270" s="1">
        <f>IFERROR(__xludf.DUMMYFUNCTION("""COMPUTED_VALUE"""),5265.53)</f>
        <v>5265.53</v>
      </c>
    </row>
    <row r="5271">
      <c r="A5271" s="2">
        <f>IFERROR(__xludf.DUMMYFUNCTION("""COMPUTED_VALUE"""),43447.66666666667)</f>
        <v>43447.66667</v>
      </c>
      <c r="B5271" s="1">
        <f>IFERROR(__xludf.DUMMYFUNCTION("""COMPUTED_VALUE"""),5265.46)</f>
        <v>5265.46</v>
      </c>
    </row>
    <row r="5272">
      <c r="A5272" s="2">
        <f>IFERROR(__xludf.DUMMYFUNCTION("""COMPUTED_VALUE"""),43448.66666666667)</f>
        <v>43448.66667</v>
      </c>
      <c r="B5272" s="1">
        <f>IFERROR(__xludf.DUMMYFUNCTION("""COMPUTED_VALUE"""),5165.6)</f>
        <v>5165.6</v>
      </c>
    </row>
    <row r="5273">
      <c r="A5273" s="2">
        <f>IFERROR(__xludf.DUMMYFUNCTION("""COMPUTED_VALUE"""),43451.66666666667)</f>
        <v>43451.66667</v>
      </c>
      <c r="B5273" s="1">
        <f>IFERROR(__xludf.DUMMYFUNCTION("""COMPUTED_VALUE"""),5058.58)</f>
        <v>5058.58</v>
      </c>
    </row>
    <row r="5274">
      <c r="A5274" s="2">
        <f>IFERROR(__xludf.DUMMYFUNCTION("""COMPUTED_VALUE"""),43452.66666666667)</f>
        <v>43452.66667</v>
      </c>
      <c r="B5274" s="1">
        <f>IFERROR(__xludf.DUMMYFUNCTION("""COMPUTED_VALUE"""),5059.34)</f>
        <v>5059.34</v>
      </c>
    </row>
    <row r="5275">
      <c r="A5275" s="2">
        <f>IFERROR(__xludf.DUMMYFUNCTION("""COMPUTED_VALUE"""),43453.66666666667)</f>
        <v>43453.66667</v>
      </c>
      <c r="B5275" s="1">
        <f>IFERROR(__xludf.DUMMYFUNCTION("""COMPUTED_VALUE"""),4981.92)</f>
        <v>4981.92</v>
      </c>
    </row>
    <row r="5276">
      <c r="A5276" s="2">
        <f>IFERROR(__xludf.DUMMYFUNCTION("""COMPUTED_VALUE"""),43454.66666666667)</f>
        <v>43454.66667</v>
      </c>
      <c r="B5276" s="1">
        <f>IFERROR(__xludf.DUMMYFUNCTION("""COMPUTED_VALUE"""),4903.46)</f>
        <v>4903.46</v>
      </c>
    </row>
    <row r="5277">
      <c r="A5277" s="2">
        <f>IFERROR(__xludf.DUMMYFUNCTION("""COMPUTED_VALUE"""),43455.66666666667)</f>
        <v>43455.66667</v>
      </c>
      <c r="B5277" s="1">
        <f>IFERROR(__xludf.DUMMYFUNCTION("""COMPUTED_VALUE"""),4802.51)</f>
        <v>4802.51</v>
      </c>
    </row>
    <row r="5278">
      <c r="A5278" s="2">
        <f>IFERROR(__xludf.DUMMYFUNCTION("""COMPUTED_VALUE"""),43458.54166666667)</f>
        <v>43458.54167</v>
      </c>
      <c r="B5278" s="1">
        <f>IFERROR(__xludf.DUMMYFUNCTION("""COMPUTED_VALUE"""),4672.66)</f>
        <v>4672.66</v>
      </c>
    </row>
    <row r="5279">
      <c r="A5279" s="2">
        <f>IFERROR(__xludf.DUMMYFUNCTION("""COMPUTED_VALUE"""),43460.66666666667)</f>
        <v>43460.66667</v>
      </c>
      <c r="B5279" s="1">
        <f>IFERROR(__xludf.DUMMYFUNCTION("""COMPUTED_VALUE"""),4904.49)</f>
        <v>4904.49</v>
      </c>
    </row>
    <row r="5280">
      <c r="A5280" s="2">
        <f>IFERROR(__xludf.DUMMYFUNCTION("""COMPUTED_VALUE"""),43461.66666666667)</f>
        <v>43461.66667</v>
      </c>
      <c r="B5280" s="1">
        <f>IFERROR(__xludf.DUMMYFUNCTION("""COMPUTED_VALUE"""),4946.94)</f>
        <v>4946.94</v>
      </c>
    </row>
    <row r="5281">
      <c r="A5281" s="2">
        <f>IFERROR(__xludf.DUMMYFUNCTION("""COMPUTED_VALUE"""),43462.66666666667)</f>
        <v>43462.66667</v>
      </c>
      <c r="B5281" s="1">
        <f>IFERROR(__xludf.DUMMYFUNCTION("""COMPUTED_VALUE"""),4941.61)</f>
        <v>4941.61</v>
      </c>
    </row>
    <row r="5282">
      <c r="A5282" s="2">
        <f>IFERROR(__xludf.DUMMYFUNCTION("""COMPUTED_VALUE"""),43465.66666666667)</f>
        <v>43465.66667</v>
      </c>
      <c r="B5282" s="1">
        <f>IFERROR(__xludf.DUMMYFUNCTION("""COMPUTED_VALUE"""),4984.22)</f>
        <v>4984.22</v>
      </c>
    </row>
    <row r="5283">
      <c r="A5283" s="2">
        <f>IFERROR(__xludf.DUMMYFUNCTION("""COMPUTED_VALUE"""),43467.66666666667)</f>
        <v>43467.66667</v>
      </c>
      <c r="B5283" s="1">
        <f>IFERROR(__xludf.DUMMYFUNCTION("""COMPUTED_VALUE"""),4990.56)</f>
        <v>4990.56</v>
      </c>
    </row>
    <row r="5284">
      <c r="A5284" s="2">
        <f>IFERROR(__xludf.DUMMYFUNCTION("""COMPUTED_VALUE"""),43468.66666666667)</f>
        <v>43468.66667</v>
      </c>
      <c r="B5284" s="1">
        <f>IFERROR(__xludf.DUMMYFUNCTION("""COMPUTED_VALUE"""),4868.3)</f>
        <v>4868.3</v>
      </c>
    </row>
    <row r="5285">
      <c r="A5285" s="2">
        <f>IFERROR(__xludf.DUMMYFUNCTION("""COMPUTED_VALUE"""),43469.66666666667)</f>
        <v>43469.66667</v>
      </c>
      <c r="B5285" s="1">
        <f>IFERROR(__xludf.DUMMYFUNCTION("""COMPUTED_VALUE"""),5035.45)</f>
        <v>5035.45</v>
      </c>
    </row>
    <row r="5286">
      <c r="A5286" s="2">
        <f>IFERROR(__xludf.DUMMYFUNCTION("""COMPUTED_VALUE"""),43472.66666666667)</f>
        <v>43472.66667</v>
      </c>
      <c r="B5286" s="1">
        <f>IFERROR(__xludf.DUMMYFUNCTION("""COMPUTED_VALUE"""),5070.76)</f>
        <v>5070.76</v>
      </c>
    </row>
    <row r="5287">
      <c r="A5287" s="2">
        <f>IFERROR(__xludf.DUMMYFUNCTION("""COMPUTED_VALUE"""),43473.66666666667)</f>
        <v>43473.66667</v>
      </c>
      <c r="B5287" s="1">
        <f>IFERROR(__xludf.DUMMYFUNCTION("""COMPUTED_VALUE"""),5120.04)</f>
        <v>5120.04</v>
      </c>
    </row>
    <row r="5288">
      <c r="A5288" s="2">
        <f>IFERROR(__xludf.DUMMYFUNCTION("""COMPUTED_VALUE"""),43474.66666666667)</f>
        <v>43474.66667</v>
      </c>
      <c r="B5288" s="1">
        <f>IFERROR(__xludf.DUMMYFUNCTION("""COMPUTED_VALUE"""),5142.66)</f>
        <v>5142.66</v>
      </c>
    </row>
    <row r="5289">
      <c r="A5289" s="2">
        <f>IFERROR(__xludf.DUMMYFUNCTION("""COMPUTED_VALUE"""),43475.66666666667)</f>
        <v>43475.66667</v>
      </c>
      <c r="B5289" s="1">
        <f>IFERROR(__xludf.DUMMYFUNCTION("""COMPUTED_VALUE"""),5165.89)</f>
        <v>5165.89</v>
      </c>
    </row>
    <row r="5290">
      <c r="A5290" s="2">
        <f>IFERROR(__xludf.DUMMYFUNCTION("""COMPUTED_VALUE"""),43476.66666666667)</f>
        <v>43476.66667</v>
      </c>
      <c r="B5290" s="1">
        <f>IFERROR(__xludf.DUMMYFUNCTION("""COMPUTED_VALUE"""),5165.15)</f>
        <v>5165.15</v>
      </c>
    </row>
    <row r="5291">
      <c r="A5291" s="2">
        <f>IFERROR(__xludf.DUMMYFUNCTION("""COMPUTED_VALUE"""),43479.66666666667)</f>
        <v>43479.66667</v>
      </c>
      <c r="B5291" s="1">
        <f>IFERROR(__xludf.DUMMYFUNCTION("""COMPUTED_VALUE"""),5138.58)</f>
        <v>5138.58</v>
      </c>
    </row>
    <row r="5292">
      <c r="A5292" s="2">
        <f>IFERROR(__xludf.DUMMYFUNCTION("""COMPUTED_VALUE"""),43480.66666666667)</f>
        <v>43480.66667</v>
      </c>
      <c r="B5292" s="1">
        <f>IFERROR(__xludf.DUMMYFUNCTION("""COMPUTED_VALUE"""),5193.78)</f>
        <v>5193.78</v>
      </c>
    </row>
    <row r="5293">
      <c r="A5293" s="2">
        <f>IFERROR(__xludf.DUMMYFUNCTION("""COMPUTED_VALUE"""),43481.66666666667)</f>
        <v>43481.66667</v>
      </c>
      <c r="B5293" s="1">
        <f>IFERROR(__xludf.DUMMYFUNCTION("""COMPUTED_VALUE"""),5205.45)</f>
        <v>5205.45</v>
      </c>
    </row>
    <row r="5294">
      <c r="A5294" s="2">
        <f>IFERROR(__xludf.DUMMYFUNCTION("""COMPUTED_VALUE"""),43482.66666666667)</f>
        <v>43482.66667</v>
      </c>
      <c r="B5294" s="1">
        <f>IFERROR(__xludf.DUMMYFUNCTION("""COMPUTED_VALUE"""),5245.48)</f>
        <v>5245.48</v>
      </c>
    </row>
    <row r="5295">
      <c r="A5295" s="2">
        <f>IFERROR(__xludf.DUMMYFUNCTION("""COMPUTED_VALUE"""),43483.66666666667)</f>
        <v>43483.66667</v>
      </c>
      <c r="B5295" s="1">
        <f>IFERROR(__xludf.DUMMYFUNCTION("""COMPUTED_VALUE"""),5314.78)</f>
        <v>5314.78</v>
      </c>
    </row>
    <row r="5296">
      <c r="A5296" s="2">
        <f>IFERROR(__xludf.DUMMYFUNCTION("""COMPUTED_VALUE"""),43487.66666666667)</f>
        <v>43487.66667</v>
      </c>
      <c r="B5296" s="1">
        <f>IFERROR(__xludf.DUMMYFUNCTION("""COMPUTED_VALUE"""),5239.75)</f>
        <v>5239.75</v>
      </c>
    </row>
    <row r="5297">
      <c r="A5297" s="2">
        <f>IFERROR(__xludf.DUMMYFUNCTION("""COMPUTED_VALUE"""),43488.66666666667)</f>
        <v>43488.66667</v>
      </c>
      <c r="B5297" s="1">
        <f>IFERROR(__xludf.DUMMYFUNCTION("""COMPUTED_VALUE"""),5251.29)</f>
        <v>5251.29</v>
      </c>
    </row>
    <row r="5298">
      <c r="A5298" s="2">
        <f>IFERROR(__xludf.DUMMYFUNCTION("""COMPUTED_VALUE"""),43489.66666666667)</f>
        <v>43489.66667</v>
      </c>
      <c r="B5298" s="1">
        <f>IFERROR(__xludf.DUMMYFUNCTION("""COMPUTED_VALUE"""),5258.69)</f>
        <v>5258.69</v>
      </c>
    </row>
    <row r="5299">
      <c r="A5299" s="2">
        <f>IFERROR(__xludf.DUMMYFUNCTION("""COMPUTED_VALUE"""),43490.66666666667)</f>
        <v>43490.66667</v>
      </c>
      <c r="B5299" s="1">
        <f>IFERROR(__xludf.DUMMYFUNCTION("""COMPUTED_VALUE"""),5303.51)</f>
        <v>5303.51</v>
      </c>
    </row>
    <row r="5300">
      <c r="A5300" s="2">
        <f>IFERROR(__xludf.DUMMYFUNCTION("""COMPUTED_VALUE"""),43493.66666666667)</f>
        <v>43493.66667</v>
      </c>
      <c r="B5300" s="1">
        <f>IFERROR(__xludf.DUMMYFUNCTION("""COMPUTED_VALUE"""),5261.88)</f>
        <v>5261.88</v>
      </c>
    </row>
    <row r="5301">
      <c r="A5301" s="2">
        <f>IFERROR(__xludf.DUMMYFUNCTION("""COMPUTED_VALUE"""),43494.66666666667)</f>
        <v>43494.66667</v>
      </c>
      <c r="B5301" s="1">
        <f>IFERROR(__xludf.DUMMYFUNCTION("""COMPUTED_VALUE"""),5254.31)</f>
        <v>5254.31</v>
      </c>
    </row>
    <row r="5302">
      <c r="A5302" s="2">
        <f>IFERROR(__xludf.DUMMYFUNCTION("""COMPUTED_VALUE"""),43495.66666666667)</f>
        <v>43495.66667</v>
      </c>
      <c r="B5302" s="1">
        <f>IFERROR(__xludf.DUMMYFUNCTION("""COMPUTED_VALUE"""),5336.6)</f>
        <v>5336.6</v>
      </c>
    </row>
    <row r="5303">
      <c r="A5303" s="2">
        <f>IFERROR(__xludf.DUMMYFUNCTION("""COMPUTED_VALUE"""),43496.66666666667)</f>
        <v>43496.66667</v>
      </c>
      <c r="B5303" s="1">
        <f>IFERROR(__xludf.DUMMYFUNCTION("""COMPUTED_VALUE"""),5383.63)</f>
        <v>5383.63</v>
      </c>
    </row>
    <row r="5304">
      <c r="A5304" s="2">
        <f>IFERROR(__xludf.DUMMYFUNCTION("""COMPUTED_VALUE"""),43497.66666666667)</f>
        <v>43497.66667</v>
      </c>
      <c r="B5304" s="1">
        <f>IFERROR(__xludf.DUMMYFUNCTION("""COMPUTED_VALUE"""),5389.19)</f>
        <v>5389.19</v>
      </c>
    </row>
    <row r="5305">
      <c r="A5305" s="2">
        <f>IFERROR(__xludf.DUMMYFUNCTION("""COMPUTED_VALUE"""),43500.66666666667)</f>
        <v>43500.66667</v>
      </c>
      <c r="B5305" s="1">
        <f>IFERROR(__xludf.DUMMYFUNCTION("""COMPUTED_VALUE"""),5425.8)</f>
        <v>5425.8</v>
      </c>
    </row>
    <row r="5306">
      <c r="A5306" s="2">
        <f>IFERROR(__xludf.DUMMYFUNCTION("""COMPUTED_VALUE"""),43501.66666666667)</f>
        <v>43501.66667</v>
      </c>
      <c r="B5306" s="1">
        <f>IFERROR(__xludf.DUMMYFUNCTION("""COMPUTED_VALUE"""),5451.4)</f>
        <v>5451.4</v>
      </c>
    </row>
    <row r="5307">
      <c r="A5307" s="2">
        <f>IFERROR(__xludf.DUMMYFUNCTION("""COMPUTED_VALUE"""),43502.66666666667)</f>
        <v>43502.66667</v>
      </c>
      <c r="B5307" s="1">
        <f>IFERROR(__xludf.DUMMYFUNCTION("""COMPUTED_VALUE"""),5439.8)</f>
        <v>5439.8</v>
      </c>
    </row>
    <row r="5308">
      <c r="A5308" s="2">
        <f>IFERROR(__xludf.DUMMYFUNCTION("""COMPUTED_VALUE"""),43503.66666666667)</f>
        <v>43503.66667</v>
      </c>
      <c r="B5308" s="1">
        <f>IFERROR(__xludf.DUMMYFUNCTION("""COMPUTED_VALUE"""),5389.69)</f>
        <v>5389.69</v>
      </c>
    </row>
    <row r="5309">
      <c r="A5309" s="2">
        <f>IFERROR(__xludf.DUMMYFUNCTION("""COMPUTED_VALUE"""),43504.66666666667)</f>
        <v>43504.66667</v>
      </c>
      <c r="B5309" s="1">
        <f>IFERROR(__xludf.DUMMYFUNCTION("""COMPUTED_VALUE"""),5395.12)</f>
        <v>5395.12</v>
      </c>
    </row>
    <row r="5310">
      <c r="A5310" s="2">
        <f>IFERROR(__xludf.DUMMYFUNCTION("""COMPUTED_VALUE"""),43507.66666666667)</f>
        <v>43507.66667</v>
      </c>
      <c r="B5310" s="1">
        <f>IFERROR(__xludf.DUMMYFUNCTION("""COMPUTED_VALUE"""),5399.0)</f>
        <v>5399</v>
      </c>
    </row>
    <row r="5311">
      <c r="A5311" s="2">
        <f>IFERROR(__xludf.DUMMYFUNCTION("""COMPUTED_VALUE"""),43508.66666666667)</f>
        <v>43508.66667</v>
      </c>
      <c r="B5311" s="1">
        <f>IFERROR(__xludf.DUMMYFUNCTION("""COMPUTED_VALUE"""),5468.98)</f>
        <v>5468.98</v>
      </c>
    </row>
    <row r="5312">
      <c r="A5312" s="2">
        <f>IFERROR(__xludf.DUMMYFUNCTION("""COMPUTED_VALUE"""),43509.66666666667)</f>
        <v>43509.66667</v>
      </c>
      <c r="B5312" s="1">
        <f>IFERROR(__xludf.DUMMYFUNCTION("""COMPUTED_VALUE"""),5485.97)</f>
        <v>5485.97</v>
      </c>
    </row>
    <row r="5313">
      <c r="A5313" s="2">
        <f>IFERROR(__xludf.DUMMYFUNCTION("""COMPUTED_VALUE"""),43510.66666666667)</f>
        <v>43510.66667</v>
      </c>
      <c r="B5313" s="1">
        <f>IFERROR(__xludf.DUMMYFUNCTION("""COMPUTED_VALUE"""),5473.33)</f>
        <v>5473.33</v>
      </c>
    </row>
    <row r="5314">
      <c r="A5314" s="2">
        <f>IFERROR(__xludf.DUMMYFUNCTION("""COMPUTED_VALUE"""),43511.66666666667)</f>
        <v>43511.66667</v>
      </c>
      <c r="B5314" s="1">
        <f>IFERROR(__xludf.DUMMYFUNCTION("""COMPUTED_VALUE"""),5533.27)</f>
        <v>5533.27</v>
      </c>
    </row>
    <row r="5315">
      <c r="A5315" s="2">
        <f>IFERROR(__xludf.DUMMYFUNCTION("""COMPUTED_VALUE"""),43515.66666666667)</f>
        <v>43515.66667</v>
      </c>
      <c r="B5315" s="1">
        <f>IFERROR(__xludf.DUMMYFUNCTION("""COMPUTED_VALUE"""),5541.98)</f>
        <v>5541.98</v>
      </c>
    </row>
    <row r="5316">
      <c r="A5316" s="2">
        <f>IFERROR(__xludf.DUMMYFUNCTION("""COMPUTED_VALUE"""),43516.66666666667)</f>
        <v>43516.66667</v>
      </c>
      <c r="B5316" s="1">
        <f>IFERROR(__xludf.DUMMYFUNCTION("""COMPUTED_VALUE"""),5552.9)</f>
        <v>5552.9</v>
      </c>
    </row>
    <row r="5317">
      <c r="A5317" s="2">
        <f>IFERROR(__xludf.DUMMYFUNCTION("""COMPUTED_VALUE"""),43517.66666666667)</f>
        <v>43517.66667</v>
      </c>
      <c r="B5317" s="1">
        <f>IFERROR(__xludf.DUMMYFUNCTION("""COMPUTED_VALUE"""),5533.8)</f>
        <v>5533.8</v>
      </c>
    </row>
    <row r="5318">
      <c r="A5318" s="2">
        <f>IFERROR(__xludf.DUMMYFUNCTION("""COMPUTED_VALUE"""),43518.66666666667)</f>
        <v>43518.66667</v>
      </c>
      <c r="B5318" s="1">
        <f>IFERROR(__xludf.DUMMYFUNCTION("""COMPUTED_VALUE"""),5569.45)</f>
        <v>5569.45</v>
      </c>
    </row>
    <row r="5319">
      <c r="A5319" s="2">
        <f>IFERROR(__xludf.DUMMYFUNCTION("""COMPUTED_VALUE"""),43521.66666666667)</f>
        <v>43521.66667</v>
      </c>
      <c r="B5319" s="1">
        <f>IFERROR(__xludf.DUMMYFUNCTION("""COMPUTED_VALUE"""),5577.09)</f>
        <v>5577.09</v>
      </c>
    </row>
    <row r="5320">
      <c r="A5320" s="2">
        <f>IFERROR(__xludf.DUMMYFUNCTION("""COMPUTED_VALUE"""),43522.66666666667)</f>
        <v>43522.66667</v>
      </c>
      <c r="B5320" s="1">
        <f>IFERROR(__xludf.DUMMYFUNCTION("""COMPUTED_VALUE"""),5572.74)</f>
        <v>5572.74</v>
      </c>
    </row>
    <row r="5321">
      <c r="A5321" s="2">
        <f>IFERROR(__xludf.DUMMYFUNCTION("""COMPUTED_VALUE"""),43523.66666666667)</f>
        <v>43523.66667</v>
      </c>
      <c r="B5321" s="1">
        <f>IFERROR(__xludf.DUMMYFUNCTION("""COMPUTED_VALUE"""),5570.57)</f>
        <v>5570.57</v>
      </c>
    </row>
    <row r="5322">
      <c r="A5322" s="2">
        <f>IFERROR(__xludf.DUMMYFUNCTION("""COMPUTED_VALUE"""),43524.66666666667)</f>
        <v>43524.66667</v>
      </c>
      <c r="B5322" s="1">
        <f>IFERROR(__xludf.DUMMYFUNCTION("""COMPUTED_VALUE"""),5556.49)</f>
        <v>5556.49</v>
      </c>
    </row>
    <row r="5323">
      <c r="A5323" s="2">
        <f>IFERROR(__xludf.DUMMYFUNCTION("""COMPUTED_VALUE"""),43525.66666666667)</f>
        <v>43525.66667</v>
      </c>
      <c r="B5323" s="1">
        <f>IFERROR(__xludf.DUMMYFUNCTION("""COMPUTED_VALUE"""),5595.11)</f>
        <v>5595.11</v>
      </c>
    </row>
    <row r="5324">
      <c r="A5324" s="2">
        <f>IFERROR(__xludf.DUMMYFUNCTION("""COMPUTED_VALUE"""),43528.66666666667)</f>
        <v>43528.66667</v>
      </c>
      <c r="B5324" s="1">
        <f>IFERROR(__xludf.DUMMYFUNCTION("""COMPUTED_VALUE"""),5573.53)</f>
        <v>5573.53</v>
      </c>
    </row>
    <row r="5325">
      <c r="A5325" s="2">
        <f>IFERROR(__xludf.DUMMYFUNCTION("""COMPUTED_VALUE"""),43529.66666666667)</f>
        <v>43529.66667</v>
      </c>
      <c r="B5325" s="1">
        <f>IFERROR(__xludf.DUMMYFUNCTION("""COMPUTED_VALUE"""),5567.4)</f>
        <v>5567.4</v>
      </c>
    </row>
    <row r="5326">
      <c r="A5326" s="2">
        <f>IFERROR(__xludf.DUMMYFUNCTION("""COMPUTED_VALUE"""),43530.66666666667)</f>
        <v>43530.66667</v>
      </c>
      <c r="B5326" s="1">
        <f>IFERROR(__xludf.DUMMYFUNCTION("""COMPUTED_VALUE"""),5531.34)</f>
        <v>5531.34</v>
      </c>
    </row>
    <row r="5327">
      <c r="A5327" s="2">
        <f>IFERROR(__xludf.DUMMYFUNCTION("""COMPUTED_VALUE"""),43531.66666666667)</f>
        <v>43531.66667</v>
      </c>
      <c r="B5327" s="1">
        <f>IFERROR(__xludf.DUMMYFUNCTION("""COMPUTED_VALUE"""),5487.56)</f>
        <v>5487.56</v>
      </c>
    </row>
    <row r="5328">
      <c r="A5328" s="2">
        <f>IFERROR(__xludf.DUMMYFUNCTION("""COMPUTED_VALUE"""),43532.66666666667)</f>
        <v>43532.66667</v>
      </c>
      <c r="B5328" s="1">
        <f>IFERROR(__xludf.DUMMYFUNCTION("""COMPUTED_VALUE"""),5476.39)</f>
        <v>5476.39</v>
      </c>
    </row>
    <row r="5329">
      <c r="A5329" s="2">
        <f>IFERROR(__xludf.DUMMYFUNCTION("""COMPUTED_VALUE"""),43535.66666666667)</f>
        <v>43535.66667</v>
      </c>
      <c r="B5329" s="1">
        <f>IFERROR(__xludf.DUMMYFUNCTION("""COMPUTED_VALUE"""),5556.77)</f>
        <v>5556.77</v>
      </c>
    </row>
    <row r="5330">
      <c r="A5330" s="2">
        <f>IFERROR(__xludf.DUMMYFUNCTION("""COMPUTED_VALUE"""),43536.66666666667)</f>
        <v>43536.66667</v>
      </c>
      <c r="B5330" s="1">
        <f>IFERROR(__xludf.DUMMYFUNCTION("""COMPUTED_VALUE"""),5573.44)</f>
        <v>5573.44</v>
      </c>
    </row>
    <row r="5331">
      <c r="A5331" s="2">
        <f>IFERROR(__xludf.DUMMYFUNCTION("""COMPUTED_VALUE"""),43537.66666666667)</f>
        <v>43537.66667</v>
      </c>
      <c r="B5331" s="1">
        <f>IFERROR(__xludf.DUMMYFUNCTION("""COMPUTED_VALUE"""),5612.56)</f>
        <v>5612.56</v>
      </c>
    </row>
    <row r="5332">
      <c r="A5332" s="2">
        <f>IFERROR(__xludf.DUMMYFUNCTION("""COMPUTED_VALUE"""),43538.66666666667)</f>
        <v>43538.66667</v>
      </c>
      <c r="B5332" s="1">
        <f>IFERROR(__xludf.DUMMYFUNCTION("""COMPUTED_VALUE"""),5609.59)</f>
        <v>5609.59</v>
      </c>
    </row>
    <row r="5333">
      <c r="A5333" s="2">
        <f>IFERROR(__xludf.DUMMYFUNCTION("""COMPUTED_VALUE"""),43539.66666666667)</f>
        <v>43539.66667</v>
      </c>
      <c r="B5333" s="1">
        <f>IFERROR(__xludf.DUMMYFUNCTION("""COMPUTED_VALUE"""),5637.77)</f>
        <v>5637.77</v>
      </c>
    </row>
    <row r="5334">
      <c r="A5334" s="2">
        <f>IFERROR(__xludf.DUMMYFUNCTION("""COMPUTED_VALUE"""),43542.66666666667)</f>
        <v>43542.66667</v>
      </c>
      <c r="B5334" s="1">
        <f>IFERROR(__xludf.DUMMYFUNCTION("""COMPUTED_VALUE"""),5658.73)</f>
        <v>5658.73</v>
      </c>
    </row>
    <row r="5335">
      <c r="A5335" s="2">
        <f>IFERROR(__xludf.DUMMYFUNCTION("""COMPUTED_VALUE"""),43543.66666666667)</f>
        <v>43543.66667</v>
      </c>
      <c r="B5335" s="1">
        <f>IFERROR(__xludf.DUMMYFUNCTION("""COMPUTED_VALUE"""),5658.15)</f>
        <v>5658.15</v>
      </c>
    </row>
    <row r="5336">
      <c r="A5336" s="2">
        <f>IFERROR(__xludf.DUMMYFUNCTION("""COMPUTED_VALUE"""),43544.66666666667)</f>
        <v>43544.66667</v>
      </c>
      <c r="B5336" s="1">
        <f>IFERROR(__xludf.DUMMYFUNCTION("""COMPUTED_VALUE"""),5641.74)</f>
        <v>5641.74</v>
      </c>
    </row>
    <row r="5337">
      <c r="A5337" s="2">
        <f>IFERROR(__xludf.DUMMYFUNCTION("""COMPUTED_VALUE"""),43545.66666666667)</f>
        <v>43545.66667</v>
      </c>
      <c r="B5337" s="1">
        <f>IFERROR(__xludf.DUMMYFUNCTION("""COMPUTED_VALUE"""),5703.28)</f>
        <v>5703.28</v>
      </c>
    </row>
    <row r="5338">
      <c r="A5338" s="2">
        <f>IFERROR(__xludf.DUMMYFUNCTION("""COMPUTED_VALUE"""),43546.66666666667)</f>
        <v>43546.66667</v>
      </c>
      <c r="B5338" s="1">
        <f>IFERROR(__xludf.DUMMYFUNCTION("""COMPUTED_VALUE"""),5595.5)</f>
        <v>5595.5</v>
      </c>
    </row>
    <row r="5339">
      <c r="A5339" s="2">
        <f>IFERROR(__xludf.DUMMYFUNCTION("""COMPUTED_VALUE"""),43549.66666666667)</f>
        <v>43549.66667</v>
      </c>
      <c r="B5339" s="1">
        <f>IFERROR(__xludf.DUMMYFUNCTION("""COMPUTED_VALUE"""),5591.23)</f>
        <v>5591.23</v>
      </c>
    </row>
    <row r="5340">
      <c r="A5340" s="2">
        <f>IFERROR(__xludf.DUMMYFUNCTION("""COMPUTED_VALUE"""),43550.66666666667)</f>
        <v>43550.66667</v>
      </c>
      <c r="B5340" s="1">
        <f>IFERROR(__xludf.DUMMYFUNCTION("""COMPUTED_VALUE"""),5631.39)</f>
        <v>5631.39</v>
      </c>
    </row>
    <row r="5341">
      <c r="A5341" s="2">
        <f>IFERROR(__xludf.DUMMYFUNCTION("""COMPUTED_VALUE"""),43551.66666666667)</f>
        <v>43551.66667</v>
      </c>
      <c r="B5341" s="1">
        <f>IFERROR(__xludf.DUMMYFUNCTION("""COMPUTED_VALUE"""),5605.32)</f>
        <v>5605.32</v>
      </c>
    </row>
    <row r="5342">
      <c r="A5342" s="2">
        <f>IFERROR(__xludf.DUMMYFUNCTION("""COMPUTED_VALUE"""),43552.66666666667)</f>
        <v>43552.66667</v>
      </c>
      <c r="B5342" s="1">
        <f>IFERROR(__xludf.DUMMYFUNCTION("""COMPUTED_VALUE"""),5626.32)</f>
        <v>5626.32</v>
      </c>
    </row>
    <row r="5343">
      <c r="A5343" s="2">
        <f>IFERROR(__xludf.DUMMYFUNCTION("""COMPUTED_VALUE"""),43553.66666666667)</f>
        <v>43553.66667</v>
      </c>
      <c r="B5343" s="1">
        <f>IFERROR(__xludf.DUMMYFUNCTION("""COMPUTED_VALUE"""),5664.46)</f>
        <v>5664.46</v>
      </c>
    </row>
    <row r="5344">
      <c r="A5344" s="2">
        <f>IFERROR(__xludf.DUMMYFUNCTION("""COMPUTED_VALUE"""),43556.66666666667)</f>
        <v>43556.66667</v>
      </c>
      <c r="B5344" s="1">
        <f>IFERROR(__xludf.DUMMYFUNCTION("""COMPUTED_VALUE"""),5730.04)</f>
        <v>5730.04</v>
      </c>
    </row>
    <row r="5345">
      <c r="A5345" s="2">
        <f>IFERROR(__xludf.DUMMYFUNCTION("""COMPUTED_VALUE"""),43557.66666666667)</f>
        <v>43557.66667</v>
      </c>
      <c r="B5345" s="1">
        <f>IFERROR(__xludf.DUMMYFUNCTION("""COMPUTED_VALUE"""),5730.35)</f>
        <v>5730.35</v>
      </c>
    </row>
    <row r="5346">
      <c r="A5346" s="2">
        <f>IFERROR(__xludf.DUMMYFUNCTION("""COMPUTED_VALUE"""),43558.66666666667)</f>
        <v>43558.66667</v>
      </c>
      <c r="B5346" s="1">
        <f>IFERROR(__xludf.DUMMYFUNCTION("""COMPUTED_VALUE"""),5742.67)</f>
        <v>5742.67</v>
      </c>
    </row>
    <row r="5347">
      <c r="A5347" s="2">
        <f>IFERROR(__xludf.DUMMYFUNCTION("""COMPUTED_VALUE"""),43559.66666666667)</f>
        <v>43559.66667</v>
      </c>
      <c r="B5347" s="1">
        <f>IFERROR(__xludf.DUMMYFUNCTION("""COMPUTED_VALUE"""),5755.96)</f>
        <v>5755.96</v>
      </c>
    </row>
    <row r="5348">
      <c r="A5348" s="2">
        <f>IFERROR(__xludf.DUMMYFUNCTION("""COMPUTED_VALUE"""),43560.66666666667)</f>
        <v>43560.66667</v>
      </c>
      <c r="B5348" s="1">
        <f>IFERROR(__xludf.DUMMYFUNCTION("""COMPUTED_VALUE"""),5782.7)</f>
        <v>5782.7</v>
      </c>
    </row>
    <row r="5349">
      <c r="A5349" s="2">
        <f>IFERROR(__xludf.DUMMYFUNCTION("""COMPUTED_VALUE"""),43563.66666666667)</f>
        <v>43563.66667</v>
      </c>
      <c r="B5349" s="1">
        <f>IFERROR(__xludf.DUMMYFUNCTION("""COMPUTED_VALUE"""),5788.86)</f>
        <v>5788.86</v>
      </c>
    </row>
    <row r="5350">
      <c r="A5350" s="2">
        <f>IFERROR(__xludf.DUMMYFUNCTION("""COMPUTED_VALUE"""),43564.66666666667)</f>
        <v>43564.66667</v>
      </c>
      <c r="B5350" s="1">
        <f>IFERROR(__xludf.DUMMYFUNCTION("""COMPUTED_VALUE"""),5755.49)</f>
        <v>5755.49</v>
      </c>
    </row>
    <row r="5351">
      <c r="A5351" s="2">
        <f>IFERROR(__xludf.DUMMYFUNCTION("""COMPUTED_VALUE"""),43565.66666666667)</f>
        <v>43565.66667</v>
      </c>
      <c r="B5351" s="1">
        <f>IFERROR(__xludf.DUMMYFUNCTION("""COMPUTED_VALUE"""),5775.99)</f>
        <v>5775.99</v>
      </c>
    </row>
    <row r="5352">
      <c r="A5352" s="2">
        <f>IFERROR(__xludf.DUMMYFUNCTION("""COMPUTED_VALUE"""),43566.66666666667)</f>
        <v>43566.66667</v>
      </c>
      <c r="B5352" s="1">
        <f>IFERROR(__xludf.DUMMYFUNCTION("""COMPUTED_VALUE"""),5776.28)</f>
        <v>5776.28</v>
      </c>
    </row>
    <row r="5353">
      <c r="A5353" s="2">
        <f>IFERROR(__xludf.DUMMYFUNCTION("""COMPUTED_VALUE"""),43567.66666666667)</f>
        <v>43567.66667</v>
      </c>
      <c r="B5353" s="1">
        <f>IFERROR(__xludf.DUMMYFUNCTION("""COMPUTED_VALUE"""),5815.04)</f>
        <v>5815.04</v>
      </c>
    </row>
    <row r="5354">
      <c r="A5354" s="2">
        <f>IFERROR(__xludf.DUMMYFUNCTION("""COMPUTED_VALUE"""),43570.66666666667)</f>
        <v>43570.66667</v>
      </c>
      <c r="B5354" s="1">
        <f>IFERROR(__xludf.DUMMYFUNCTION("""COMPUTED_VALUE"""),5811.51)</f>
        <v>5811.51</v>
      </c>
    </row>
    <row r="5355">
      <c r="A5355" s="2">
        <f>IFERROR(__xludf.DUMMYFUNCTION("""COMPUTED_VALUE"""),43571.66666666667)</f>
        <v>43571.66667</v>
      </c>
      <c r="B5355" s="1">
        <f>IFERROR(__xludf.DUMMYFUNCTION("""COMPUTED_VALUE"""),5814.46)</f>
        <v>5814.46</v>
      </c>
    </row>
    <row r="5356">
      <c r="A5356" s="2">
        <f>IFERROR(__xludf.DUMMYFUNCTION("""COMPUTED_VALUE"""),43572.66666666667)</f>
        <v>43572.66667</v>
      </c>
      <c r="B5356" s="1">
        <f>IFERROR(__xludf.DUMMYFUNCTION("""COMPUTED_VALUE"""),5801.83)</f>
        <v>5801.83</v>
      </c>
    </row>
    <row r="5357">
      <c r="A5357" s="2">
        <f>IFERROR(__xludf.DUMMYFUNCTION("""COMPUTED_VALUE"""),43573.66666666667)</f>
        <v>43573.66667</v>
      </c>
      <c r="B5357" s="1">
        <f>IFERROR(__xludf.DUMMYFUNCTION("""COMPUTED_VALUE"""),5811.13)</f>
        <v>5811.13</v>
      </c>
    </row>
    <row r="5358">
      <c r="A5358" s="2">
        <f>IFERROR(__xludf.DUMMYFUNCTION("""COMPUTED_VALUE"""),43577.66666666667)</f>
        <v>43577.66667</v>
      </c>
      <c r="B5358" s="1">
        <f>IFERROR(__xludf.DUMMYFUNCTION("""COMPUTED_VALUE"""),5817.16)</f>
        <v>5817.16</v>
      </c>
    </row>
    <row r="5359">
      <c r="A5359" s="2">
        <f>IFERROR(__xludf.DUMMYFUNCTION("""COMPUTED_VALUE"""),43578.66666666667)</f>
        <v>43578.66667</v>
      </c>
      <c r="B5359" s="1">
        <f>IFERROR(__xludf.DUMMYFUNCTION("""COMPUTED_VALUE"""),5868.88)</f>
        <v>5868.88</v>
      </c>
    </row>
    <row r="5360">
      <c r="A5360" s="2">
        <f>IFERROR(__xludf.DUMMYFUNCTION("""COMPUTED_VALUE"""),43579.66666666667)</f>
        <v>43579.66667</v>
      </c>
      <c r="B5360" s="1">
        <f>IFERROR(__xludf.DUMMYFUNCTION("""COMPUTED_VALUE"""),5856.03)</f>
        <v>5856.03</v>
      </c>
    </row>
    <row r="5361">
      <c r="A5361" s="2">
        <f>IFERROR(__xludf.DUMMYFUNCTION("""COMPUTED_VALUE"""),43580.66666666667)</f>
        <v>43580.66667</v>
      </c>
      <c r="B5361" s="1">
        <f>IFERROR(__xludf.DUMMYFUNCTION("""COMPUTED_VALUE"""),5853.87)</f>
        <v>5853.87</v>
      </c>
    </row>
    <row r="5362">
      <c r="A5362" s="2">
        <f>IFERROR(__xludf.DUMMYFUNCTION("""COMPUTED_VALUE"""),43581.66666666667)</f>
        <v>43581.66667</v>
      </c>
      <c r="B5362" s="1">
        <f>IFERROR(__xludf.DUMMYFUNCTION("""COMPUTED_VALUE"""),5881.48)</f>
        <v>5881.48</v>
      </c>
    </row>
    <row r="5363">
      <c r="A5363" s="2">
        <f>IFERROR(__xludf.DUMMYFUNCTION("""COMPUTED_VALUE"""),43584.66666666667)</f>
        <v>43584.66667</v>
      </c>
      <c r="B5363" s="1">
        <f>IFERROR(__xludf.DUMMYFUNCTION("""COMPUTED_VALUE"""),5888.05)</f>
        <v>5888.05</v>
      </c>
    </row>
    <row r="5364">
      <c r="A5364" s="2">
        <f>IFERROR(__xludf.DUMMYFUNCTION("""COMPUTED_VALUE"""),43585.66666666667)</f>
        <v>43585.66667</v>
      </c>
      <c r="B5364" s="1">
        <f>IFERROR(__xludf.DUMMYFUNCTION("""COMPUTED_VALUE"""),5893.81)</f>
        <v>5893.81</v>
      </c>
    </row>
    <row r="5365">
      <c r="A5365" s="2">
        <f>IFERROR(__xludf.DUMMYFUNCTION("""COMPUTED_VALUE"""),43586.66666666667)</f>
        <v>43586.66667</v>
      </c>
      <c r="B5365" s="1">
        <f>IFERROR(__xludf.DUMMYFUNCTION("""COMPUTED_VALUE"""),5849.65)</f>
        <v>5849.65</v>
      </c>
    </row>
    <row r="5366">
      <c r="A5366" s="2">
        <f>IFERROR(__xludf.DUMMYFUNCTION("""COMPUTED_VALUE"""),43587.66666666667)</f>
        <v>43587.66667</v>
      </c>
      <c r="B5366" s="1">
        <f>IFERROR(__xludf.DUMMYFUNCTION("""COMPUTED_VALUE"""),5837.46)</f>
        <v>5837.46</v>
      </c>
    </row>
    <row r="5367">
      <c r="A5367" s="2">
        <f>IFERROR(__xludf.DUMMYFUNCTION("""COMPUTED_VALUE"""),43588.66666666667)</f>
        <v>43588.66667</v>
      </c>
      <c r="B5367" s="1">
        <f>IFERROR(__xludf.DUMMYFUNCTION("""COMPUTED_VALUE"""),5894.3)</f>
        <v>5894.3</v>
      </c>
    </row>
    <row r="5368">
      <c r="A5368" s="2">
        <f>IFERROR(__xludf.DUMMYFUNCTION("""COMPUTED_VALUE"""),43591.66666666667)</f>
        <v>43591.66667</v>
      </c>
      <c r="B5368" s="1">
        <f>IFERROR(__xludf.DUMMYFUNCTION("""COMPUTED_VALUE"""),5868.45)</f>
        <v>5868.45</v>
      </c>
    </row>
    <row r="5369">
      <c r="A5369" s="2">
        <f>IFERROR(__xludf.DUMMYFUNCTION("""COMPUTED_VALUE"""),43592.66666666667)</f>
        <v>43592.66667</v>
      </c>
      <c r="B5369" s="1">
        <f>IFERROR(__xludf.DUMMYFUNCTION("""COMPUTED_VALUE"""),5771.59)</f>
        <v>5771.59</v>
      </c>
    </row>
    <row r="5370">
      <c r="A5370" s="2">
        <f>IFERROR(__xludf.DUMMYFUNCTION("""COMPUTED_VALUE"""),43593.66666666667)</f>
        <v>43593.66667</v>
      </c>
      <c r="B5370" s="1">
        <f>IFERROR(__xludf.DUMMYFUNCTION("""COMPUTED_VALUE"""),5762.48)</f>
        <v>5762.48</v>
      </c>
    </row>
    <row r="5371">
      <c r="A5371" s="2">
        <f>IFERROR(__xludf.DUMMYFUNCTION("""COMPUTED_VALUE"""),43594.66666666667)</f>
        <v>43594.66667</v>
      </c>
      <c r="B5371" s="1">
        <f>IFERROR(__xludf.DUMMYFUNCTION("""COMPUTED_VALUE"""),5747.08)</f>
        <v>5747.08</v>
      </c>
    </row>
    <row r="5372">
      <c r="A5372" s="2">
        <f>IFERROR(__xludf.DUMMYFUNCTION("""COMPUTED_VALUE"""),43595.66666666667)</f>
        <v>43595.66667</v>
      </c>
      <c r="B5372" s="1">
        <f>IFERROR(__xludf.DUMMYFUNCTION("""COMPUTED_VALUE"""),5770.44)</f>
        <v>5770.44</v>
      </c>
    </row>
    <row r="5373">
      <c r="A5373" s="2">
        <f>IFERROR(__xludf.DUMMYFUNCTION("""COMPUTED_VALUE"""),43598.66666666667)</f>
        <v>43598.66667</v>
      </c>
      <c r="B5373" s="1">
        <f>IFERROR(__xludf.DUMMYFUNCTION("""COMPUTED_VALUE"""),5631.41)</f>
        <v>5631.41</v>
      </c>
    </row>
    <row r="5374">
      <c r="A5374" s="2">
        <f>IFERROR(__xludf.DUMMYFUNCTION("""COMPUTED_VALUE"""),43599.66666666667)</f>
        <v>43599.66667</v>
      </c>
      <c r="B5374" s="1">
        <f>IFERROR(__xludf.DUMMYFUNCTION("""COMPUTED_VALUE"""),5677.2)</f>
        <v>5677.2</v>
      </c>
    </row>
    <row r="5375">
      <c r="A5375" s="2">
        <f>IFERROR(__xludf.DUMMYFUNCTION("""COMPUTED_VALUE"""),43600.66666666667)</f>
        <v>43600.66667</v>
      </c>
      <c r="B5375" s="1">
        <f>IFERROR(__xludf.DUMMYFUNCTION("""COMPUTED_VALUE"""),5711.49)</f>
        <v>5711.49</v>
      </c>
    </row>
    <row r="5376">
      <c r="A5376" s="2">
        <f>IFERROR(__xludf.DUMMYFUNCTION("""COMPUTED_VALUE"""),43601.66666666667)</f>
        <v>43601.66667</v>
      </c>
      <c r="B5376" s="1">
        <f>IFERROR(__xludf.DUMMYFUNCTION("""COMPUTED_VALUE"""),5763.95)</f>
        <v>5763.95</v>
      </c>
    </row>
    <row r="5377">
      <c r="A5377" s="2">
        <f>IFERROR(__xludf.DUMMYFUNCTION("""COMPUTED_VALUE"""),43602.66666666667)</f>
        <v>43602.66667</v>
      </c>
      <c r="B5377" s="1">
        <f>IFERROR(__xludf.DUMMYFUNCTION("""COMPUTED_VALUE"""),5730.89)</f>
        <v>5730.89</v>
      </c>
    </row>
    <row r="5378">
      <c r="A5378" s="2">
        <f>IFERROR(__xludf.DUMMYFUNCTION("""COMPUTED_VALUE"""),43605.66666666667)</f>
        <v>43605.66667</v>
      </c>
      <c r="B5378" s="1">
        <f>IFERROR(__xludf.DUMMYFUNCTION("""COMPUTED_VALUE"""),5692.3)</f>
        <v>5692.3</v>
      </c>
    </row>
    <row r="5379">
      <c r="A5379" s="2">
        <f>IFERROR(__xludf.DUMMYFUNCTION("""COMPUTED_VALUE"""),43606.66666666667)</f>
        <v>43606.66667</v>
      </c>
      <c r="B5379" s="1">
        <f>IFERROR(__xludf.DUMMYFUNCTION("""COMPUTED_VALUE"""),5740.81)</f>
        <v>5740.81</v>
      </c>
    </row>
    <row r="5380">
      <c r="A5380" s="2">
        <f>IFERROR(__xludf.DUMMYFUNCTION("""COMPUTED_VALUE"""),43607.66666666667)</f>
        <v>43607.66667</v>
      </c>
      <c r="B5380" s="1">
        <f>IFERROR(__xludf.DUMMYFUNCTION("""COMPUTED_VALUE"""),5724.71)</f>
        <v>5724.71</v>
      </c>
    </row>
    <row r="5381">
      <c r="A5381" s="2">
        <f>IFERROR(__xludf.DUMMYFUNCTION("""COMPUTED_VALUE"""),43608.66666666667)</f>
        <v>43608.66667</v>
      </c>
      <c r="B5381" s="1">
        <f>IFERROR(__xludf.DUMMYFUNCTION("""COMPUTED_VALUE"""),5657.1)</f>
        <v>5657.1</v>
      </c>
    </row>
    <row r="5382">
      <c r="A5382" s="2">
        <f>IFERROR(__xludf.DUMMYFUNCTION("""COMPUTED_VALUE"""),43609.66666666667)</f>
        <v>43609.66667</v>
      </c>
      <c r="B5382" s="1">
        <f>IFERROR(__xludf.DUMMYFUNCTION("""COMPUTED_VALUE"""),5665.6)</f>
        <v>5665.6</v>
      </c>
    </row>
    <row r="5383">
      <c r="A5383" s="2">
        <f>IFERROR(__xludf.DUMMYFUNCTION("""COMPUTED_VALUE"""),43613.66666666667)</f>
        <v>43613.66667</v>
      </c>
      <c r="B5383" s="1">
        <f>IFERROR(__xludf.DUMMYFUNCTION("""COMPUTED_VALUE"""),5618.18)</f>
        <v>5618.18</v>
      </c>
    </row>
    <row r="5384">
      <c r="A5384" s="2">
        <f>IFERROR(__xludf.DUMMYFUNCTION("""COMPUTED_VALUE"""),43614.66666666667)</f>
        <v>43614.66667</v>
      </c>
      <c r="B5384" s="1">
        <f>IFERROR(__xludf.DUMMYFUNCTION("""COMPUTED_VALUE"""),5579.51)</f>
        <v>5579.51</v>
      </c>
    </row>
    <row r="5385">
      <c r="A5385" s="2">
        <f>IFERROR(__xludf.DUMMYFUNCTION("""COMPUTED_VALUE"""),43615.66666666667)</f>
        <v>43615.66667</v>
      </c>
      <c r="B5385" s="1">
        <f>IFERROR(__xludf.DUMMYFUNCTION("""COMPUTED_VALUE"""),5591.97)</f>
        <v>5591.97</v>
      </c>
    </row>
    <row r="5386">
      <c r="A5386" s="2">
        <f>IFERROR(__xludf.DUMMYFUNCTION("""COMPUTED_VALUE"""),43616.66666666667)</f>
        <v>43616.66667</v>
      </c>
      <c r="B5386" s="1">
        <f>IFERROR(__xludf.DUMMYFUNCTION("""COMPUTED_VALUE"""),5519.27)</f>
        <v>5519.27</v>
      </c>
    </row>
    <row r="5387">
      <c r="A5387" s="2">
        <f>IFERROR(__xludf.DUMMYFUNCTION("""COMPUTED_VALUE"""),43619.66666666667)</f>
        <v>43619.66667</v>
      </c>
      <c r="B5387" s="1">
        <f>IFERROR(__xludf.DUMMYFUNCTION("""COMPUTED_VALUE"""),5504.05)</f>
        <v>5504.05</v>
      </c>
    </row>
    <row r="5388">
      <c r="A5388" s="2">
        <f>IFERROR(__xludf.DUMMYFUNCTION("""COMPUTED_VALUE"""),43620.66666666667)</f>
        <v>43620.66667</v>
      </c>
      <c r="B5388" s="1">
        <f>IFERROR(__xludf.DUMMYFUNCTION("""COMPUTED_VALUE"""),5622.31)</f>
        <v>5622.31</v>
      </c>
    </row>
    <row r="5389">
      <c r="A5389" s="2">
        <f>IFERROR(__xludf.DUMMYFUNCTION("""COMPUTED_VALUE"""),43621.66666666667)</f>
        <v>43621.66667</v>
      </c>
      <c r="B5389" s="1">
        <f>IFERROR(__xludf.DUMMYFUNCTION("""COMPUTED_VALUE"""),5668.89)</f>
        <v>5668.89</v>
      </c>
    </row>
    <row r="5390">
      <c r="A5390" s="2">
        <f>IFERROR(__xludf.DUMMYFUNCTION("""COMPUTED_VALUE"""),43622.66666666667)</f>
        <v>43622.66667</v>
      </c>
      <c r="B5390" s="1">
        <f>IFERROR(__xludf.DUMMYFUNCTION("""COMPUTED_VALUE"""),5705.22)</f>
        <v>5705.22</v>
      </c>
    </row>
    <row r="5391">
      <c r="A5391" s="2">
        <f>IFERROR(__xludf.DUMMYFUNCTION("""COMPUTED_VALUE"""),43623.66666666667)</f>
        <v>43623.66667</v>
      </c>
      <c r="B5391" s="1">
        <f>IFERROR(__xludf.DUMMYFUNCTION("""COMPUTED_VALUE"""),5765.66)</f>
        <v>5765.66</v>
      </c>
    </row>
    <row r="5392">
      <c r="A5392" s="2">
        <f>IFERROR(__xludf.DUMMYFUNCTION("""COMPUTED_VALUE"""),43626.66666666667)</f>
        <v>43626.66667</v>
      </c>
      <c r="B5392" s="1">
        <f>IFERROR(__xludf.DUMMYFUNCTION("""COMPUTED_VALUE"""),5792.56)</f>
        <v>5792.56</v>
      </c>
    </row>
    <row r="5393">
      <c r="A5393" s="2">
        <f>IFERROR(__xludf.DUMMYFUNCTION("""COMPUTED_VALUE"""),43627.66666666667)</f>
        <v>43627.66667</v>
      </c>
      <c r="B5393" s="1">
        <f>IFERROR(__xludf.DUMMYFUNCTION("""COMPUTED_VALUE"""),5790.83)</f>
        <v>5790.83</v>
      </c>
    </row>
    <row r="5394">
      <c r="A5394" s="2">
        <f>IFERROR(__xludf.DUMMYFUNCTION("""COMPUTED_VALUE"""),43628.66666666667)</f>
        <v>43628.66667</v>
      </c>
      <c r="B5394" s="1">
        <f>IFERROR(__xludf.DUMMYFUNCTION("""COMPUTED_VALUE"""),5779.12)</f>
        <v>5779.12</v>
      </c>
    </row>
    <row r="5395">
      <c r="A5395" s="2">
        <f>IFERROR(__xludf.DUMMYFUNCTION("""COMPUTED_VALUE"""),43629.66666666667)</f>
        <v>43629.66667</v>
      </c>
      <c r="B5395" s="1">
        <f>IFERROR(__xludf.DUMMYFUNCTION("""COMPUTED_VALUE"""),5804.53)</f>
        <v>5804.53</v>
      </c>
    </row>
    <row r="5396">
      <c r="A5396" s="2">
        <f>IFERROR(__xludf.DUMMYFUNCTION("""COMPUTED_VALUE"""),43630.66666666667)</f>
        <v>43630.66667</v>
      </c>
      <c r="B5396" s="1">
        <f>IFERROR(__xludf.DUMMYFUNCTION("""COMPUTED_VALUE"""),5795.96)</f>
        <v>5795.96</v>
      </c>
    </row>
    <row r="5397">
      <c r="A5397" s="2">
        <f>IFERROR(__xludf.DUMMYFUNCTION("""COMPUTED_VALUE"""),43633.66666666667)</f>
        <v>43633.66667</v>
      </c>
      <c r="B5397" s="1">
        <f>IFERROR(__xludf.DUMMYFUNCTION("""COMPUTED_VALUE"""),5801.4)</f>
        <v>5801.4</v>
      </c>
    </row>
    <row r="5398">
      <c r="A5398" s="2">
        <f>IFERROR(__xludf.DUMMYFUNCTION("""COMPUTED_VALUE"""),43634.66666666667)</f>
        <v>43634.66667</v>
      </c>
      <c r="B5398" s="1">
        <f>IFERROR(__xludf.DUMMYFUNCTION("""COMPUTED_VALUE"""),5857.95)</f>
        <v>5857.95</v>
      </c>
    </row>
    <row r="5399">
      <c r="A5399" s="2">
        <f>IFERROR(__xludf.DUMMYFUNCTION("""COMPUTED_VALUE"""),43635.66666666667)</f>
        <v>43635.66667</v>
      </c>
      <c r="B5399" s="1">
        <f>IFERROR(__xludf.DUMMYFUNCTION("""COMPUTED_VALUE"""),5875.45)</f>
        <v>5875.45</v>
      </c>
    </row>
    <row r="5400">
      <c r="A5400" s="2">
        <f>IFERROR(__xludf.DUMMYFUNCTION("""COMPUTED_VALUE"""),43636.66666666667)</f>
        <v>43636.66667</v>
      </c>
      <c r="B5400" s="1">
        <f>IFERROR(__xludf.DUMMYFUNCTION("""COMPUTED_VALUE"""),5931.66)</f>
        <v>5931.66</v>
      </c>
    </row>
    <row r="5401">
      <c r="A5401" s="2">
        <f>IFERROR(__xludf.DUMMYFUNCTION("""COMPUTED_VALUE"""),43637.66666666667)</f>
        <v>43637.66667</v>
      </c>
      <c r="B5401" s="1">
        <f>IFERROR(__xludf.DUMMYFUNCTION("""COMPUTED_VALUE"""),5924.54)</f>
        <v>5924.54</v>
      </c>
    </row>
    <row r="5402">
      <c r="A5402" s="2">
        <f>IFERROR(__xludf.DUMMYFUNCTION("""COMPUTED_VALUE"""),43640.66666666667)</f>
        <v>43640.66667</v>
      </c>
      <c r="B5402" s="1">
        <f>IFERROR(__xludf.DUMMYFUNCTION("""COMPUTED_VALUE"""),5914.29)</f>
        <v>5914.29</v>
      </c>
    </row>
    <row r="5403">
      <c r="A5403" s="2">
        <f>IFERROR(__xludf.DUMMYFUNCTION("""COMPUTED_VALUE"""),43641.66666666667)</f>
        <v>43641.66667</v>
      </c>
      <c r="B5403" s="1">
        <f>IFERROR(__xludf.DUMMYFUNCTION("""COMPUTED_VALUE"""),5858.13)</f>
        <v>5858.13</v>
      </c>
    </row>
    <row r="5404">
      <c r="A5404" s="2">
        <f>IFERROR(__xludf.DUMMYFUNCTION("""COMPUTED_VALUE"""),43642.66666666667)</f>
        <v>43642.66667</v>
      </c>
      <c r="B5404" s="1">
        <f>IFERROR(__xludf.DUMMYFUNCTION("""COMPUTED_VALUE"""),5850.9)</f>
        <v>5850.9</v>
      </c>
    </row>
    <row r="5405">
      <c r="A5405" s="2">
        <f>IFERROR(__xludf.DUMMYFUNCTION("""COMPUTED_VALUE"""),43643.66666666667)</f>
        <v>43643.66667</v>
      </c>
      <c r="B5405" s="1">
        <f>IFERROR(__xludf.DUMMYFUNCTION("""COMPUTED_VALUE"""),5874.15)</f>
        <v>5874.15</v>
      </c>
    </row>
    <row r="5406">
      <c r="A5406" s="2">
        <f>IFERROR(__xludf.DUMMYFUNCTION("""COMPUTED_VALUE"""),43644.66666666667)</f>
        <v>43644.66667</v>
      </c>
      <c r="B5406" s="1">
        <f>IFERROR(__xludf.DUMMYFUNCTION("""COMPUTED_VALUE"""),5908.25)</f>
        <v>5908.25</v>
      </c>
    </row>
    <row r="5407">
      <c r="A5407" s="2">
        <f>IFERROR(__xludf.DUMMYFUNCTION("""COMPUTED_VALUE"""),43647.66666666667)</f>
        <v>43647.66667</v>
      </c>
      <c r="B5407" s="1">
        <f>IFERROR(__xludf.DUMMYFUNCTION("""COMPUTED_VALUE"""),5953.63)</f>
        <v>5953.63</v>
      </c>
    </row>
    <row r="5408">
      <c r="A5408" s="2">
        <f>IFERROR(__xludf.DUMMYFUNCTION("""COMPUTED_VALUE"""),43648.66666666667)</f>
        <v>43648.66667</v>
      </c>
      <c r="B5408" s="1">
        <f>IFERROR(__xludf.DUMMYFUNCTION("""COMPUTED_VALUE"""),5971.29)</f>
        <v>5971.29</v>
      </c>
    </row>
    <row r="5409">
      <c r="A5409" s="2">
        <f>IFERROR(__xludf.DUMMYFUNCTION("""COMPUTED_VALUE"""),43649.54166666667)</f>
        <v>43649.54167</v>
      </c>
      <c r="B5409" s="1">
        <f>IFERROR(__xludf.DUMMYFUNCTION("""COMPUTED_VALUE"""),6018.54)</f>
        <v>6018.54</v>
      </c>
    </row>
    <row r="5410">
      <c r="A5410" s="2">
        <f>IFERROR(__xludf.DUMMYFUNCTION("""COMPUTED_VALUE"""),43651.66666666667)</f>
        <v>43651.66667</v>
      </c>
      <c r="B5410" s="1">
        <f>IFERROR(__xludf.DUMMYFUNCTION("""COMPUTED_VALUE"""),6008.31)</f>
        <v>6008.31</v>
      </c>
    </row>
    <row r="5411">
      <c r="A5411" s="2">
        <f>IFERROR(__xludf.DUMMYFUNCTION("""COMPUTED_VALUE"""),43654.66666666667)</f>
        <v>43654.66667</v>
      </c>
      <c r="B5411" s="1">
        <f>IFERROR(__xludf.DUMMYFUNCTION("""COMPUTED_VALUE"""),5979.34)</f>
        <v>5979.34</v>
      </c>
    </row>
    <row r="5412">
      <c r="A5412" s="2">
        <f>IFERROR(__xludf.DUMMYFUNCTION("""COMPUTED_VALUE"""),43655.66666666667)</f>
        <v>43655.66667</v>
      </c>
      <c r="B5412" s="1">
        <f>IFERROR(__xludf.DUMMYFUNCTION("""COMPUTED_VALUE"""),5988.48)</f>
        <v>5988.48</v>
      </c>
    </row>
    <row r="5413">
      <c r="A5413" s="2">
        <f>IFERROR(__xludf.DUMMYFUNCTION("""COMPUTED_VALUE"""),43656.66666666667)</f>
        <v>43656.66667</v>
      </c>
      <c r="B5413" s="1">
        <f>IFERROR(__xludf.DUMMYFUNCTION("""COMPUTED_VALUE"""),6015.56)</f>
        <v>6015.56</v>
      </c>
    </row>
    <row r="5414">
      <c r="A5414" s="2">
        <f>IFERROR(__xludf.DUMMYFUNCTION("""COMPUTED_VALUE"""),43657.66666666667)</f>
        <v>43657.66667</v>
      </c>
      <c r="B5414" s="1">
        <f>IFERROR(__xludf.DUMMYFUNCTION("""COMPUTED_VALUE"""),6029.33)</f>
        <v>6029.33</v>
      </c>
    </row>
    <row r="5415">
      <c r="A5415" s="2">
        <f>IFERROR(__xludf.DUMMYFUNCTION("""COMPUTED_VALUE"""),43658.66666666667)</f>
        <v>43658.66667</v>
      </c>
      <c r="B5415" s="1">
        <f>IFERROR(__xludf.DUMMYFUNCTION("""COMPUTED_VALUE"""),6057.77)</f>
        <v>6057.77</v>
      </c>
    </row>
    <row r="5416">
      <c r="A5416" s="2">
        <f>IFERROR(__xludf.DUMMYFUNCTION("""COMPUTED_VALUE"""),43661.66666666667)</f>
        <v>43661.66667</v>
      </c>
      <c r="B5416" s="1">
        <f>IFERROR(__xludf.DUMMYFUNCTION("""COMPUTED_VALUE"""),6058.83)</f>
        <v>6058.83</v>
      </c>
    </row>
    <row r="5417">
      <c r="A5417" s="2">
        <f>IFERROR(__xludf.DUMMYFUNCTION("""COMPUTED_VALUE"""),43662.66666666667)</f>
        <v>43662.66667</v>
      </c>
      <c r="B5417" s="1">
        <f>IFERROR(__xludf.DUMMYFUNCTION("""COMPUTED_VALUE"""),6038.4)</f>
        <v>6038.4</v>
      </c>
    </row>
    <row r="5418">
      <c r="A5418" s="2">
        <f>IFERROR(__xludf.DUMMYFUNCTION("""COMPUTED_VALUE"""),43663.66666666667)</f>
        <v>43663.66667</v>
      </c>
      <c r="B5418" s="1">
        <f>IFERROR(__xludf.DUMMYFUNCTION("""COMPUTED_VALUE"""),5999.05)</f>
        <v>5999.05</v>
      </c>
    </row>
    <row r="5419">
      <c r="A5419" s="2">
        <f>IFERROR(__xludf.DUMMYFUNCTION("""COMPUTED_VALUE"""),43664.66666666667)</f>
        <v>43664.66667</v>
      </c>
      <c r="B5419" s="1">
        <f>IFERROR(__xludf.DUMMYFUNCTION("""COMPUTED_VALUE"""),6021.15)</f>
        <v>6021.15</v>
      </c>
    </row>
    <row r="5420">
      <c r="A5420" s="2">
        <f>IFERROR(__xludf.DUMMYFUNCTION("""COMPUTED_VALUE"""),43665.66666666667)</f>
        <v>43665.66667</v>
      </c>
      <c r="B5420" s="1">
        <f>IFERROR(__xludf.DUMMYFUNCTION("""COMPUTED_VALUE"""),5984.2)</f>
        <v>5984.2</v>
      </c>
    </row>
    <row r="5421">
      <c r="A5421" s="2">
        <f>IFERROR(__xludf.DUMMYFUNCTION("""COMPUTED_VALUE"""),43668.66666666667)</f>
        <v>43668.66667</v>
      </c>
      <c r="B5421" s="1">
        <f>IFERROR(__xludf.DUMMYFUNCTION("""COMPUTED_VALUE"""),6001.28)</f>
        <v>6001.28</v>
      </c>
    </row>
    <row r="5422">
      <c r="A5422" s="2">
        <f>IFERROR(__xludf.DUMMYFUNCTION("""COMPUTED_VALUE"""),43669.66666666667)</f>
        <v>43669.66667</v>
      </c>
      <c r="B5422" s="1">
        <f>IFERROR(__xludf.DUMMYFUNCTION("""COMPUTED_VALUE"""),6042.48)</f>
        <v>6042.48</v>
      </c>
    </row>
    <row r="5423">
      <c r="A5423" s="2">
        <f>IFERROR(__xludf.DUMMYFUNCTION("""COMPUTED_VALUE"""),43670.66666666667)</f>
        <v>43670.66667</v>
      </c>
      <c r="B5423" s="1">
        <f>IFERROR(__xludf.DUMMYFUNCTION("""COMPUTED_VALUE"""),6071.05)</f>
        <v>6071.05</v>
      </c>
    </row>
    <row r="5424">
      <c r="A5424" s="2">
        <f>IFERROR(__xludf.DUMMYFUNCTION("""COMPUTED_VALUE"""),43671.66666666667)</f>
        <v>43671.66667</v>
      </c>
      <c r="B5424" s="1">
        <f>IFERROR(__xludf.DUMMYFUNCTION("""COMPUTED_VALUE"""),6039.13)</f>
        <v>6039.13</v>
      </c>
    </row>
    <row r="5425">
      <c r="A5425" s="2">
        <f>IFERROR(__xludf.DUMMYFUNCTION("""COMPUTED_VALUE"""),43672.66666666667)</f>
        <v>43672.66667</v>
      </c>
      <c r="B5425" s="1">
        <f>IFERROR(__xludf.DUMMYFUNCTION("""COMPUTED_VALUE"""),6083.82)</f>
        <v>6083.82</v>
      </c>
    </row>
    <row r="5426">
      <c r="A5426" s="2">
        <f>IFERROR(__xludf.DUMMYFUNCTION("""COMPUTED_VALUE"""),43675.66666666667)</f>
        <v>43675.66667</v>
      </c>
      <c r="B5426" s="1">
        <f>IFERROR(__xludf.DUMMYFUNCTION("""COMPUTED_VALUE"""),6074.01)</f>
        <v>6074.01</v>
      </c>
    </row>
    <row r="5427">
      <c r="A5427" s="2">
        <f>IFERROR(__xludf.DUMMYFUNCTION("""COMPUTED_VALUE"""),43676.66666666667)</f>
        <v>43676.66667</v>
      </c>
      <c r="B5427" s="1">
        <f>IFERROR(__xludf.DUMMYFUNCTION("""COMPUTED_VALUE"""),6058.96)</f>
        <v>6058.96</v>
      </c>
    </row>
    <row r="5428">
      <c r="A5428" s="2">
        <f>IFERROR(__xludf.DUMMYFUNCTION("""COMPUTED_VALUE"""),43677.66666666667)</f>
        <v>43677.66667</v>
      </c>
      <c r="B5428" s="1">
        <f>IFERROR(__xludf.DUMMYFUNCTION("""COMPUTED_VALUE"""),5993.17)</f>
        <v>5993.17</v>
      </c>
    </row>
    <row r="5429">
      <c r="A5429" s="2">
        <f>IFERROR(__xludf.DUMMYFUNCTION("""COMPUTED_VALUE"""),43678.66666666667)</f>
        <v>43678.66667</v>
      </c>
      <c r="B5429" s="1">
        <f>IFERROR(__xludf.DUMMYFUNCTION("""COMPUTED_VALUE"""),5939.83)</f>
        <v>5939.83</v>
      </c>
    </row>
    <row r="5430">
      <c r="A5430" s="2">
        <f>IFERROR(__xludf.DUMMYFUNCTION("""COMPUTED_VALUE"""),43679.66666666667)</f>
        <v>43679.66667</v>
      </c>
      <c r="B5430" s="1">
        <f>IFERROR(__xludf.DUMMYFUNCTION("""COMPUTED_VALUE"""),5897.1)</f>
        <v>5897.1</v>
      </c>
    </row>
    <row r="5431">
      <c r="A5431" s="2">
        <f>IFERROR(__xludf.DUMMYFUNCTION("""COMPUTED_VALUE"""),43682.66666666667)</f>
        <v>43682.66667</v>
      </c>
      <c r="B5431" s="1">
        <f>IFERROR(__xludf.DUMMYFUNCTION("""COMPUTED_VALUE"""),5721.8)</f>
        <v>5721.8</v>
      </c>
    </row>
    <row r="5432">
      <c r="A5432" s="2">
        <f>IFERROR(__xludf.DUMMYFUNCTION("""COMPUTED_VALUE"""),43683.66666666667)</f>
        <v>43683.66667</v>
      </c>
      <c r="B5432" s="1">
        <f>IFERROR(__xludf.DUMMYFUNCTION("""COMPUTED_VALUE"""),5796.72)</f>
        <v>5796.72</v>
      </c>
    </row>
    <row r="5433">
      <c r="A5433" s="2">
        <f>IFERROR(__xludf.DUMMYFUNCTION("""COMPUTED_VALUE"""),43684.66666666667)</f>
        <v>43684.66667</v>
      </c>
      <c r="B5433" s="1">
        <f>IFERROR(__xludf.DUMMYFUNCTION("""COMPUTED_VALUE"""),5801.32)</f>
        <v>5801.32</v>
      </c>
    </row>
    <row r="5434">
      <c r="A5434" s="2">
        <f>IFERROR(__xludf.DUMMYFUNCTION("""COMPUTED_VALUE"""),43685.66666666667)</f>
        <v>43685.66667</v>
      </c>
      <c r="B5434" s="1">
        <f>IFERROR(__xludf.DUMMYFUNCTION("""COMPUTED_VALUE"""),5911.66)</f>
        <v>5911.66</v>
      </c>
    </row>
    <row r="5435">
      <c r="A5435" s="2">
        <f>IFERROR(__xludf.DUMMYFUNCTION("""COMPUTED_VALUE"""),43686.66666666667)</f>
        <v>43686.66667</v>
      </c>
      <c r="B5435" s="1">
        <f>IFERROR(__xludf.DUMMYFUNCTION("""COMPUTED_VALUE"""),5873.47)</f>
        <v>5873.47</v>
      </c>
    </row>
    <row r="5436">
      <c r="A5436" s="2">
        <f>IFERROR(__xludf.DUMMYFUNCTION("""COMPUTED_VALUE"""),43689.66666666667)</f>
        <v>43689.66667</v>
      </c>
      <c r="B5436" s="1">
        <f>IFERROR(__xludf.DUMMYFUNCTION("""COMPUTED_VALUE"""),5802.92)</f>
        <v>5802.92</v>
      </c>
    </row>
    <row r="5437">
      <c r="A5437" s="2">
        <f>IFERROR(__xludf.DUMMYFUNCTION("""COMPUTED_VALUE"""),43690.66666666667)</f>
        <v>43690.66667</v>
      </c>
      <c r="B5437" s="1">
        <f>IFERROR(__xludf.DUMMYFUNCTION("""COMPUTED_VALUE"""),5890.16)</f>
        <v>5890.16</v>
      </c>
    </row>
    <row r="5438">
      <c r="A5438" s="2">
        <f>IFERROR(__xludf.DUMMYFUNCTION("""COMPUTED_VALUE"""),43691.66666666667)</f>
        <v>43691.66667</v>
      </c>
      <c r="B5438" s="1">
        <f>IFERROR(__xludf.DUMMYFUNCTION("""COMPUTED_VALUE"""),5719.3)</f>
        <v>5719.3</v>
      </c>
    </row>
    <row r="5439">
      <c r="A5439" s="2">
        <f>IFERROR(__xludf.DUMMYFUNCTION("""COMPUTED_VALUE"""),43692.66666666667)</f>
        <v>43692.66667</v>
      </c>
      <c r="B5439" s="1">
        <f>IFERROR(__xludf.DUMMYFUNCTION("""COMPUTED_VALUE"""),5734.49)</f>
        <v>5734.49</v>
      </c>
    </row>
    <row r="5440">
      <c r="A5440" s="2">
        <f>IFERROR(__xludf.DUMMYFUNCTION("""COMPUTED_VALUE"""),43693.66666666667)</f>
        <v>43693.66667</v>
      </c>
      <c r="B5440" s="1">
        <f>IFERROR(__xludf.DUMMYFUNCTION("""COMPUTED_VALUE"""),5818.17)</f>
        <v>5818.17</v>
      </c>
    </row>
    <row r="5441">
      <c r="A5441" s="2">
        <f>IFERROR(__xludf.DUMMYFUNCTION("""COMPUTED_VALUE"""),43696.66666666667)</f>
        <v>43696.66667</v>
      </c>
      <c r="B5441" s="1">
        <f>IFERROR(__xludf.DUMMYFUNCTION("""COMPUTED_VALUE"""),5888.93)</f>
        <v>5888.93</v>
      </c>
    </row>
    <row r="5442">
      <c r="A5442" s="2">
        <f>IFERROR(__xludf.DUMMYFUNCTION("""COMPUTED_VALUE"""),43697.66666666667)</f>
        <v>43697.66667</v>
      </c>
      <c r="B5442" s="1">
        <f>IFERROR(__xludf.DUMMYFUNCTION("""COMPUTED_VALUE"""),5842.76)</f>
        <v>5842.76</v>
      </c>
    </row>
    <row r="5443">
      <c r="A5443" s="2">
        <f>IFERROR(__xludf.DUMMYFUNCTION("""COMPUTED_VALUE"""),43698.66666666667)</f>
        <v>43698.66667</v>
      </c>
      <c r="B5443" s="1">
        <f>IFERROR(__xludf.DUMMYFUNCTION("""COMPUTED_VALUE"""),5891.19)</f>
        <v>5891.19</v>
      </c>
    </row>
    <row r="5444">
      <c r="A5444" s="2">
        <f>IFERROR(__xludf.DUMMYFUNCTION("""COMPUTED_VALUE"""),43699.66666666667)</f>
        <v>43699.66667</v>
      </c>
      <c r="B5444" s="1">
        <f>IFERROR(__xludf.DUMMYFUNCTION("""COMPUTED_VALUE"""),5888.37)</f>
        <v>5888.37</v>
      </c>
    </row>
    <row r="5445">
      <c r="A5445" s="2">
        <f>IFERROR(__xludf.DUMMYFUNCTION("""COMPUTED_VALUE"""),43700.66666666667)</f>
        <v>43700.66667</v>
      </c>
      <c r="B5445" s="1">
        <f>IFERROR(__xludf.DUMMYFUNCTION("""COMPUTED_VALUE"""),5735.63)</f>
        <v>5735.63</v>
      </c>
    </row>
    <row r="5446">
      <c r="A5446" s="2">
        <f>IFERROR(__xludf.DUMMYFUNCTION("""COMPUTED_VALUE"""),43703.66666666667)</f>
        <v>43703.66667</v>
      </c>
      <c r="B5446" s="1">
        <f>IFERROR(__xludf.DUMMYFUNCTION("""COMPUTED_VALUE"""),5799.34)</f>
        <v>5799.34</v>
      </c>
    </row>
    <row r="5447">
      <c r="A5447" s="2">
        <f>IFERROR(__xludf.DUMMYFUNCTION("""COMPUTED_VALUE"""),43704.66666666667)</f>
        <v>43704.66667</v>
      </c>
      <c r="B5447" s="1">
        <f>IFERROR(__xludf.DUMMYFUNCTION("""COMPUTED_VALUE"""),5780.79)</f>
        <v>5780.79</v>
      </c>
    </row>
    <row r="5448">
      <c r="A5448" s="2">
        <f>IFERROR(__xludf.DUMMYFUNCTION("""COMPUTED_VALUE"""),43705.66666666667)</f>
        <v>43705.66667</v>
      </c>
      <c r="B5448" s="1">
        <f>IFERROR(__xludf.DUMMYFUNCTION("""COMPUTED_VALUE"""),5818.84)</f>
        <v>5818.84</v>
      </c>
    </row>
    <row r="5449">
      <c r="A5449" s="2">
        <f>IFERROR(__xludf.DUMMYFUNCTION("""COMPUTED_VALUE"""),43706.66666666667)</f>
        <v>43706.66667</v>
      </c>
      <c r="B5449" s="1">
        <f>IFERROR(__xludf.DUMMYFUNCTION("""COMPUTED_VALUE"""),5893.65)</f>
        <v>5893.65</v>
      </c>
    </row>
    <row r="5450">
      <c r="A5450" s="2">
        <f>IFERROR(__xludf.DUMMYFUNCTION("""COMPUTED_VALUE"""),43707.66666666667)</f>
        <v>43707.66667</v>
      </c>
      <c r="B5450" s="1">
        <f>IFERROR(__xludf.DUMMYFUNCTION("""COMPUTED_VALUE"""),5898.23)</f>
        <v>5898.23</v>
      </c>
    </row>
    <row r="5451">
      <c r="A5451" s="2">
        <f>IFERROR(__xludf.DUMMYFUNCTION("""COMPUTED_VALUE"""),43711.66666666667)</f>
        <v>43711.66667</v>
      </c>
      <c r="B5451" s="1">
        <f>IFERROR(__xludf.DUMMYFUNCTION("""COMPUTED_VALUE"""),5857.95)</f>
        <v>5857.95</v>
      </c>
    </row>
    <row r="5452">
      <c r="A5452" s="2">
        <f>IFERROR(__xludf.DUMMYFUNCTION("""COMPUTED_VALUE"""),43712.66666666667)</f>
        <v>43712.66667</v>
      </c>
      <c r="B5452" s="1">
        <f>IFERROR(__xludf.DUMMYFUNCTION("""COMPUTED_VALUE"""),5921.96)</f>
        <v>5921.96</v>
      </c>
    </row>
    <row r="5453">
      <c r="A5453" s="2">
        <f>IFERROR(__xludf.DUMMYFUNCTION("""COMPUTED_VALUE"""),43713.66666666667)</f>
        <v>43713.66667</v>
      </c>
      <c r="B5453" s="1">
        <f>IFERROR(__xludf.DUMMYFUNCTION("""COMPUTED_VALUE"""),6000.38)</f>
        <v>6000.38</v>
      </c>
    </row>
    <row r="5454">
      <c r="A5454" s="2">
        <f>IFERROR(__xludf.DUMMYFUNCTION("""COMPUTED_VALUE"""),43714.66666666667)</f>
        <v>43714.66667</v>
      </c>
      <c r="B5454" s="1">
        <f>IFERROR(__xludf.DUMMYFUNCTION("""COMPUTED_VALUE"""),6006.07)</f>
        <v>6006.07</v>
      </c>
    </row>
    <row r="5455">
      <c r="A5455" s="2">
        <f>IFERROR(__xludf.DUMMYFUNCTION("""COMPUTED_VALUE"""),43717.66666666667)</f>
        <v>43717.66667</v>
      </c>
      <c r="B5455" s="1">
        <f>IFERROR(__xludf.DUMMYFUNCTION("""COMPUTED_VALUE"""),6005.99)</f>
        <v>6005.99</v>
      </c>
    </row>
    <row r="5456">
      <c r="A5456" s="2">
        <f>IFERROR(__xludf.DUMMYFUNCTION("""COMPUTED_VALUE"""),43718.66666666667)</f>
        <v>43718.66667</v>
      </c>
      <c r="B5456" s="1">
        <f>IFERROR(__xludf.DUMMYFUNCTION("""COMPUTED_VALUE"""),6008.12)</f>
        <v>6008.12</v>
      </c>
    </row>
    <row r="5457">
      <c r="A5457" s="2">
        <f>IFERROR(__xludf.DUMMYFUNCTION("""COMPUTED_VALUE"""),43719.66666666667)</f>
        <v>43719.66667</v>
      </c>
      <c r="B5457" s="1">
        <f>IFERROR(__xludf.DUMMYFUNCTION("""COMPUTED_VALUE"""),6051.87)</f>
        <v>6051.87</v>
      </c>
    </row>
    <row r="5458">
      <c r="A5458" s="2">
        <f>IFERROR(__xludf.DUMMYFUNCTION("""COMPUTED_VALUE"""),43720.66666666667)</f>
        <v>43720.66667</v>
      </c>
      <c r="B5458" s="1">
        <f>IFERROR(__xludf.DUMMYFUNCTION("""COMPUTED_VALUE"""),6070.23)</f>
        <v>6070.23</v>
      </c>
    </row>
    <row r="5459">
      <c r="A5459" s="2">
        <f>IFERROR(__xludf.DUMMYFUNCTION("""COMPUTED_VALUE"""),43721.66666666667)</f>
        <v>43721.66667</v>
      </c>
      <c r="B5459" s="1">
        <f>IFERROR(__xludf.DUMMYFUNCTION("""COMPUTED_VALUE"""),6067.5)</f>
        <v>6067.5</v>
      </c>
    </row>
    <row r="5460">
      <c r="A5460" s="2">
        <f>IFERROR(__xludf.DUMMYFUNCTION("""COMPUTED_VALUE"""),43724.66666666667)</f>
        <v>43724.66667</v>
      </c>
      <c r="B5460" s="1">
        <f>IFERROR(__xludf.DUMMYFUNCTION("""COMPUTED_VALUE"""),6048.67)</f>
        <v>6048.67</v>
      </c>
    </row>
    <row r="5461">
      <c r="A5461" s="2">
        <f>IFERROR(__xludf.DUMMYFUNCTION("""COMPUTED_VALUE"""),43725.66666666667)</f>
        <v>43725.66667</v>
      </c>
      <c r="B5461" s="1">
        <f>IFERROR(__xludf.DUMMYFUNCTION("""COMPUTED_VALUE"""),6064.31)</f>
        <v>6064.31</v>
      </c>
    </row>
    <row r="5462">
      <c r="A5462" s="2">
        <f>IFERROR(__xludf.DUMMYFUNCTION("""COMPUTED_VALUE"""),43726.66666666667)</f>
        <v>43726.66667</v>
      </c>
      <c r="B5462" s="1">
        <f>IFERROR(__xludf.DUMMYFUNCTION("""COMPUTED_VALUE"""),6066.42)</f>
        <v>6066.42</v>
      </c>
    </row>
    <row r="5463">
      <c r="A5463" s="2">
        <f>IFERROR(__xludf.DUMMYFUNCTION("""COMPUTED_VALUE"""),43727.66666666667)</f>
        <v>43727.66667</v>
      </c>
      <c r="B5463" s="1">
        <f>IFERROR(__xludf.DUMMYFUNCTION("""COMPUTED_VALUE"""),6066.9)</f>
        <v>6066.9</v>
      </c>
    </row>
    <row r="5464">
      <c r="A5464" s="2">
        <f>IFERROR(__xludf.DUMMYFUNCTION("""COMPUTED_VALUE"""),43728.66666666667)</f>
        <v>43728.66667</v>
      </c>
      <c r="B5464" s="1">
        <f>IFERROR(__xludf.DUMMYFUNCTION("""COMPUTED_VALUE"""),6037.5)</f>
        <v>6037.5</v>
      </c>
    </row>
    <row r="5465">
      <c r="A5465" s="2">
        <f>IFERROR(__xludf.DUMMYFUNCTION("""COMPUTED_VALUE"""),43731.66666666667)</f>
        <v>43731.66667</v>
      </c>
      <c r="B5465" s="1">
        <f>IFERROR(__xludf.DUMMYFUNCTION("""COMPUTED_VALUE"""),6036.9)</f>
        <v>6036.9</v>
      </c>
    </row>
    <row r="5466">
      <c r="A5466" s="2">
        <f>IFERROR(__xludf.DUMMYFUNCTION("""COMPUTED_VALUE"""),43732.66666666667)</f>
        <v>43732.66667</v>
      </c>
      <c r="B5466" s="1">
        <f>IFERROR(__xludf.DUMMYFUNCTION("""COMPUTED_VALUE"""),5986.58)</f>
        <v>5986.58</v>
      </c>
    </row>
    <row r="5467">
      <c r="A5467" s="2">
        <f>IFERROR(__xludf.DUMMYFUNCTION("""COMPUTED_VALUE"""),43733.66666666667)</f>
        <v>43733.66667</v>
      </c>
      <c r="B5467" s="1">
        <f>IFERROR(__xludf.DUMMYFUNCTION("""COMPUTED_VALUE"""),6023.46)</f>
        <v>6023.46</v>
      </c>
    </row>
    <row r="5468">
      <c r="A5468" s="2">
        <f>IFERROR(__xludf.DUMMYFUNCTION("""COMPUTED_VALUE"""),43734.66666666667)</f>
        <v>43734.66667</v>
      </c>
      <c r="B5468" s="1">
        <f>IFERROR(__xludf.DUMMYFUNCTION("""COMPUTED_VALUE"""),6009.19)</f>
        <v>6009.19</v>
      </c>
    </row>
    <row r="5469">
      <c r="A5469" s="2">
        <f>IFERROR(__xludf.DUMMYFUNCTION("""COMPUTED_VALUE"""),43735.66666666667)</f>
        <v>43735.66667</v>
      </c>
      <c r="B5469" s="1">
        <f>IFERROR(__xludf.DUMMYFUNCTION("""COMPUTED_VALUE"""),5978.11)</f>
        <v>5978.11</v>
      </c>
    </row>
    <row r="5470">
      <c r="A5470" s="2">
        <f>IFERROR(__xludf.DUMMYFUNCTION("""COMPUTED_VALUE"""),43738.66666666667)</f>
        <v>43738.66667</v>
      </c>
      <c r="B5470" s="1">
        <f>IFERROR(__xludf.DUMMYFUNCTION("""COMPUTED_VALUE"""),6008.59)</f>
        <v>6008.59</v>
      </c>
    </row>
    <row r="5471">
      <c r="A5471" s="2">
        <f>IFERROR(__xludf.DUMMYFUNCTION("""COMPUTED_VALUE"""),43739.66666666667)</f>
        <v>43739.66667</v>
      </c>
      <c r="B5471" s="1">
        <f>IFERROR(__xludf.DUMMYFUNCTION("""COMPUTED_VALUE"""),5935.2)</f>
        <v>5935.2</v>
      </c>
    </row>
    <row r="5472">
      <c r="A5472" s="2">
        <f>IFERROR(__xludf.DUMMYFUNCTION("""COMPUTED_VALUE"""),43740.66666666667)</f>
        <v>43740.66667</v>
      </c>
      <c r="B5472" s="1">
        <f>IFERROR(__xludf.DUMMYFUNCTION("""COMPUTED_VALUE"""),5828.93)</f>
        <v>5828.93</v>
      </c>
    </row>
    <row r="5473">
      <c r="A5473" s="2">
        <f>IFERROR(__xludf.DUMMYFUNCTION("""COMPUTED_VALUE"""),43741.66666666667)</f>
        <v>43741.66667</v>
      </c>
      <c r="B5473" s="1">
        <f>IFERROR(__xludf.DUMMYFUNCTION("""COMPUTED_VALUE"""),5876.86)</f>
        <v>5876.86</v>
      </c>
    </row>
    <row r="5474">
      <c r="A5474" s="2">
        <f>IFERROR(__xludf.DUMMYFUNCTION("""COMPUTED_VALUE"""),43742.66666666667)</f>
        <v>43742.66667</v>
      </c>
      <c r="B5474" s="1">
        <f>IFERROR(__xludf.DUMMYFUNCTION("""COMPUTED_VALUE"""),5960.43)</f>
        <v>5960.43</v>
      </c>
    </row>
    <row r="5475">
      <c r="A5475" s="2">
        <f>IFERROR(__xludf.DUMMYFUNCTION("""COMPUTED_VALUE"""),43745.66666666667)</f>
        <v>43745.66667</v>
      </c>
      <c r="B5475" s="1">
        <f>IFERROR(__xludf.DUMMYFUNCTION("""COMPUTED_VALUE"""),5933.76)</f>
        <v>5933.76</v>
      </c>
    </row>
    <row r="5476">
      <c r="A5476" s="2">
        <f>IFERROR(__xludf.DUMMYFUNCTION("""COMPUTED_VALUE"""),43746.66666666667)</f>
        <v>43746.66667</v>
      </c>
      <c r="B5476" s="1">
        <f>IFERROR(__xludf.DUMMYFUNCTION("""COMPUTED_VALUE"""),5841.57)</f>
        <v>5841.57</v>
      </c>
    </row>
    <row r="5477">
      <c r="A5477" s="2">
        <f>IFERROR(__xludf.DUMMYFUNCTION("""COMPUTED_VALUE"""),43747.66666666667)</f>
        <v>43747.66667</v>
      </c>
      <c r="B5477" s="1">
        <f>IFERROR(__xludf.DUMMYFUNCTION("""COMPUTED_VALUE"""),5896.6)</f>
        <v>5896.6</v>
      </c>
    </row>
    <row r="5478">
      <c r="A5478" s="2">
        <f>IFERROR(__xludf.DUMMYFUNCTION("""COMPUTED_VALUE"""),43748.66666666667)</f>
        <v>43748.66667</v>
      </c>
      <c r="B5478" s="1">
        <f>IFERROR(__xludf.DUMMYFUNCTION("""COMPUTED_VALUE"""),5934.56)</f>
        <v>5934.56</v>
      </c>
    </row>
    <row r="5479">
      <c r="A5479" s="2">
        <f>IFERROR(__xludf.DUMMYFUNCTION("""COMPUTED_VALUE"""),43749.66666666667)</f>
        <v>43749.66667</v>
      </c>
      <c r="B5479" s="1">
        <f>IFERROR(__xludf.DUMMYFUNCTION("""COMPUTED_VALUE"""),6000.04)</f>
        <v>6000.04</v>
      </c>
    </row>
    <row r="5480">
      <c r="A5480" s="2">
        <f>IFERROR(__xludf.DUMMYFUNCTION("""COMPUTED_VALUE"""),43752.66666666667)</f>
        <v>43752.66667</v>
      </c>
      <c r="B5480" s="1">
        <f>IFERROR(__xludf.DUMMYFUNCTION("""COMPUTED_VALUE"""),5991.72)</f>
        <v>5991.72</v>
      </c>
    </row>
    <row r="5481">
      <c r="A5481" s="2">
        <f>IFERROR(__xludf.DUMMYFUNCTION("""COMPUTED_VALUE"""),43753.66666666667)</f>
        <v>43753.66667</v>
      </c>
      <c r="B5481" s="1">
        <f>IFERROR(__xludf.DUMMYFUNCTION("""COMPUTED_VALUE"""),6051.39)</f>
        <v>6051.39</v>
      </c>
    </row>
    <row r="5482">
      <c r="A5482" s="2">
        <f>IFERROR(__xludf.DUMMYFUNCTION("""COMPUTED_VALUE"""),43754.66666666667)</f>
        <v>43754.66667</v>
      </c>
      <c r="B5482" s="1">
        <f>IFERROR(__xludf.DUMMYFUNCTION("""COMPUTED_VALUE"""),6039.69)</f>
        <v>6039.69</v>
      </c>
    </row>
    <row r="5483">
      <c r="A5483" s="2">
        <f>IFERROR(__xludf.DUMMYFUNCTION("""COMPUTED_VALUE"""),43755.66666666667)</f>
        <v>43755.66667</v>
      </c>
      <c r="B5483" s="1">
        <f>IFERROR(__xludf.DUMMYFUNCTION("""COMPUTED_VALUE"""),6056.84)</f>
        <v>6056.84</v>
      </c>
    </row>
    <row r="5484">
      <c r="A5484" s="2">
        <f>IFERROR(__xludf.DUMMYFUNCTION("""COMPUTED_VALUE"""),43756.66666666667)</f>
        <v>43756.66667</v>
      </c>
      <c r="B5484" s="1">
        <f>IFERROR(__xludf.DUMMYFUNCTION("""COMPUTED_VALUE"""),6033.26)</f>
        <v>6033.26</v>
      </c>
    </row>
    <row r="5485">
      <c r="A5485" s="2">
        <f>IFERROR(__xludf.DUMMYFUNCTION("""COMPUTED_VALUE"""),43759.66666666667)</f>
        <v>43759.66667</v>
      </c>
      <c r="B5485" s="1">
        <f>IFERROR(__xludf.DUMMYFUNCTION("""COMPUTED_VALUE"""),6074.9)</f>
        <v>6074.9</v>
      </c>
    </row>
    <row r="5486">
      <c r="A5486" s="2">
        <f>IFERROR(__xludf.DUMMYFUNCTION("""COMPUTED_VALUE"""),43760.66666666667)</f>
        <v>43760.66667</v>
      </c>
      <c r="B5486" s="1">
        <f>IFERROR(__xludf.DUMMYFUNCTION("""COMPUTED_VALUE"""),6053.42)</f>
        <v>6053.42</v>
      </c>
    </row>
    <row r="5487">
      <c r="A5487" s="2">
        <f>IFERROR(__xludf.DUMMYFUNCTION("""COMPUTED_VALUE"""),43761.66666666667)</f>
        <v>43761.66667</v>
      </c>
      <c r="B5487" s="1">
        <f>IFERROR(__xludf.DUMMYFUNCTION("""COMPUTED_VALUE"""),6070.87)</f>
        <v>6070.87</v>
      </c>
    </row>
    <row r="5488">
      <c r="A5488" s="2">
        <f>IFERROR(__xludf.DUMMYFUNCTION("""COMPUTED_VALUE"""),43762.66666666667)</f>
        <v>43762.66667</v>
      </c>
      <c r="B5488" s="1">
        <f>IFERROR(__xludf.DUMMYFUNCTION("""COMPUTED_VALUE"""),6082.54)</f>
        <v>6082.54</v>
      </c>
    </row>
    <row r="5489">
      <c r="A5489" s="2">
        <f>IFERROR(__xludf.DUMMYFUNCTION("""COMPUTED_VALUE"""),43763.66666666667)</f>
        <v>43763.66667</v>
      </c>
      <c r="B5489" s="1">
        <f>IFERROR(__xludf.DUMMYFUNCTION("""COMPUTED_VALUE"""),6107.42)</f>
        <v>6107.42</v>
      </c>
    </row>
    <row r="5490">
      <c r="A5490" s="2">
        <f>IFERROR(__xludf.DUMMYFUNCTION("""COMPUTED_VALUE"""),43766.66666666667)</f>
        <v>43766.66667</v>
      </c>
      <c r="B5490" s="1">
        <f>IFERROR(__xludf.DUMMYFUNCTION("""COMPUTED_VALUE"""),6141.51)</f>
        <v>6141.51</v>
      </c>
    </row>
    <row r="5491">
      <c r="A5491" s="2">
        <f>IFERROR(__xludf.DUMMYFUNCTION("""COMPUTED_VALUE"""),43767.66666666667)</f>
        <v>43767.66667</v>
      </c>
      <c r="B5491" s="1">
        <f>IFERROR(__xludf.DUMMYFUNCTION("""COMPUTED_VALUE"""),6136.47)</f>
        <v>6136.47</v>
      </c>
    </row>
    <row r="5492">
      <c r="A5492" s="2">
        <f>IFERROR(__xludf.DUMMYFUNCTION("""COMPUTED_VALUE"""),43768.66666666667)</f>
        <v>43768.66667</v>
      </c>
      <c r="B5492" s="1">
        <f>IFERROR(__xludf.DUMMYFUNCTION("""COMPUTED_VALUE"""),6156.93)</f>
        <v>6156.93</v>
      </c>
    </row>
    <row r="5493">
      <c r="A5493" s="2">
        <f>IFERROR(__xludf.DUMMYFUNCTION("""COMPUTED_VALUE"""),43769.66666666667)</f>
        <v>43769.66667</v>
      </c>
      <c r="B5493" s="1">
        <f>IFERROR(__xludf.DUMMYFUNCTION("""COMPUTED_VALUE"""),6138.73)</f>
        <v>6138.73</v>
      </c>
    </row>
    <row r="5494">
      <c r="A5494" s="2">
        <f>IFERROR(__xludf.DUMMYFUNCTION("""COMPUTED_VALUE"""),43770.66666666667)</f>
        <v>43770.66667</v>
      </c>
      <c r="B5494" s="1">
        <f>IFERROR(__xludf.DUMMYFUNCTION("""COMPUTED_VALUE"""),6198.59)</f>
        <v>6198.59</v>
      </c>
    </row>
    <row r="5495">
      <c r="A5495" s="2">
        <f>IFERROR(__xludf.DUMMYFUNCTION("""COMPUTED_VALUE"""),43773.66666666667)</f>
        <v>43773.66667</v>
      </c>
      <c r="B5495" s="1">
        <f>IFERROR(__xludf.DUMMYFUNCTION("""COMPUTED_VALUE"""),6221.63)</f>
        <v>6221.63</v>
      </c>
    </row>
    <row r="5496">
      <c r="A5496" s="2">
        <f>IFERROR(__xludf.DUMMYFUNCTION("""COMPUTED_VALUE"""),43774.66666666667)</f>
        <v>43774.66667</v>
      </c>
      <c r="B5496" s="1">
        <f>IFERROR(__xludf.DUMMYFUNCTION("""COMPUTED_VALUE"""),6214.28)</f>
        <v>6214.28</v>
      </c>
    </row>
    <row r="5497">
      <c r="A5497" s="2">
        <f>IFERROR(__xludf.DUMMYFUNCTION("""COMPUTED_VALUE"""),43775.66666666667)</f>
        <v>43775.66667</v>
      </c>
      <c r="B5497" s="1">
        <f>IFERROR(__xludf.DUMMYFUNCTION("""COMPUTED_VALUE"""),6219.1)</f>
        <v>6219.1</v>
      </c>
    </row>
    <row r="5498">
      <c r="A5498" s="2">
        <f>IFERROR(__xludf.DUMMYFUNCTION("""COMPUTED_VALUE"""),43776.66666666667)</f>
        <v>43776.66667</v>
      </c>
      <c r="B5498" s="1">
        <f>IFERROR(__xludf.DUMMYFUNCTION("""COMPUTED_VALUE"""),6238.99)</f>
        <v>6238.99</v>
      </c>
    </row>
    <row r="5499">
      <c r="A5499" s="2">
        <f>IFERROR(__xludf.DUMMYFUNCTION("""COMPUTED_VALUE"""),43777.66666666667)</f>
        <v>43777.66667</v>
      </c>
      <c r="B5499" s="1">
        <f>IFERROR(__xludf.DUMMYFUNCTION("""COMPUTED_VALUE"""),6256.11)</f>
        <v>6256.11</v>
      </c>
    </row>
    <row r="5500">
      <c r="A5500" s="2">
        <f>IFERROR(__xludf.DUMMYFUNCTION("""COMPUTED_VALUE"""),43780.66666666667)</f>
        <v>43780.66667</v>
      </c>
      <c r="B5500" s="1">
        <f>IFERROR(__xludf.DUMMYFUNCTION("""COMPUTED_VALUE"""),6243.81)</f>
        <v>6243.81</v>
      </c>
    </row>
    <row r="5501">
      <c r="A5501" s="2">
        <f>IFERROR(__xludf.DUMMYFUNCTION("""COMPUTED_VALUE"""),43781.66666666667)</f>
        <v>43781.66667</v>
      </c>
      <c r="B5501" s="1">
        <f>IFERROR(__xludf.DUMMYFUNCTION("""COMPUTED_VALUE"""),6253.91)</f>
        <v>6253.91</v>
      </c>
    </row>
    <row r="5502">
      <c r="A5502" s="2">
        <f>IFERROR(__xludf.DUMMYFUNCTION("""COMPUTED_VALUE"""),43782.66666666667)</f>
        <v>43782.66667</v>
      </c>
      <c r="B5502" s="1">
        <f>IFERROR(__xludf.DUMMYFUNCTION("""COMPUTED_VALUE"""),6258.58)</f>
        <v>6258.58</v>
      </c>
    </row>
    <row r="5503">
      <c r="A5503" s="2">
        <f>IFERROR(__xludf.DUMMYFUNCTION("""COMPUTED_VALUE"""),43783.66666666667)</f>
        <v>43783.66667</v>
      </c>
      <c r="B5503" s="1">
        <f>IFERROR(__xludf.DUMMYFUNCTION("""COMPUTED_VALUE"""),6265.42)</f>
        <v>6265.42</v>
      </c>
    </row>
    <row r="5504">
      <c r="A5504" s="2">
        <f>IFERROR(__xludf.DUMMYFUNCTION("""COMPUTED_VALUE"""),43784.66666666667)</f>
        <v>43784.66667</v>
      </c>
      <c r="B5504" s="1">
        <f>IFERROR(__xludf.DUMMYFUNCTION("""COMPUTED_VALUE"""),6314.74)</f>
        <v>6314.74</v>
      </c>
    </row>
    <row r="5505">
      <c r="A5505" s="2">
        <f>IFERROR(__xludf.DUMMYFUNCTION("""COMPUTED_VALUE"""),43787.66666666667)</f>
        <v>43787.66667</v>
      </c>
      <c r="B5505" s="1">
        <f>IFERROR(__xludf.DUMMYFUNCTION("""COMPUTED_VALUE"""),6318.02)</f>
        <v>6318.02</v>
      </c>
    </row>
    <row r="5506">
      <c r="A5506" s="2">
        <f>IFERROR(__xludf.DUMMYFUNCTION("""COMPUTED_VALUE"""),43788.66666666667)</f>
        <v>43788.66667</v>
      </c>
      <c r="B5506" s="1">
        <f>IFERROR(__xludf.DUMMYFUNCTION("""COMPUTED_VALUE"""),6314.66)</f>
        <v>6314.66</v>
      </c>
    </row>
    <row r="5507">
      <c r="A5507" s="2">
        <f>IFERROR(__xludf.DUMMYFUNCTION("""COMPUTED_VALUE"""),43789.66666666667)</f>
        <v>43789.66667</v>
      </c>
      <c r="B5507" s="1">
        <f>IFERROR(__xludf.DUMMYFUNCTION("""COMPUTED_VALUE"""),6292.17)</f>
        <v>6292.17</v>
      </c>
    </row>
    <row r="5508">
      <c r="A5508" s="2">
        <f>IFERROR(__xludf.DUMMYFUNCTION("""COMPUTED_VALUE"""),43790.66666666667)</f>
        <v>43790.66667</v>
      </c>
      <c r="B5508" s="1">
        <f>IFERROR(__xludf.DUMMYFUNCTION("""COMPUTED_VALUE"""),6282.59)</f>
        <v>6282.59</v>
      </c>
    </row>
    <row r="5509">
      <c r="A5509" s="2">
        <f>IFERROR(__xludf.DUMMYFUNCTION("""COMPUTED_VALUE"""),43791.66666666667)</f>
        <v>43791.66667</v>
      </c>
      <c r="B5509" s="1">
        <f>IFERROR(__xludf.DUMMYFUNCTION("""COMPUTED_VALUE"""),6296.34)</f>
        <v>6296.34</v>
      </c>
    </row>
    <row r="5510">
      <c r="A5510" s="2">
        <f>IFERROR(__xludf.DUMMYFUNCTION("""COMPUTED_VALUE"""),43794.66666666667)</f>
        <v>43794.66667</v>
      </c>
      <c r="B5510" s="1">
        <f>IFERROR(__xludf.DUMMYFUNCTION("""COMPUTED_VALUE"""),6344.36)</f>
        <v>6344.36</v>
      </c>
    </row>
    <row r="5511">
      <c r="A5511" s="2">
        <f>IFERROR(__xludf.DUMMYFUNCTION("""COMPUTED_VALUE"""),43795.66666666667)</f>
        <v>43795.66667</v>
      </c>
      <c r="B5511" s="1">
        <f>IFERROR(__xludf.DUMMYFUNCTION("""COMPUTED_VALUE"""),6358.46)</f>
        <v>6358.46</v>
      </c>
    </row>
    <row r="5512">
      <c r="A5512" s="2">
        <f>IFERROR(__xludf.DUMMYFUNCTION("""COMPUTED_VALUE"""),43796.66666666667)</f>
        <v>43796.66667</v>
      </c>
      <c r="B5512" s="1">
        <f>IFERROR(__xludf.DUMMYFUNCTION("""COMPUTED_VALUE"""),6385.76)</f>
        <v>6385.76</v>
      </c>
    </row>
    <row r="5513">
      <c r="A5513" s="2">
        <f>IFERROR(__xludf.DUMMYFUNCTION("""COMPUTED_VALUE"""),43798.54166666667)</f>
        <v>43798.54167</v>
      </c>
      <c r="B5513" s="1">
        <f>IFERROR(__xludf.DUMMYFUNCTION("""COMPUTED_VALUE"""),6361.56)</f>
        <v>6361.56</v>
      </c>
    </row>
    <row r="5514">
      <c r="A5514" s="2">
        <f>IFERROR(__xludf.DUMMYFUNCTION("""COMPUTED_VALUE"""),43801.66666666667)</f>
        <v>43801.66667</v>
      </c>
      <c r="B5514" s="1">
        <f>IFERROR(__xludf.DUMMYFUNCTION("""COMPUTED_VALUE"""),6306.88)</f>
        <v>6306.88</v>
      </c>
    </row>
    <row r="5515">
      <c r="A5515" s="2">
        <f>IFERROR(__xludf.DUMMYFUNCTION("""COMPUTED_VALUE"""),43802.66666666667)</f>
        <v>43802.66667</v>
      </c>
      <c r="B5515" s="1">
        <f>IFERROR(__xludf.DUMMYFUNCTION("""COMPUTED_VALUE"""),6265.22)</f>
        <v>6265.22</v>
      </c>
    </row>
    <row r="5516">
      <c r="A5516" s="2">
        <f>IFERROR(__xludf.DUMMYFUNCTION("""COMPUTED_VALUE"""),43803.66666666667)</f>
        <v>43803.66667</v>
      </c>
      <c r="B5516" s="1">
        <f>IFERROR(__xludf.DUMMYFUNCTION("""COMPUTED_VALUE"""),6305.49)</f>
        <v>6305.49</v>
      </c>
    </row>
    <row r="5517">
      <c r="A5517" s="2">
        <f>IFERROR(__xludf.DUMMYFUNCTION("""COMPUTED_VALUE"""),43804.66666666667)</f>
        <v>43804.66667</v>
      </c>
      <c r="B5517" s="1">
        <f>IFERROR(__xludf.DUMMYFUNCTION("""COMPUTED_VALUE"""),6316.69)</f>
        <v>6316.69</v>
      </c>
    </row>
    <row r="5518">
      <c r="A5518" s="2">
        <f>IFERROR(__xludf.DUMMYFUNCTION("""COMPUTED_VALUE"""),43805.66666666667)</f>
        <v>43805.66667</v>
      </c>
      <c r="B5518" s="1">
        <f>IFERROR(__xludf.DUMMYFUNCTION("""COMPUTED_VALUE"""),6374.7)</f>
        <v>6374.7</v>
      </c>
    </row>
    <row r="5519">
      <c r="A5519" s="2">
        <f>IFERROR(__xludf.DUMMYFUNCTION("""COMPUTED_VALUE"""),43808.66666666667)</f>
        <v>43808.66667</v>
      </c>
      <c r="B5519" s="1">
        <f>IFERROR(__xludf.DUMMYFUNCTION("""COMPUTED_VALUE"""),6355.07)</f>
        <v>6355.07</v>
      </c>
    </row>
    <row r="5520">
      <c r="A5520" s="2">
        <f>IFERROR(__xludf.DUMMYFUNCTION("""COMPUTED_VALUE"""),43809.66666666667)</f>
        <v>43809.66667</v>
      </c>
      <c r="B5520" s="1">
        <f>IFERROR(__xludf.DUMMYFUNCTION("""COMPUTED_VALUE"""),6348.31)</f>
        <v>6348.31</v>
      </c>
    </row>
    <row r="5521">
      <c r="A5521" s="2">
        <f>IFERROR(__xludf.DUMMYFUNCTION("""COMPUTED_VALUE"""),43810.66666666667)</f>
        <v>43810.66667</v>
      </c>
      <c r="B5521" s="1">
        <f>IFERROR(__xludf.DUMMYFUNCTION("""COMPUTED_VALUE"""),6366.84)</f>
        <v>6366.84</v>
      </c>
    </row>
    <row r="5522">
      <c r="A5522" s="2">
        <f>IFERROR(__xludf.DUMMYFUNCTION("""COMPUTED_VALUE"""),43811.66666666667)</f>
        <v>43811.66667</v>
      </c>
      <c r="B5522" s="1">
        <f>IFERROR(__xludf.DUMMYFUNCTION("""COMPUTED_VALUE"""),6422.35)</f>
        <v>6422.35</v>
      </c>
    </row>
    <row r="5523">
      <c r="A5523" s="2">
        <f>IFERROR(__xludf.DUMMYFUNCTION("""COMPUTED_VALUE"""),43812.66666666667)</f>
        <v>43812.66667</v>
      </c>
      <c r="B5523" s="1">
        <f>IFERROR(__xludf.DUMMYFUNCTION("""COMPUTED_VALUE"""),6423.93)</f>
        <v>6423.93</v>
      </c>
    </row>
    <row r="5524">
      <c r="A5524" s="2">
        <f>IFERROR(__xludf.DUMMYFUNCTION("""COMPUTED_VALUE"""),43815.66666666667)</f>
        <v>43815.66667</v>
      </c>
      <c r="B5524" s="1">
        <f>IFERROR(__xludf.DUMMYFUNCTION("""COMPUTED_VALUE"""),6470.03)</f>
        <v>6470.03</v>
      </c>
    </row>
    <row r="5525">
      <c r="A5525" s="2">
        <f>IFERROR(__xludf.DUMMYFUNCTION("""COMPUTED_VALUE"""),43816.66666666667)</f>
        <v>43816.66667</v>
      </c>
      <c r="B5525" s="1">
        <f>IFERROR(__xludf.DUMMYFUNCTION("""COMPUTED_VALUE"""),6472.24)</f>
        <v>6472.24</v>
      </c>
    </row>
    <row r="5526">
      <c r="A5526" s="2">
        <f>IFERROR(__xludf.DUMMYFUNCTION("""COMPUTED_VALUE"""),43817.66666666667)</f>
        <v>43817.66667</v>
      </c>
      <c r="B5526" s="1">
        <f>IFERROR(__xludf.DUMMYFUNCTION("""COMPUTED_VALUE"""),6470.0)</f>
        <v>6470</v>
      </c>
    </row>
    <row r="5527">
      <c r="A5527" s="2">
        <f>IFERROR(__xludf.DUMMYFUNCTION("""COMPUTED_VALUE"""),43818.66666666667)</f>
        <v>43818.66667</v>
      </c>
      <c r="B5527" s="1">
        <f>IFERROR(__xludf.DUMMYFUNCTION("""COMPUTED_VALUE"""),6499.26)</f>
        <v>6499.26</v>
      </c>
    </row>
    <row r="5528">
      <c r="A5528" s="2">
        <f>IFERROR(__xludf.DUMMYFUNCTION("""COMPUTED_VALUE"""),43819.66666666667)</f>
        <v>43819.66667</v>
      </c>
      <c r="B5528" s="1">
        <f>IFERROR(__xludf.DUMMYFUNCTION("""COMPUTED_VALUE"""),6531.75)</f>
        <v>6531.75</v>
      </c>
    </row>
    <row r="5529">
      <c r="A5529" s="2">
        <f>IFERROR(__xludf.DUMMYFUNCTION("""COMPUTED_VALUE"""),43822.66666666667)</f>
        <v>43822.66667</v>
      </c>
      <c r="B5529" s="1">
        <f>IFERROR(__xludf.DUMMYFUNCTION("""COMPUTED_VALUE"""),6537.4)</f>
        <v>6537.4</v>
      </c>
    </row>
    <row r="5530">
      <c r="A5530" s="2">
        <f>IFERROR(__xludf.DUMMYFUNCTION("""COMPUTED_VALUE"""),43823.54166666667)</f>
        <v>43823.54167</v>
      </c>
      <c r="B5530" s="1">
        <f>IFERROR(__xludf.DUMMYFUNCTION("""COMPUTED_VALUE"""),6536.58)</f>
        <v>6536.58</v>
      </c>
    </row>
    <row r="5531">
      <c r="A5531" s="2">
        <f>IFERROR(__xludf.DUMMYFUNCTION("""COMPUTED_VALUE"""),43825.66666666667)</f>
        <v>43825.66667</v>
      </c>
      <c r="B5531" s="1">
        <f>IFERROR(__xludf.DUMMYFUNCTION("""COMPUTED_VALUE"""),6570.71)</f>
        <v>6570.71</v>
      </c>
    </row>
    <row r="5532">
      <c r="A5532" s="2">
        <f>IFERROR(__xludf.DUMMYFUNCTION("""COMPUTED_VALUE"""),43826.66666666667)</f>
        <v>43826.66667</v>
      </c>
      <c r="B5532" s="1">
        <f>IFERROR(__xludf.DUMMYFUNCTION("""COMPUTED_VALUE"""),6571.03)</f>
        <v>6571.03</v>
      </c>
    </row>
    <row r="5533">
      <c r="A5533" s="2">
        <f>IFERROR(__xludf.DUMMYFUNCTION("""COMPUTED_VALUE"""),43829.66666666667)</f>
        <v>43829.66667</v>
      </c>
      <c r="B5533" s="1">
        <f>IFERROR(__xludf.DUMMYFUNCTION("""COMPUTED_VALUE"""),6533.91)</f>
        <v>6533.91</v>
      </c>
    </row>
    <row r="5534">
      <c r="A5534" s="2">
        <f>IFERROR(__xludf.DUMMYFUNCTION("""COMPUTED_VALUE"""),43830.66666666667)</f>
        <v>43830.66667</v>
      </c>
      <c r="B5534" s="1">
        <f>IFERROR(__xludf.DUMMYFUNCTION("""COMPUTED_VALUE"""),6553.57)</f>
        <v>6553.57</v>
      </c>
    </row>
    <row r="5535">
      <c r="A5535" s="2">
        <f>IFERROR(__xludf.DUMMYFUNCTION("""COMPUTED_VALUE"""),43832.66666666667)</f>
        <v>43832.66667</v>
      </c>
      <c r="B5535" s="1">
        <f>IFERROR(__xludf.DUMMYFUNCTION("""COMPUTED_VALUE"""),6609.29)</f>
        <v>6609.29</v>
      </c>
    </row>
    <row r="5536">
      <c r="A5536" s="2">
        <f>IFERROR(__xludf.DUMMYFUNCTION("""COMPUTED_VALUE"""),43833.66666666667)</f>
        <v>43833.66667</v>
      </c>
      <c r="B5536" s="1">
        <f>IFERROR(__xludf.DUMMYFUNCTION("""COMPUTED_VALUE"""),6563.32)</f>
        <v>6563.32</v>
      </c>
    </row>
    <row r="5537">
      <c r="A5537" s="2">
        <f>IFERROR(__xludf.DUMMYFUNCTION("""COMPUTED_VALUE"""),43836.66666666667)</f>
        <v>43836.66667</v>
      </c>
      <c r="B5537" s="1">
        <f>IFERROR(__xludf.DUMMYFUNCTION("""COMPUTED_VALUE"""),6586.54)</f>
        <v>6586.54</v>
      </c>
    </row>
    <row r="5538">
      <c r="A5538" s="2">
        <f>IFERROR(__xludf.DUMMYFUNCTION("""COMPUTED_VALUE"""),43837.66666666667)</f>
        <v>43837.66667</v>
      </c>
      <c r="B5538" s="1">
        <f>IFERROR(__xludf.DUMMYFUNCTION("""COMPUTED_VALUE"""),6568.74)</f>
        <v>6568.74</v>
      </c>
    </row>
    <row r="5539">
      <c r="A5539" s="2">
        <f>IFERROR(__xludf.DUMMYFUNCTION("""COMPUTED_VALUE"""),43838.66666666667)</f>
        <v>43838.66667</v>
      </c>
      <c r="B5539" s="1">
        <f>IFERROR(__xludf.DUMMYFUNCTION("""COMPUTED_VALUE"""),6601.15)</f>
        <v>6601.15</v>
      </c>
    </row>
    <row r="5540">
      <c r="A5540" s="2">
        <f>IFERROR(__xludf.DUMMYFUNCTION("""COMPUTED_VALUE"""),43839.66666666667)</f>
        <v>43839.66667</v>
      </c>
      <c r="B5540" s="1">
        <f>IFERROR(__xludf.DUMMYFUNCTION("""COMPUTED_VALUE"""),6646.84)</f>
        <v>6646.84</v>
      </c>
    </row>
    <row r="5541">
      <c r="A5541" s="2">
        <f>IFERROR(__xludf.DUMMYFUNCTION("""COMPUTED_VALUE"""),43840.66666666667)</f>
        <v>43840.66667</v>
      </c>
      <c r="B5541" s="1">
        <f>IFERROR(__xludf.DUMMYFUNCTION("""COMPUTED_VALUE"""),6627.87)</f>
        <v>6627.87</v>
      </c>
    </row>
    <row r="5542">
      <c r="A5542" s="2">
        <f>IFERROR(__xludf.DUMMYFUNCTION("""COMPUTED_VALUE"""),43843.66666666667)</f>
        <v>43843.66667</v>
      </c>
      <c r="B5542" s="1">
        <f>IFERROR(__xludf.DUMMYFUNCTION("""COMPUTED_VALUE"""),6674.13)</f>
        <v>6674.13</v>
      </c>
    </row>
    <row r="5543">
      <c r="A5543" s="2">
        <f>IFERROR(__xludf.DUMMYFUNCTION("""COMPUTED_VALUE"""),43844.66666666667)</f>
        <v>43844.66667</v>
      </c>
      <c r="B5543" s="1">
        <f>IFERROR(__xludf.DUMMYFUNCTION("""COMPUTED_VALUE"""),6664.66)</f>
        <v>6664.66</v>
      </c>
    </row>
    <row r="5544">
      <c r="A5544" s="2">
        <f>IFERROR(__xludf.DUMMYFUNCTION("""COMPUTED_VALUE"""),43845.66666666667)</f>
        <v>43845.66667</v>
      </c>
      <c r="B5544" s="1">
        <f>IFERROR(__xludf.DUMMYFUNCTION("""COMPUTED_VALUE"""),6677.25)</f>
        <v>6677.25</v>
      </c>
    </row>
    <row r="5545">
      <c r="A5545" s="2">
        <f>IFERROR(__xludf.DUMMYFUNCTION("""COMPUTED_VALUE"""),43846.66666666667)</f>
        <v>43846.66667</v>
      </c>
      <c r="B5545" s="1">
        <f>IFERROR(__xludf.DUMMYFUNCTION("""COMPUTED_VALUE"""),6733.35)</f>
        <v>6733.35</v>
      </c>
    </row>
    <row r="5546">
      <c r="A5546" s="2">
        <f>IFERROR(__xludf.DUMMYFUNCTION("""COMPUTED_VALUE"""),43847.66666666667)</f>
        <v>43847.66667</v>
      </c>
      <c r="B5546" s="1">
        <f>IFERROR(__xludf.DUMMYFUNCTION("""COMPUTED_VALUE"""),6759.51)</f>
        <v>6759.51</v>
      </c>
    </row>
    <row r="5547">
      <c r="A5547" s="2">
        <f>IFERROR(__xludf.DUMMYFUNCTION("""COMPUTED_VALUE"""),43851.66666666667)</f>
        <v>43851.66667</v>
      </c>
      <c r="B5547" s="1">
        <f>IFERROR(__xludf.DUMMYFUNCTION("""COMPUTED_VALUE"""),6741.71)</f>
        <v>6741.71</v>
      </c>
    </row>
    <row r="5548">
      <c r="A5548" s="2">
        <f>IFERROR(__xludf.DUMMYFUNCTION("""COMPUTED_VALUE"""),43852.66666666667)</f>
        <v>43852.66667</v>
      </c>
      <c r="B5548" s="1">
        <f>IFERROR(__xludf.DUMMYFUNCTION("""COMPUTED_VALUE"""),6743.9)</f>
        <v>6743.9</v>
      </c>
    </row>
    <row r="5549">
      <c r="A5549" s="2">
        <f>IFERROR(__xludf.DUMMYFUNCTION("""COMPUTED_VALUE"""),43853.66666666667)</f>
        <v>43853.66667</v>
      </c>
      <c r="B5549" s="1">
        <f>IFERROR(__xludf.DUMMYFUNCTION("""COMPUTED_VALUE"""),6752.09)</f>
        <v>6752.09</v>
      </c>
    </row>
    <row r="5550">
      <c r="A5550" s="2">
        <f>IFERROR(__xludf.DUMMYFUNCTION("""COMPUTED_VALUE"""),43854.66666666667)</f>
        <v>43854.66667</v>
      </c>
      <c r="B5550" s="1">
        <f>IFERROR(__xludf.DUMMYFUNCTION("""COMPUTED_VALUE"""),6691.22)</f>
        <v>6691.22</v>
      </c>
    </row>
    <row r="5551">
      <c r="A5551" s="2">
        <f>IFERROR(__xludf.DUMMYFUNCTION("""COMPUTED_VALUE"""),43857.66666666667)</f>
        <v>43857.66667</v>
      </c>
      <c r="B5551" s="1">
        <f>IFERROR(__xludf.DUMMYFUNCTION("""COMPUTED_VALUE"""),6585.95)</f>
        <v>6585.95</v>
      </c>
    </row>
    <row r="5552">
      <c r="A5552" s="2">
        <f>IFERROR(__xludf.DUMMYFUNCTION("""COMPUTED_VALUE"""),43858.66666666667)</f>
        <v>43858.66667</v>
      </c>
      <c r="B5552" s="1">
        <f>IFERROR(__xludf.DUMMYFUNCTION("""COMPUTED_VALUE"""),6652.3)</f>
        <v>6652.3</v>
      </c>
    </row>
    <row r="5553">
      <c r="A5553" s="2">
        <f>IFERROR(__xludf.DUMMYFUNCTION("""COMPUTED_VALUE"""),43859.66666666667)</f>
        <v>43859.66667</v>
      </c>
      <c r="B5553" s="1">
        <f>IFERROR(__xludf.DUMMYFUNCTION("""COMPUTED_VALUE"""),6646.69)</f>
        <v>6646.69</v>
      </c>
    </row>
    <row r="5554">
      <c r="A5554" s="2">
        <f>IFERROR(__xludf.DUMMYFUNCTION("""COMPUTED_VALUE"""),43860.66666666667)</f>
        <v>43860.66667</v>
      </c>
      <c r="B5554" s="1">
        <f>IFERROR(__xludf.DUMMYFUNCTION("""COMPUTED_VALUE"""),6668.52)</f>
        <v>6668.52</v>
      </c>
    </row>
    <row r="5555">
      <c r="A5555" s="2">
        <f>IFERROR(__xludf.DUMMYFUNCTION("""COMPUTED_VALUE"""),43861.66666666667)</f>
        <v>43861.66667</v>
      </c>
      <c r="B5555" s="1">
        <f>IFERROR(__xludf.DUMMYFUNCTION("""COMPUTED_VALUE"""),6551.0)</f>
        <v>6551</v>
      </c>
    </row>
    <row r="5556">
      <c r="A5556" s="2">
        <f>IFERROR(__xludf.DUMMYFUNCTION("""COMPUTED_VALUE"""),43864.66666666667)</f>
        <v>43864.66667</v>
      </c>
      <c r="B5556" s="1">
        <f>IFERROR(__xludf.DUMMYFUNCTION("""COMPUTED_VALUE"""),6598.63)</f>
        <v>6598.63</v>
      </c>
    </row>
    <row r="5557">
      <c r="A5557" s="2">
        <f>IFERROR(__xludf.DUMMYFUNCTION("""COMPUTED_VALUE"""),43865.66666666667)</f>
        <v>43865.66667</v>
      </c>
      <c r="B5557" s="1">
        <f>IFERROR(__xludf.DUMMYFUNCTION("""COMPUTED_VALUE"""),6697.49)</f>
        <v>6697.49</v>
      </c>
    </row>
    <row r="5558">
      <c r="A5558" s="2">
        <f>IFERROR(__xludf.DUMMYFUNCTION("""COMPUTED_VALUE"""),43866.66666666667)</f>
        <v>43866.66667</v>
      </c>
      <c r="B5558" s="1">
        <f>IFERROR(__xludf.DUMMYFUNCTION("""COMPUTED_VALUE"""),6772.98)</f>
        <v>6772.98</v>
      </c>
    </row>
    <row r="5559">
      <c r="A5559" s="2">
        <f>IFERROR(__xludf.DUMMYFUNCTION("""COMPUTED_VALUE"""),43867.66666666667)</f>
        <v>43867.66667</v>
      </c>
      <c r="B5559" s="1">
        <f>IFERROR(__xludf.DUMMYFUNCTION("""COMPUTED_VALUE"""),6796.64)</f>
        <v>6796.64</v>
      </c>
    </row>
    <row r="5560">
      <c r="A5560" s="2">
        <f>IFERROR(__xludf.DUMMYFUNCTION("""COMPUTED_VALUE"""),43868.66666666667)</f>
        <v>43868.66667</v>
      </c>
      <c r="B5560" s="1">
        <f>IFERROR(__xludf.DUMMYFUNCTION("""COMPUTED_VALUE"""),6761.26)</f>
        <v>6761.26</v>
      </c>
    </row>
    <row r="5561">
      <c r="A5561" s="2">
        <f>IFERROR(__xludf.DUMMYFUNCTION("""COMPUTED_VALUE"""),43871.66666666667)</f>
        <v>43871.66667</v>
      </c>
      <c r="B5561" s="1">
        <f>IFERROR(__xludf.DUMMYFUNCTION("""COMPUTED_VALUE"""),6811.83)</f>
        <v>6811.83</v>
      </c>
    </row>
    <row r="5562">
      <c r="A5562" s="2">
        <f>IFERROR(__xludf.DUMMYFUNCTION("""COMPUTED_VALUE"""),43872.66666666667)</f>
        <v>43872.66667</v>
      </c>
      <c r="B5562" s="1">
        <f>IFERROR(__xludf.DUMMYFUNCTION("""COMPUTED_VALUE"""),6823.59)</f>
        <v>6823.59</v>
      </c>
    </row>
    <row r="5563">
      <c r="A5563" s="2">
        <f>IFERROR(__xludf.DUMMYFUNCTION("""COMPUTED_VALUE"""),43873.66666666667)</f>
        <v>43873.66667</v>
      </c>
      <c r="B5563" s="1">
        <f>IFERROR(__xludf.DUMMYFUNCTION("""COMPUTED_VALUE"""),6867.92)</f>
        <v>6867.92</v>
      </c>
    </row>
    <row r="5564">
      <c r="A5564" s="2">
        <f>IFERROR(__xludf.DUMMYFUNCTION("""COMPUTED_VALUE"""),43874.66666666667)</f>
        <v>43874.66667</v>
      </c>
      <c r="B5564" s="1">
        <f>IFERROR(__xludf.DUMMYFUNCTION("""COMPUTED_VALUE"""),6858.92)</f>
        <v>6858.92</v>
      </c>
    </row>
    <row r="5565">
      <c r="A5565" s="2">
        <f>IFERROR(__xludf.DUMMYFUNCTION("""COMPUTED_VALUE"""),43875.66666666667)</f>
        <v>43875.66667</v>
      </c>
      <c r="B5565" s="1">
        <f>IFERROR(__xludf.DUMMYFUNCTION("""COMPUTED_VALUE"""),6872.68)</f>
        <v>6872.68</v>
      </c>
    </row>
    <row r="5566">
      <c r="A5566" s="2">
        <f>IFERROR(__xludf.DUMMYFUNCTION("""COMPUTED_VALUE"""),43879.66666666667)</f>
        <v>43879.66667</v>
      </c>
      <c r="B5566" s="1">
        <f>IFERROR(__xludf.DUMMYFUNCTION("""COMPUTED_VALUE"""),6853.04)</f>
        <v>6853.04</v>
      </c>
    </row>
    <row r="5567">
      <c r="A5567" s="2">
        <f>IFERROR(__xludf.DUMMYFUNCTION("""COMPUTED_VALUE"""),43880.66666666667)</f>
        <v>43880.66667</v>
      </c>
      <c r="B5567" s="1">
        <f>IFERROR(__xludf.DUMMYFUNCTION("""COMPUTED_VALUE"""),6886.47)</f>
        <v>6886.47</v>
      </c>
    </row>
    <row r="5568">
      <c r="A5568" s="2">
        <f>IFERROR(__xludf.DUMMYFUNCTION("""COMPUTED_VALUE"""),43881.66666666667)</f>
        <v>43881.66667</v>
      </c>
      <c r="B5568" s="1">
        <f>IFERROR(__xludf.DUMMYFUNCTION("""COMPUTED_VALUE"""),6860.52)</f>
        <v>6860.52</v>
      </c>
    </row>
    <row r="5569">
      <c r="A5569" s="2">
        <f>IFERROR(__xludf.DUMMYFUNCTION("""COMPUTED_VALUE"""),43882.66666666667)</f>
        <v>43882.66667</v>
      </c>
      <c r="B5569" s="1">
        <f>IFERROR(__xludf.DUMMYFUNCTION("""COMPUTED_VALUE"""),6788.6)</f>
        <v>6788.6</v>
      </c>
    </row>
    <row r="5570">
      <c r="A5570" s="2">
        <f>IFERROR(__xludf.DUMMYFUNCTION("""COMPUTED_VALUE"""),43885.66666666667)</f>
        <v>43885.66667</v>
      </c>
      <c r="B5570" s="1">
        <f>IFERROR(__xludf.DUMMYFUNCTION("""COMPUTED_VALUE"""),6561.94)</f>
        <v>6561.94</v>
      </c>
    </row>
    <row r="5571">
      <c r="A5571" s="2">
        <f>IFERROR(__xludf.DUMMYFUNCTION("""COMPUTED_VALUE"""),43886.66666666667)</f>
        <v>43886.66667</v>
      </c>
      <c r="B5571" s="1">
        <f>IFERROR(__xludf.DUMMYFUNCTION("""COMPUTED_VALUE"""),6363.37)</f>
        <v>6363.37</v>
      </c>
    </row>
    <row r="5572">
      <c r="A5572" s="2">
        <f>IFERROR(__xludf.DUMMYFUNCTION("""COMPUTED_VALUE"""),43887.66666666667)</f>
        <v>43887.66667</v>
      </c>
      <c r="B5572" s="1">
        <f>IFERROR(__xludf.DUMMYFUNCTION("""COMPUTED_VALUE"""),6339.38)</f>
        <v>6339.38</v>
      </c>
    </row>
    <row r="5573">
      <c r="A5573" s="2">
        <f>IFERROR(__xludf.DUMMYFUNCTION("""COMPUTED_VALUE"""),43888.66666666667)</f>
        <v>43888.66667</v>
      </c>
      <c r="B5573" s="1">
        <f>IFERROR(__xludf.DUMMYFUNCTION("""COMPUTED_VALUE"""),6060.67)</f>
        <v>6060.67</v>
      </c>
    </row>
    <row r="5574">
      <c r="A5574" s="2">
        <f>IFERROR(__xludf.DUMMYFUNCTION("""COMPUTED_VALUE"""),43889.66666666667)</f>
        <v>43889.66667</v>
      </c>
      <c r="B5574" s="1">
        <f>IFERROR(__xludf.DUMMYFUNCTION("""COMPUTED_VALUE"""),6011.73)</f>
        <v>6011.73</v>
      </c>
    </row>
    <row r="5575">
      <c r="A5575" s="2">
        <f>IFERROR(__xludf.DUMMYFUNCTION("""COMPUTED_VALUE"""),43892.66666666667)</f>
        <v>43892.66667</v>
      </c>
      <c r="B5575" s="1">
        <f>IFERROR(__xludf.DUMMYFUNCTION("""COMPUTED_VALUE"""),6288.64)</f>
        <v>6288.64</v>
      </c>
    </row>
    <row r="5576">
      <c r="A5576" s="2">
        <f>IFERROR(__xludf.DUMMYFUNCTION("""COMPUTED_VALUE"""),43893.66666666667)</f>
        <v>43893.66667</v>
      </c>
      <c r="B5576" s="1">
        <f>IFERROR(__xludf.DUMMYFUNCTION("""COMPUTED_VALUE"""),6112.07)</f>
        <v>6112.07</v>
      </c>
    </row>
    <row r="5577">
      <c r="A5577" s="2">
        <f>IFERROR(__xludf.DUMMYFUNCTION("""COMPUTED_VALUE"""),43894.66666666667)</f>
        <v>43894.66667</v>
      </c>
      <c r="B5577" s="1">
        <f>IFERROR(__xludf.DUMMYFUNCTION("""COMPUTED_VALUE"""),6370.35)</f>
        <v>6370.35</v>
      </c>
    </row>
    <row r="5578">
      <c r="A5578" s="2">
        <f>IFERROR(__xludf.DUMMYFUNCTION("""COMPUTED_VALUE"""),43895.66666666667)</f>
        <v>43895.66667</v>
      </c>
      <c r="B5578" s="1">
        <f>IFERROR(__xludf.DUMMYFUNCTION("""COMPUTED_VALUE"""),6155.58)</f>
        <v>6155.58</v>
      </c>
    </row>
    <row r="5579">
      <c r="A5579" s="2">
        <f>IFERROR(__xludf.DUMMYFUNCTION("""COMPUTED_VALUE"""),43896.66666666667)</f>
        <v>43896.66667</v>
      </c>
      <c r="B5579" s="1">
        <f>IFERROR(__xludf.DUMMYFUNCTION("""COMPUTED_VALUE"""),6050.8)</f>
        <v>6050.8</v>
      </c>
    </row>
    <row r="5580">
      <c r="A5580" s="2">
        <f>IFERROR(__xludf.DUMMYFUNCTION("""COMPUTED_VALUE"""),43899.66666666667)</f>
        <v>43899.66667</v>
      </c>
      <c r="B5580" s="1">
        <f>IFERROR(__xludf.DUMMYFUNCTION("""COMPUTED_VALUE"""),5591.74)</f>
        <v>5591.74</v>
      </c>
    </row>
    <row r="5581">
      <c r="A5581" s="2">
        <f>IFERROR(__xludf.DUMMYFUNCTION("""COMPUTED_VALUE"""),43900.66666666667)</f>
        <v>43900.66667</v>
      </c>
      <c r="B5581" s="1">
        <f>IFERROR(__xludf.DUMMYFUNCTION("""COMPUTED_VALUE"""),5868.11)</f>
        <v>5868.11</v>
      </c>
    </row>
    <row r="5582">
      <c r="A5582" s="2">
        <f>IFERROR(__xludf.DUMMYFUNCTION("""COMPUTED_VALUE"""),43901.66666666667)</f>
        <v>43901.66667</v>
      </c>
      <c r="B5582" s="1">
        <f>IFERROR(__xludf.DUMMYFUNCTION("""COMPUTED_VALUE"""),5581.76)</f>
        <v>5581.76</v>
      </c>
    </row>
    <row r="5583">
      <c r="A5583" s="2">
        <f>IFERROR(__xludf.DUMMYFUNCTION("""COMPUTED_VALUE"""),43902.66666666667)</f>
        <v>43902.66667</v>
      </c>
      <c r="B5583" s="1">
        <f>IFERROR(__xludf.DUMMYFUNCTION("""COMPUTED_VALUE"""),5051.97)</f>
        <v>5051.97</v>
      </c>
    </row>
    <row r="5584">
      <c r="A5584" s="2">
        <f>IFERROR(__xludf.DUMMYFUNCTION("""COMPUTED_VALUE"""),43903.66666666667)</f>
        <v>43903.66667</v>
      </c>
      <c r="B5584" s="1">
        <f>IFERROR(__xludf.DUMMYFUNCTION("""COMPUTED_VALUE"""),5522.85)</f>
        <v>5522.85</v>
      </c>
    </row>
    <row r="5585">
      <c r="A5585" s="2">
        <f>IFERROR(__xludf.DUMMYFUNCTION("""COMPUTED_VALUE"""),43906.66666666667)</f>
        <v>43906.66667</v>
      </c>
      <c r="B5585" s="1">
        <f>IFERROR(__xludf.DUMMYFUNCTION("""COMPUTED_VALUE"""),4861.22)</f>
        <v>4861.22</v>
      </c>
    </row>
    <row r="5586">
      <c r="A5586" s="2">
        <f>IFERROR(__xludf.DUMMYFUNCTION("""COMPUTED_VALUE"""),43907.66666666667)</f>
        <v>43907.66667</v>
      </c>
      <c r="B5586" s="1">
        <f>IFERROR(__xludf.DUMMYFUNCTION("""COMPUTED_VALUE"""),5152.83)</f>
        <v>5152.83</v>
      </c>
    </row>
    <row r="5587">
      <c r="A5587" s="2">
        <f>IFERROR(__xludf.DUMMYFUNCTION("""COMPUTED_VALUE"""),43908.66666666667)</f>
        <v>43908.66667</v>
      </c>
      <c r="B5587" s="1">
        <f>IFERROR(__xludf.DUMMYFUNCTION("""COMPUTED_VALUE"""),4885.76)</f>
        <v>4885.76</v>
      </c>
    </row>
    <row r="5588">
      <c r="A5588" s="2">
        <f>IFERROR(__xludf.DUMMYFUNCTION("""COMPUTED_VALUE"""),43909.66666666667)</f>
        <v>43909.66667</v>
      </c>
      <c r="B5588" s="1">
        <f>IFERROR(__xludf.DUMMYFUNCTION("""COMPUTED_VALUE"""),4909.13)</f>
        <v>4909.13</v>
      </c>
    </row>
    <row r="5589">
      <c r="A5589" s="2">
        <f>IFERROR(__xludf.DUMMYFUNCTION("""COMPUTED_VALUE"""),43910.66666666667)</f>
        <v>43910.66667</v>
      </c>
      <c r="B5589" s="1">
        <f>IFERROR(__xludf.DUMMYFUNCTION("""COMPUTED_VALUE"""),4697.09)</f>
        <v>4697.09</v>
      </c>
    </row>
    <row r="5590">
      <c r="A5590" s="2">
        <f>IFERROR(__xludf.DUMMYFUNCTION("""COMPUTED_VALUE"""),43913.66666666667)</f>
        <v>43913.66667</v>
      </c>
      <c r="B5590" s="1">
        <f>IFERROR(__xludf.DUMMYFUNCTION("""COMPUTED_VALUE"""),4559.5)</f>
        <v>4559.5</v>
      </c>
    </row>
    <row r="5591">
      <c r="A5591" s="2">
        <f>IFERROR(__xludf.DUMMYFUNCTION("""COMPUTED_VALUE"""),43914.66666666667)</f>
        <v>43914.66667</v>
      </c>
      <c r="B5591" s="1">
        <f>IFERROR(__xludf.DUMMYFUNCTION("""COMPUTED_VALUE"""),4987.8)</f>
        <v>4987.8</v>
      </c>
    </row>
    <row r="5592">
      <c r="A5592" s="2">
        <f>IFERROR(__xludf.DUMMYFUNCTION("""COMPUTED_VALUE"""),43915.66666666667)</f>
        <v>43915.66667</v>
      </c>
      <c r="B5592" s="1">
        <f>IFERROR(__xludf.DUMMYFUNCTION("""COMPUTED_VALUE"""),5045.35)</f>
        <v>5045.35</v>
      </c>
    </row>
    <row r="5593">
      <c r="A5593" s="2">
        <f>IFERROR(__xludf.DUMMYFUNCTION("""COMPUTED_VALUE"""),43916.66666666667)</f>
        <v>43916.66667</v>
      </c>
      <c r="B5593" s="1">
        <f>IFERROR(__xludf.DUMMYFUNCTION("""COMPUTED_VALUE"""),5360.49)</f>
        <v>5360.49</v>
      </c>
    </row>
    <row r="5594">
      <c r="A5594" s="2">
        <f>IFERROR(__xludf.DUMMYFUNCTION("""COMPUTED_VALUE"""),43917.66666666667)</f>
        <v>43917.66667</v>
      </c>
      <c r="B5594" s="1">
        <f>IFERROR(__xludf.DUMMYFUNCTION("""COMPUTED_VALUE"""),5179.92)</f>
        <v>5179.92</v>
      </c>
    </row>
    <row r="5595">
      <c r="A5595" s="2">
        <f>IFERROR(__xludf.DUMMYFUNCTION("""COMPUTED_VALUE"""),43920.66666666667)</f>
        <v>43920.66667</v>
      </c>
      <c r="B5595" s="1">
        <f>IFERROR(__xludf.DUMMYFUNCTION("""COMPUTED_VALUE"""),5354.39)</f>
        <v>5354.39</v>
      </c>
    </row>
    <row r="5596">
      <c r="A5596" s="2">
        <f>IFERROR(__xludf.DUMMYFUNCTION("""COMPUTED_VALUE"""),43921.66666666667)</f>
        <v>43921.66667</v>
      </c>
      <c r="B5596" s="1">
        <f>IFERROR(__xludf.DUMMYFUNCTION("""COMPUTED_VALUE"""),5269.2)</f>
        <v>5269.2</v>
      </c>
    </row>
    <row r="5597">
      <c r="A5597" s="2">
        <f>IFERROR(__xludf.DUMMYFUNCTION("""COMPUTED_VALUE"""),43922.66666666667)</f>
        <v>43922.66667</v>
      </c>
      <c r="B5597" s="1">
        <f>IFERROR(__xludf.DUMMYFUNCTION("""COMPUTED_VALUE"""),5036.64)</f>
        <v>5036.64</v>
      </c>
    </row>
    <row r="5598">
      <c r="A5598" s="2">
        <f>IFERROR(__xludf.DUMMYFUNCTION("""COMPUTED_VALUE"""),43923.66666666667)</f>
        <v>43923.66667</v>
      </c>
      <c r="B5598" s="1">
        <f>IFERROR(__xludf.DUMMYFUNCTION("""COMPUTED_VALUE"""),5152.47)</f>
        <v>5152.47</v>
      </c>
    </row>
    <row r="5599">
      <c r="A5599" s="2">
        <f>IFERROR(__xludf.DUMMYFUNCTION("""COMPUTED_VALUE"""),43924.66666666667)</f>
        <v>43924.66667</v>
      </c>
      <c r="B5599" s="1">
        <f>IFERROR(__xludf.DUMMYFUNCTION("""COMPUTED_VALUE"""),5075.16)</f>
        <v>5075.16</v>
      </c>
    </row>
    <row r="5600">
      <c r="A5600" s="2">
        <f>IFERROR(__xludf.DUMMYFUNCTION("""COMPUTED_VALUE"""),43927.66666666667)</f>
        <v>43927.66667</v>
      </c>
      <c r="B5600" s="1">
        <f>IFERROR(__xludf.DUMMYFUNCTION("""COMPUTED_VALUE"""),5432.17)</f>
        <v>5432.17</v>
      </c>
    </row>
    <row r="5601">
      <c r="A5601" s="2">
        <f>IFERROR(__xludf.DUMMYFUNCTION("""COMPUTED_VALUE"""),43928.66666666667)</f>
        <v>43928.66667</v>
      </c>
      <c r="B5601" s="1">
        <f>IFERROR(__xludf.DUMMYFUNCTION("""COMPUTED_VALUE"""),5423.52)</f>
        <v>5423.52</v>
      </c>
    </row>
    <row r="5602">
      <c r="A5602" s="2">
        <f>IFERROR(__xludf.DUMMYFUNCTION("""COMPUTED_VALUE"""),43929.66666666667)</f>
        <v>43929.66667</v>
      </c>
      <c r="B5602" s="1">
        <f>IFERROR(__xludf.DUMMYFUNCTION("""COMPUTED_VALUE"""),5609.55)</f>
        <v>5609.55</v>
      </c>
    </row>
    <row r="5603">
      <c r="A5603" s="2">
        <f>IFERROR(__xludf.DUMMYFUNCTION("""COMPUTED_VALUE"""),43930.66666666667)</f>
        <v>43930.66667</v>
      </c>
      <c r="B5603" s="1">
        <f>IFERROR(__xludf.DUMMYFUNCTION("""COMPUTED_VALUE"""),5691.54)</f>
        <v>5691.54</v>
      </c>
    </row>
    <row r="5604">
      <c r="A5604" s="2">
        <f>IFERROR(__xludf.DUMMYFUNCTION("""COMPUTED_VALUE"""),43934.66666666667)</f>
        <v>43934.66667</v>
      </c>
      <c r="B5604" s="1">
        <f>IFERROR(__xludf.DUMMYFUNCTION("""COMPUTED_VALUE"""),5634.15)</f>
        <v>5634.15</v>
      </c>
    </row>
    <row r="5605">
      <c r="A5605" s="2">
        <f>IFERROR(__xludf.DUMMYFUNCTION("""COMPUTED_VALUE"""),43935.66666666667)</f>
        <v>43935.66667</v>
      </c>
      <c r="B5605" s="1">
        <f>IFERROR(__xludf.DUMMYFUNCTION("""COMPUTED_VALUE"""),5807.1)</f>
        <v>5807.1</v>
      </c>
    </row>
    <row r="5606">
      <c r="A5606" s="2">
        <f>IFERROR(__xludf.DUMMYFUNCTION("""COMPUTED_VALUE"""),43936.66666666667)</f>
        <v>43936.66667</v>
      </c>
      <c r="B5606" s="1">
        <f>IFERROR(__xludf.DUMMYFUNCTION("""COMPUTED_VALUE"""),5679.53)</f>
        <v>5679.53</v>
      </c>
    </row>
    <row r="5607">
      <c r="A5607" s="2">
        <f>IFERROR(__xludf.DUMMYFUNCTION("""COMPUTED_VALUE"""),43937.66666666667)</f>
        <v>43937.66667</v>
      </c>
      <c r="B5607" s="1">
        <f>IFERROR(__xludf.DUMMYFUNCTION("""COMPUTED_VALUE"""),5712.6)</f>
        <v>5712.6</v>
      </c>
    </row>
    <row r="5608">
      <c r="A5608" s="2">
        <f>IFERROR(__xludf.DUMMYFUNCTION("""COMPUTED_VALUE"""),43938.66666666667)</f>
        <v>43938.66667</v>
      </c>
      <c r="B5608" s="1">
        <f>IFERROR(__xludf.DUMMYFUNCTION("""COMPUTED_VALUE"""),5865.9)</f>
        <v>5865.9</v>
      </c>
    </row>
    <row r="5609">
      <c r="A5609" s="2">
        <f>IFERROR(__xludf.DUMMYFUNCTION("""COMPUTED_VALUE"""),43941.66666666667)</f>
        <v>43941.66667</v>
      </c>
      <c r="B5609" s="1">
        <f>IFERROR(__xludf.DUMMYFUNCTION("""COMPUTED_VALUE"""),5761.0)</f>
        <v>5761</v>
      </c>
    </row>
    <row r="5610">
      <c r="A5610" s="2">
        <f>IFERROR(__xludf.DUMMYFUNCTION("""COMPUTED_VALUE"""),43942.66666666667)</f>
        <v>43942.66667</v>
      </c>
      <c r="B5610" s="1">
        <f>IFERROR(__xludf.DUMMYFUNCTION("""COMPUTED_VALUE"""),5584.44)</f>
        <v>5584.44</v>
      </c>
    </row>
    <row r="5611">
      <c r="A5611" s="2">
        <f>IFERROR(__xludf.DUMMYFUNCTION("""COMPUTED_VALUE"""),43943.66666666667)</f>
        <v>43943.66667</v>
      </c>
      <c r="B5611" s="1">
        <f>IFERROR(__xludf.DUMMYFUNCTION("""COMPUTED_VALUE"""),5712.65)</f>
        <v>5712.65</v>
      </c>
    </row>
    <row r="5612">
      <c r="A5612" s="2">
        <f>IFERROR(__xludf.DUMMYFUNCTION("""COMPUTED_VALUE"""),43944.66666666667)</f>
        <v>43944.66667</v>
      </c>
      <c r="B5612" s="1">
        <f>IFERROR(__xludf.DUMMYFUNCTION("""COMPUTED_VALUE"""),5710.04)</f>
        <v>5710.04</v>
      </c>
    </row>
    <row r="5613">
      <c r="A5613" s="2">
        <f>IFERROR(__xludf.DUMMYFUNCTION("""COMPUTED_VALUE"""),43945.66666666667)</f>
        <v>43945.66667</v>
      </c>
      <c r="B5613" s="1">
        <f>IFERROR(__xludf.DUMMYFUNCTION("""COMPUTED_VALUE"""),5789.65)</f>
        <v>5789.65</v>
      </c>
    </row>
    <row r="5614">
      <c r="A5614" s="2">
        <f>IFERROR(__xludf.DUMMYFUNCTION("""COMPUTED_VALUE"""),43948.66666666667)</f>
        <v>43948.66667</v>
      </c>
      <c r="B5614" s="1">
        <f>IFERROR(__xludf.DUMMYFUNCTION("""COMPUTED_VALUE"""),5874.94)</f>
        <v>5874.94</v>
      </c>
    </row>
    <row r="5615">
      <c r="A5615" s="2">
        <f>IFERROR(__xludf.DUMMYFUNCTION("""COMPUTED_VALUE"""),43949.66666666667)</f>
        <v>43949.66667</v>
      </c>
      <c r="B5615" s="1">
        <f>IFERROR(__xludf.DUMMYFUNCTION("""COMPUTED_VALUE"""),5844.18)</f>
        <v>5844.18</v>
      </c>
    </row>
    <row r="5616">
      <c r="A5616" s="2">
        <f>IFERROR(__xludf.DUMMYFUNCTION("""COMPUTED_VALUE"""),43950.66666666667)</f>
        <v>43950.66667</v>
      </c>
      <c r="B5616" s="1">
        <f>IFERROR(__xludf.DUMMYFUNCTION("""COMPUTED_VALUE"""),5999.74)</f>
        <v>5999.74</v>
      </c>
    </row>
    <row r="5617">
      <c r="A5617" s="2">
        <f>IFERROR(__xludf.DUMMYFUNCTION("""COMPUTED_VALUE"""),43951.66666666667)</f>
        <v>43951.66667</v>
      </c>
      <c r="B5617" s="1">
        <f>IFERROR(__xludf.DUMMYFUNCTION("""COMPUTED_VALUE"""),5944.68)</f>
        <v>5944.68</v>
      </c>
    </row>
    <row r="5618">
      <c r="A5618" s="2">
        <f>IFERROR(__xludf.DUMMYFUNCTION("""COMPUTED_VALUE"""),43952.66666666667)</f>
        <v>43952.66667</v>
      </c>
      <c r="B5618" s="1">
        <f>IFERROR(__xludf.DUMMYFUNCTION("""COMPUTED_VALUE"""),5778.53)</f>
        <v>5778.53</v>
      </c>
    </row>
    <row r="5619">
      <c r="A5619" s="2">
        <f>IFERROR(__xludf.DUMMYFUNCTION("""COMPUTED_VALUE"""),43955.66666666667)</f>
        <v>43955.66667</v>
      </c>
      <c r="B5619" s="1">
        <f>IFERROR(__xludf.DUMMYFUNCTION("""COMPUTED_VALUE"""),5803.12)</f>
        <v>5803.12</v>
      </c>
    </row>
    <row r="5620">
      <c r="A5620" s="2">
        <f>IFERROR(__xludf.DUMMYFUNCTION("""COMPUTED_VALUE"""),43956.66666666667)</f>
        <v>43956.66667</v>
      </c>
      <c r="B5620" s="1">
        <f>IFERROR(__xludf.DUMMYFUNCTION("""COMPUTED_VALUE"""),5855.58)</f>
        <v>5855.58</v>
      </c>
    </row>
    <row r="5621">
      <c r="A5621" s="2">
        <f>IFERROR(__xludf.DUMMYFUNCTION("""COMPUTED_VALUE"""),43957.66666666667)</f>
        <v>43957.66667</v>
      </c>
      <c r="B5621" s="1">
        <f>IFERROR(__xludf.DUMMYFUNCTION("""COMPUTED_VALUE"""),5815.17)</f>
        <v>5815.17</v>
      </c>
    </row>
    <row r="5622">
      <c r="A5622" s="2">
        <f>IFERROR(__xludf.DUMMYFUNCTION("""COMPUTED_VALUE"""),43958.66666666667)</f>
        <v>43958.66667</v>
      </c>
      <c r="B5622" s="1">
        <f>IFERROR(__xludf.DUMMYFUNCTION("""COMPUTED_VALUE"""),5884.14)</f>
        <v>5884.14</v>
      </c>
    </row>
    <row r="5623">
      <c r="A5623" s="2">
        <f>IFERROR(__xludf.DUMMYFUNCTION("""COMPUTED_VALUE"""),43959.66666666667)</f>
        <v>43959.66667</v>
      </c>
      <c r="B5623" s="1">
        <f>IFERROR(__xludf.DUMMYFUNCTION("""COMPUTED_VALUE"""),5984.55)</f>
        <v>5984.55</v>
      </c>
    </row>
    <row r="5624">
      <c r="A5624" s="2">
        <f>IFERROR(__xludf.DUMMYFUNCTION("""COMPUTED_VALUE"""),43962.66666666667)</f>
        <v>43962.66667</v>
      </c>
      <c r="B5624" s="1">
        <f>IFERROR(__xludf.DUMMYFUNCTION("""COMPUTED_VALUE"""),5985.66)</f>
        <v>5985.66</v>
      </c>
    </row>
    <row r="5625">
      <c r="A5625" s="2">
        <f>IFERROR(__xludf.DUMMYFUNCTION("""COMPUTED_VALUE"""),43963.66666666667)</f>
        <v>43963.66667</v>
      </c>
      <c r="B5625" s="1">
        <f>IFERROR(__xludf.DUMMYFUNCTION("""COMPUTED_VALUE"""),5863.68)</f>
        <v>5863.68</v>
      </c>
    </row>
    <row r="5626">
      <c r="A5626" s="2">
        <f>IFERROR(__xludf.DUMMYFUNCTION("""COMPUTED_VALUE"""),43964.66666666667)</f>
        <v>43964.66667</v>
      </c>
      <c r="B5626" s="1">
        <f>IFERROR(__xludf.DUMMYFUNCTION("""COMPUTED_VALUE"""),5761.7)</f>
        <v>5761.7</v>
      </c>
    </row>
    <row r="5627">
      <c r="A5627" s="2">
        <f>IFERROR(__xludf.DUMMYFUNCTION("""COMPUTED_VALUE"""),43965.66666666667)</f>
        <v>43965.66667</v>
      </c>
      <c r="B5627" s="1">
        <f>IFERROR(__xludf.DUMMYFUNCTION("""COMPUTED_VALUE"""),5829.33)</f>
        <v>5829.33</v>
      </c>
    </row>
    <row r="5628">
      <c r="A5628" s="2">
        <f>IFERROR(__xludf.DUMMYFUNCTION("""COMPUTED_VALUE"""),43966.66666666667)</f>
        <v>43966.66667</v>
      </c>
      <c r="B5628" s="1">
        <f>IFERROR(__xludf.DUMMYFUNCTION("""COMPUTED_VALUE"""),5852.84)</f>
        <v>5852.84</v>
      </c>
    </row>
    <row r="5629">
      <c r="A5629" s="2">
        <f>IFERROR(__xludf.DUMMYFUNCTION("""COMPUTED_VALUE"""),43969.66666666667)</f>
        <v>43969.66667</v>
      </c>
      <c r="B5629" s="1">
        <f>IFERROR(__xludf.DUMMYFUNCTION("""COMPUTED_VALUE"""),6037.9)</f>
        <v>6037.9</v>
      </c>
    </row>
    <row r="5630">
      <c r="A5630" s="2">
        <f>IFERROR(__xludf.DUMMYFUNCTION("""COMPUTED_VALUE"""),43970.66666666667)</f>
        <v>43970.66667</v>
      </c>
      <c r="B5630" s="1">
        <f>IFERROR(__xludf.DUMMYFUNCTION("""COMPUTED_VALUE"""),5975.15)</f>
        <v>5975.15</v>
      </c>
    </row>
    <row r="5631">
      <c r="A5631" s="2">
        <f>IFERROR(__xludf.DUMMYFUNCTION("""COMPUTED_VALUE"""),43971.66666666667)</f>
        <v>43971.66667</v>
      </c>
      <c r="B5631" s="1">
        <f>IFERROR(__xludf.DUMMYFUNCTION("""COMPUTED_VALUE"""),6075.76)</f>
        <v>6075.76</v>
      </c>
    </row>
    <row r="5632">
      <c r="A5632" s="2">
        <f>IFERROR(__xludf.DUMMYFUNCTION("""COMPUTED_VALUE"""),43972.66666666667)</f>
        <v>43972.66667</v>
      </c>
      <c r="B5632" s="1">
        <f>IFERROR(__xludf.DUMMYFUNCTION("""COMPUTED_VALUE"""),6028.93)</f>
        <v>6028.93</v>
      </c>
    </row>
    <row r="5633">
      <c r="A5633" s="2">
        <f>IFERROR(__xludf.DUMMYFUNCTION("""COMPUTED_VALUE"""),43973.66666666667)</f>
        <v>43973.66667</v>
      </c>
      <c r="B5633" s="1">
        <f>IFERROR(__xludf.DUMMYFUNCTION("""COMPUTED_VALUE"""),6044.16)</f>
        <v>6044.16</v>
      </c>
    </row>
    <row r="5634">
      <c r="A5634" s="2">
        <f>IFERROR(__xludf.DUMMYFUNCTION("""COMPUTED_VALUE"""),43977.66666666667)</f>
        <v>43977.66667</v>
      </c>
      <c r="B5634" s="1">
        <f>IFERROR(__xludf.DUMMYFUNCTION("""COMPUTED_VALUE"""),6118.54)</f>
        <v>6118.54</v>
      </c>
    </row>
    <row r="5635">
      <c r="A5635" s="2">
        <f>IFERROR(__xludf.DUMMYFUNCTION("""COMPUTED_VALUE"""),43978.66666666667)</f>
        <v>43978.66667</v>
      </c>
      <c r="B5635" s="1">
        <f>IFERROR(__xludf.DUMMYFUNCTION("""COMPUTED_VALUE"""),6209.38)</f>
        <v>6209.38</v>
      </c>
    </row>
    <row r="5636">
      <c r="A5636" s="2">
        <f>IFERROR(__xludf.DUMMYFUNCTION("""COMPUTED_VALUE"""),43979.66666666667)</f>
        <v>43979.66667</v>
      </c>
      <c r="B5636" s="1">
        <f>IFERROR(__xludf.DUMMYFUNCTION("""COMPUTED_VALUE"""),6197.02)</f>
        <v>6197.02</v>
      </c>
    </row>
    <row r="5637">
      <c r="A5637" s="2">
        <f>IFERROR(__xludf.DUMMYFUNCTION("""COMPUTED_VALUE"""),43980.66666666667)</f>
        <v>43980.66667</v>
      </c>
      <c r="B5637" s="1">
        <f>IFERROR(__xludf.DUMMYFUNCTION("""COMPUTED_VALUE"""),6227.81)</f>
        <v>6227.81</v>
      </c>
    </row>
    <row r="5638">
      <c r="A5638" s="2">
        <f>IFERROR(__xludf.DUMMYFUNCTION("""COMPUTED_VALUE"""),43983.66666666667)</f>
        <v>43983.66667</v>
      </c>
      <c r="B5638" s="1">
        <f>IFERROR(__xludf.DUMMYFUNCTION("""COMPUTED_VALUE"""),6251.48)</f>
        <v>6251.48</v>
      </c>
    </row>
    <row r="5639">
      <c r="A5639" s="2">
        <f>IFERROR(__xludf.DUMMYFUNCTION("""COMPUTED_VALUE"""),43984.66666666667)</f>
        <v>43984.66667</v>
      </c>
      <c r="B5639" s="1">
        <f>IFERROR(__xludf.DUMMYFUNCTION("""COMPUTED_VALUE"""),6303.0)</f>
        <v>6303</v>
      </c>
    </row>
    <row r="5640">
      <c r="A5640" s="2">
        <f>IFERROR(__xludf.DUMMYFUNCTION("""COMPUTED_VALUE"""),43985.66666666667)</f>
        <v>43985.66667</v>
      </c>
      <c r="B5640" s="1">
        <f>IFERROR(__xludf.DUMMYFUNCTION("""COMPUTED_VALUE"""),6389.67)</f>
        <v>6389.67</v>
      </c>
    </row>
    <row r="5641">
      <c r="A5641" s="2">
        <f>IFERROR(__xludf.DUMMYFUNCTION("""COMPUTED_VALUE"""),43986.66666666667)</f>
        <v>43986.66667</v>
      </c>
      <c r="B5641" s="1">
        <f>IFERROR(__xludf.DUMMYFUNCTION("""COMPUTED_VALUE"""),6369.54)</f>
        <v>6369.54</v>
      </c>
    </row>
    <row r="5642">
      <c r="A5642" s="2">
        <f>IFERROR(__xludf.DUMMYFUNCTION("""COMPUTED_VALUE"""),43987.66666666667)</f>
        <v>43987.66667</v>
      </c>
      <c r="B5642" s="1">
        <f>IFERROR(__xludf.DUMMYFUNCTION("""COMPUTED_VALUE"""),6536.58)</f>
        <v>6536.58</v>
      </c>
    </row>
    <row r="5643">
      <c r="A5643" s="2">
        <f>IFERROR(__xludf.DUMMYFUNCTION("""COMPUTED_VALUE"""),43990.66666666667)</f>
        <v>43990.66667</v>
      </c>
      <c r="B5643" s="1">
        <f>IFERROR(__xludf.DUMMYFUNCTION("""COMPUTED_VALUE"""),6615.4)</f>
        <v>6615.4</v>
      </c>
    </row>
    <row r="5644">
      <c r="A5644" s="2">
        <f>IFERROR(__xludf.DUMMYFUNCTION("""COMPUTED_VALUE"""),43991.66666666667)</f>
        <v>43991.66667</v>
      </c>
      <c r="B5644" s="1">
        <f>IFERROR(__xludf.DUMMYFUNCTION("""COMPUTED_VALUE"""),6564.27)</f>
        <v>6564.27</v>
      </c>
    </row>
    <row r="5645">
      <c r="A5645" s="2">
        <f>IFERROR(__xludf.DUMMYFUNCTION("""COMPUTED_VALUE"""),43992.66666666667)</f>
        <v>43992.66667</v>
      </c>
      <c r="B5645" s="1">
        <f>IFERROR(__xludf.DUMMYFUNCTION("""COMPUTED_VALUE"""),6529.42)</f>
        <v>6529.42</v>
      </c>
    </row>
    <row r="5646">
      <c r="A5646" s="2">
        <f>IFERROR(__xludf.DUMMYFUNCTION("""COMPUTED_VALUE"""),43993.66666666667)</f>
        <v>43993.66667</v>
      </c>
      <c r="B5646" s="1">
        <f>IFERROR(__xludf.DUMMYFUNCTION("""COMPUTED_VALUE"""),6145.3)</f>
        <v>6145.3</v>
      </c>
    </row>
    <row r="5647">
      <c r="A5647" s="2">
        <f>IFERROR(__xludf.DUMMYFUNCTION("""COMPUTED_VALUE"""),43994.66666666667)</f>
        <v>43994.66667</v>
      </c>
      <c r="B5647" s="1">
        <f>IFERROR(__xludf.DUMMYFUNCTION("""COMPUTED_VALUE"""),6227.42)</f>
        <v>6227.42</v>
      </c>
    </row>
    <row r="5648">
      <c r="A5648" s="2">
        <f>IFERROR(__xludf.DUMMYFUNCTION("""COMPUTED_VALUE"""),43997.66666666667)</f>
        <v>43997.66667</v>
      </c>
      <c r="B5648" s="1">
        <f>IFERROR(__xludf.DUMMYFUNCTION("""COMPUTED_VALUE"""),6279.4)</f>
        <v>6279.4</v>
      </c>
    </row>
    <row r="5649">
      <c r="A5649" s="2">
        <f>IFERROR(__xludf.DUMMYFUNCTION("""COMPUTED_VALUE"""),43998.66666666667)</f>
        <v>43998.66667</v>
      </c>
      <c r="B5649" s="1">
        <f>IFERROR(__xludf.DUMMYFUNCTION("""COMPUTED_VALUE"""),6398.58)</f>
        <v>6398.58</v>
      </c>
    </row>
    <row r="5650">
      <c r="A5650" s="2">
        <f>IFERROR(__xludf.DUMMYFUNCTION("""COMPUTED_VALUE"""),43999.66666666667)</f>
        <v>43999.66667</v>
      </c>
      <c r="B5650" s="1">
        <f>IFERROR(__xludf.DUMMYFUNCTION("""COMPUTED_VALUE"""),6375.54)</f>
        <v>6375.54</v>
      </c>
    </row>
    <row r="5651">
      <c r="A5651" s="2">
        <f>IFERROR(__xludf.DUMMYFUNCTION("""COMPUTED_VALUE"""),44000.66666666667)</f>
        <v>44000.66667</v>
      </c>
      <c r="B5651" s="1">
        <f>IFERROR(__xludf.DUMMYFUNCTION("""COMPUTED_VALUE"""),6379.56)</f>
        <v>6379.56</v>
      </c>
    </row>
    <row r="5652">
      <c r="A5652" s="2">
        <f>IFERROR(__xludf.DUMMYFUNCTION("""COMPUTED_VALUE"""),44001.66666666667)</f>
        <v>44001.66667</v>
      </c>
      <c r="B5652" s="1">
        <f>IFERROR(__xludf.DUMMYFUNCTION("""COMPUTED_VALUE"""),6344.7)</f>
        <v>6344.7</v>
      </c>
    </row>
    <row r="5653">
      <c r="A5653" s="2">
        <f>IFERROR(__xludf.DUMMYFUNCTION("""COMPUTED_VALUE"""),44004.66666666667)</f>
        <v>44004.66667</v>
      </c>
      <c r="B5653" s="1">
        <f>IFERROR(__xludf.DUMMYFUNCTION("""COMPUTED_VALUE"""),6385.91)</f>
        <v>6385.91</v>
      </c>
    </row>
    <row r="5654">
      <c r="A5654" s="2">
        <f>IFERROR(__xludf.DUMMYFUNCTION("""COMPUTED_VALUE"""),44005.66666666667)</f>
        <v>44005.66667</v>
      </c>
      <c r="B5654" s="1">
        <f>IFERROR(__xludf.DUMMYFUNCTION("""COMPUTED_VALUE"""),6413.44)</f>
        <v>6413.44</v>
      </c>
    </row>
    <row r="5655">
      <c r="A5655" s="2">
        <f>IFERROR(__xludf.DUMMYFUNCTION("""COMPUTED_VALUE"""),44006.66666666667)</f>
        <v>44006.66667</v>
      </c>
      <c r="B5655" s="1">
        <f>IFERROR(__xludf.DUMMYFUNCTION("""COMPUTED_VALUE"""),6247.66)</f>
        <v>6247.66</v>
      </c>
    </row>
    <row r="5656">
      <c r="A5656" s="2">
        <f>IFERROR(__xludf.DUMMYFUNCTION("""COMPUTED_VALUE"""),44007.66666666667)</f>
        <v>44007.66667</v>
      </c>
      <c r="B5656" s="1">
        <f>IFERROR(__xludf.DUMMYFUNCTION("""COMPUTED_VALUE"""),6316.45)</f>
        <v>6316.45</v>
      </c>
    </row>
    <row r="5657">
      <c r="A5657" s="2">
        <f>IFERROR(__xludf.DUMMYFUNCTION("""COMPUTED_VALUE"""),44008.66666666667)</f>
        <v>44008.66667</v>
      </c>
      <c r="B5657" s="1">
        <f>IFERROR(__xludf.DUMMYFUNCTION("""COMPUTED_VALUE"""),6163.5)</f>
        <v>6163.5</v>
      </c>
    </row>
    <row r="5658">
      <c r="A5658" s="2">
        <f>IFERROR(__xludf.DUMMYFUNCTION("""COMPUTED_VALUE"""),44011.66666666667)</f>
        <v>44011.66667</v>
      </c>
      <c r="B5658" s="1">
        <f>IFERROR(__xludf.DUMMYFUNCTION("""COMPUTED_VALUE"""),6254.78)</f>
        <v>6254.78</v>
      </c>
    </row>
    <row r="5659">
      <c r="A5659" s="2">
        <f>IFERROR(__xludf.DUMMYFUNCTION("""COMPUTED_VALUE"""),44012.66666666667)</f>
        <v>44012.66667</v>
      </c>
      <c r="B5659" s="1">
        <f>IFERROR(__xludf.DUMMYFUNCTION("""COMPUTED_VALUE"""),6351.67)</f>
        <v>6351.67</v>
      </c>
    </row>
    <row r="5660">
      <c r="A5660" s="2">
        <f>IFERROR(__xludf.DUMMYFUNCTION("""COMPUTED_VALUE"""),44013.66666666667)</f>
        <v>44013.66667</v>
      </c>
      <c r="B5660" s="1">
        <f>IFERROR(__xludf.DUMMYFUNCTION("""COMPUTED_VALUE"""),6383.76)</f>
        <v>6383.76</v>
      </c>
    </row>
    <row r="5661">
      <c r="A5661" s="2">
        <f>IFERROR(__xludf.DUMMYFUNCTION("""COMPUTED_VALUE"""),44014.66666666667)</f>
        <v>44014.66667</v>
      </c>
      <c r="B5661" s="1">
        <f>IFERROR(__xludf.DUMMYFUNCTION("""COMPUTED_VALUE"""),6414.16)</f>
        <v>6414.16</v>
      </c>
    </row>
    <row r="5662">
      <c r="A5662" s="2">
        <f>IFERROR(__xludf.DUMMYFUNCTION("""COMPUTED_VALUE"""),44018.66666666667)</f>
        <v>44018.66667</v>
      </c>
      <c r="B5662" s="1">
        <f>IFERROR(__xludf.DUMMYFUNCTION("""COMPUTED_VALUE"""),6516.05)</f>
        <v>6516.05</v>
      </c>
    </row>
    <row r="5663">
      <c r="A5663" s="2">
        <f>IFERROR(__xludf.DUMMYFUNCTION("""COMPUTED_VALUE"""),44019.66666666667)</f>
        <v>44019.66667</v>
      </c>
      <c r="B5663" s="1">
        <f>IFERROR(__xludf.DUMMYFUNCTION("""COMPUTED_VALUE"""),6445.59)</f>
        <v>6445.59</v>
      </c>
    </row>
    <row r="5664">
      <c r="A5664" s="2">
        <f>IFERROR(__xludf.DUMMYFUNCTION("""COMPUTED_VALUE"""),44020.66666666667)</f>
        <v>44020.66667</v>
      </c>
      <c r="B5664" s="1">
        <f>IFERROR(__xludf.DUMMYFUNCTION("""COMPUTED_VALUE"""),6496.14)</f>
        <v>6496.14</v>
      </c>
    </row>
    <row r="5665">
      <c r="A5665" s="2">
        <f>IFERROR(__xludf.DUMMYFUNCTION("""COMPUTED_VALUE"""),44021.66666666667)</f>
        <v>44021.66667</v>
      </c>
      <c r="B5665" s="1">
        <f>IFERROR(__xludf.DUMMYFUNCTION("""COMPUTED_VALUE"""),6461.31)</f>
        <v>6461.31</v>
      </c>
    </row>
    <row r="5666">
      <c r="A5666" s="2">
        <f>IFERROR(__xludf.DUMMYFUNCTION("""COMPUTED_VALUE"""),44022.66666666667)</f>
        <v>44022.66667</v>
      </c>
      <c r="B5666" s="1">
        <f>IFERROR(__xludf.DUMMYFUNCTION("""COMPUTED_VALUE"""),6528.96)</f>
        <v>6528.96</v>
      </c>
    </row>
    <row r="5667">
      <c r="A5667" s="2">
        <f>IFERROR(__xludf.DUMMYFUNCTION("""COMPUTED_VALUE"""),44025.66666666667)</f>
        <v>44025.66667</v>
      </c>
      <c r="B5667" s="1">
        <f>IFERROR(__xludf.DUMMYFUNCTION("""COMPUTED_VALUE"""),6467.84)</f>
        <v>6467.84</v>
      </c>
    </row>
    <row r="5668">
      <c r="A5668" s="2">
        <f>IFERROR(__xludf.DUMMYFUNCTION("""COMPUTED_VALUE"""),44026.66666666667)</f>
        <v>44026.66667</v>
      </c>
      <c r="B5668" s="1">
        <f>IFERROR(__xludf.DUMMYFUNCTION("""COMPUTED_VALUE"""),6555.4)</f>
        <v>6555.4</v>
      </c>
    </row>
    <row r="5669">
      <c r="A5669" s="2">
        <f>IFERROR(__xludf.DUMMYFUNCTION("""COMPUTED_VALUE"""),44027.66666666667)</f>
        <v>44027.66667</v>
      </c>
      <c r="B5669" s="1">
        <f>IFERROR(__xludf.DUMMYFUNCTION("""COMPUTED_VALUE"""),6615.07)</f>
        <v>6615.07</v>
      </c>
    </row>
    <row r="5670">
      <c r="A5670" s="2">
        <f>IFERROR(__xludf.DUMMYFUNCTION("""COMPUTED_VALUE"""),44028.66666666667)</f>
        <v>44028.66667</v>
      </c>
      <c r="B5670" s="1">
        <f>IFERROR(__xludf.DUMMYFUNCTION("""COMPUTED_VALUE"""),6592.75)</f>
        <v>6592.75</v>
      </c>
    </row>
    <row r="5671">
      <c r="A5671" s="2">
        <f>IFERROR(__xludf.DUMMYFUNCTION("""COMPUTED_VALUE"""),44029.66666666667)</f>
        <v>44029.66667</v>
      </c>
      <c r="B5671" s="1">
        <f>IFERROR(__xludf.DUMMYFUNCTION("""COMPUTED_VALUE"""),6611.86)</f>
        <v>6611.86</v>
      </c>
    </row>
    <row r="5672">
      <c r="A5672" s="2">
        <f>IFERROR(__xludf.DUMMYFUNCTION("""COMPUTED_VALUE"""),44032.66666666667)</f>
        <v>44032.66667</v>
      </c>
      <c r="B5672" s="1">
        <f>IFERROR(__xludf.DUMMYFUNCTION("""COMPUTED_VALUE"""),6667.45)</f>
        <v>6667.45</v>
      </c>
    </row>
    <row r="5673">
      <c r="A5673" s="2">
        <f>IFERROR(__xludf.DUMMYFUNCTION("""COMPUTED_VALUE"""),44033.66666666667)</f>
        <v>44033.66667</v>
      </c>
      <c r="B5673" s="1">
        <f>IFERROR(__xludf.DUMMYFUNCTION("""COMPUTED_VALUE"""),6678.74)</f>
        <v>6678.74</v>
      </c>
    </row>
    <row r="5674">
      <c r="A5674" s="2">
        <f>IFERROR(__xludf.DUMMYFUNCTION("""COMPUTED_VALUE"""),44034.66666666667)</f>
        <v>44034.66667</v>
      </c>
      <c r="B5674" s="1">
        <f>IFERROR(__xludf.DUMMYFUNCTION("""COMPUTED_VALUE"""),6717.29)</f>
        <v>6717.29</v>
      </c>
    </row>
    <row r="5675">
      <c r="A5675" s="2">
        <f>IFERROR(__xludf.DUMMYFUNCTION("""COMPUTED_VALUE"""),44035.66666666667)</f>
        <v>44035.66667</v>
      </c>
      <c r="B5675" s="1">
        <f>IFERROR(__xludf.DUMMYFUNCTION("""COMPUTED_VALUE"""),6635.04)</f>
        <v>6635.04</v>
      </c>
    </row>
    <row r="5676">
      <c r="A5676" s="2">
        <f>IFERROR(__xludf.DUMMYFUNCTION("""COMPUTED_VALUE"""),44036.66666666667)</f>
        <v>44036.66667</v>
      </c>
      <c r="B5676" s="1">
        <f>IFERROR(__xludf.DUMMYFUNCTION("""COMPUTED_VALUE"""),6594.1)</f>
        <v>6594.1</v>
      </c>
    </row>
    <row r="5677">
      <c r="A5677" s="2">
        <f>IFERROR(__xludf.DUMMYFUNCTION("""COMPUTED_VALUE"""),44039.66666666667)</f>
        <v>44039.66667</v>
      </c>
      <c r="B5677" s="1">
        <f>IFERROR(__xludf.DUMMYFUNCTION("""COMPUTED_VALUE"""),6642.89)</f>
        <v>6642.89</v>
      </c>
    </row>
    <row r="5678">
      <c r="A5678" s="2">
        <f>IFERROR(__xludf.DUMMYFUNCTION("""COMPUTED_VALUE"""),44040.66666666667)</f>
        <v>44040.66667</v>
      </c>
      <c r="B5678" s="1">
        <f>IFERROR(__xludf.DUMMYFUNCTION("""COMPUTED_VALUE"""),6599.97)</f>
        <v>6599.97</v>
      </c>
    </row>
    <row r="5679">
      <c r="A5679" s="2">
        <f>IFERROR(__xludf.DUMMYFUNCTION("""COMPUTED_VALUE"""),44041.66666666667)</f>
        <v>44041.66667</v>
      </c>
      <c r="B5679" s="1">
        <f>IFERROR(__xludf.DUMMYFUNCTION("""COMPUTED_VALUE"""),6682.01)</f>
        <v>6682.01</v>
      </c>
    </row>
    <row r="5680">
      <c r="A5680" s="2">
        <f>IFERROR(__xludf.DUMMYFUNCTION("""COMPUTED_VALUE"""),44042.66666666667)</f>
        <v>44042.66667</v>
      </c>
      <c r="B5680" s="1">
        <f>IFERROR(__xludf.DUMMYFUNCTION("""COMPUTED_VALUE"""),6658.02)</f>
        <v>6658.02</v>
      </c>
    </row>
    <row r="5681">
      <c r="A5681" s="2">
        <f>IFERROR(__xludf.DUMMYFUNCTION("""COMPUTED_VALUE"""),44043.66666666667)</f>
        <v>44043.66667</v>
      </c>
      <c r="B5681" s="1">
        <f>IFERROR(__xludf.DUMMYFUNCTION("""COMPUTED_VALUE"""),6709.81)</f>
        <v>6709.81</v>
      </c>
    </row>
    <row r="5682">
      <c r="A5682" s="2">
        <f>IFERROR(__xludf.DUMMYFUNCTION("""COMPUTED_VALUE"""),44046.66666666667)</f>
        <v>44046.66667</v>
      </c>
      <c r="B5682" s="1">
        <f>IFERROR(__xludf.DUMMYFUNCTION("""COMPUTED_VALUE"""),6758.2)</f>
        <v>6758.2</v>
      </c>
    </row>
    <row r="5683">
      <c r="A5683" s="2">
        <f>IFERROR(__xludf.DUMMYFUNCTION("""COMPUTED_VALUE"""),44047.66666666667)</f>
        <v>44047.66667</v>
      </c>
      <c r="B5683" s="1">
        <f>IFERROR(__xludf.DUMMYFUNCTION("""COMPUTED_VALUE"""),6782.6)</f>
        <v>6782.6</v>
      </c>
    </row>
    <row r="5684">
      <c r="A5684" s="2">
        <f>IFERROR(__xludf.DUMMYFUNCTION("""COMPUTED_VALUE"""),44048.66666666667)</f>
        <v>44048.66667</v>
      </c>
      <c r="B5684" s="1">
        <f>IFERROR(__xludf.DUMMYFUNCTION("""COMPUTED_VALUE"""),6826.22)</f>
        <v>6826.22</v>
      </c>
    </row>
    <row r="5685">
      <c r="A5685" s="2">
        <f>IFERROR(__xludf.DUMMYFUNCTION("""COMPUTED_VALUE"""),44049.66666666667)</f>
        <v>44049.66667</v>
      </c>
      <c r="B5685" s="1">
        <f>IFERROR(__xludf.DUMMYFUNCTION("""COMPUTED_VALUE"""),6870.86)</f>
        <v>6870.86</v>
      </c>
    </row>
    <row r="5686">
      <c r="A5686" s="2">
        <f>IFERROR(__xludf.DUMMYFUNCTION("""COMPUTED_VALUE"""),44050.66666666667)</f>
        <v>44050.66667</v>
      </c>
      <c r="B5686" s="1">
        <f>IFERROR(__xludf.DUMMYFUNCTION("""COMPUTED_VALUE"""),6876.65)</f>
        <v>6876.65</v>
      </c>
    </row>
    <row r="5687">
      <c r="A5687" s="2">
        <f>IFERROR(__xludf.DUMMYFUNCTION("""COMPUTED_VALUE"""),44053.66666666667)</f>
        <v>44053.66667</v>
      </c>
      <c r="B5687" s="1">
        <f>IFERROR(__xludf.DUMMYFUNCTION("""COMPUTED_VALUE"""),6895.59)</f>
        <v>6895.59</v>
      </c>
    </row>
    <row r="5688">
      <c r="A5688" s="2">
        <f>IFERROR(__xludf.DUMMYFUNCTION("""COMPUTED_VALUE"""),44054.66666666667)</f>
        <v>44054.66667</v>
      </c>
      <c r="B5688" s="1">
        <f>IFERROR(__xludf.DUMMYFUNCTION("""COMPUTED_VALUE"""),6840.67)</f>
        <v>6840.67</v>
      </c>
    </row>
    <row r="5689">
      <c r="A5689" s="2">
        <f>IFERROR(__xludf.DUMMYFUNCTION("""COMPUTED_VALUE"""),44055.66666666667)</f>
        <v>44055.66667</v>
      </c>
      <c r="B5689" s="1">
        <f>IFERROR(__xludf.DUMMYFUNCTION("""COMPUTED_VALUE"""),6937.44)</f>
        <v>6937.44</v>
      </c>
    </row>
    <row r="5690">
      <c r="A5690" s="2">
        <f>IFERROR(__xludf.DUMMYFUNCTION("""COMPUTED_VALUE"""),44056.66666666667)</f>
        <v>44056.66667</v>
      </c>
      <c r="B5690" s="1">
        <f>IFERROR(__xludf.DUMMYFUNCTION("""COMPUTED_VALUE"""),6924.96)</f>
        <v>6924.96</v>
      </c>
    </row>
    <row r="5691">
      <c r="A5691" s="2">
        <f>IFERROR(__xludf.DUMMYFUNCTION("""COMPUTED_VALUE"""),44057.66666666667)</f>
        <v>44057.66667</v>
      </c>
      <c r="B5691" s="1">
        <f>IFERROR(__xludf.DUMMYFUNCTION("""COMPUTED_VALUE"""),6924.28)</f>
        <v>6924.28</v>
      </c>
    </row>
    <row r="5692">
      <c r="A5692" s="2">
        <f>IFERROR(__xludf.DUMMYFUNCTION("""COMPUTED_VALUE"""),44060.66666666667)</f>
        <v>44060.66667</v>
      </c>
      <c r="B5692" s="1">
        <f>IFERROR(__xludf.DUMMYFUNCTION("""COMPUTED_VALUE"""),6943.22)</f>
        <v>6943.22</v>
      </c>
    </row>
    <row r="5693">
      <c r="A5693" s="2">
        <f>IFERROR(__xludf.DUMMYFUNCTION("""COMPUTED_VALUE"""),44061.66666666667)</f>
        <v>44061.66667</v>
      </c>
      <c r="B5693" s="1">
        <f>IFERROR(__xludf.DUMMYFUNCTION("""COMPUTED_VALUE"""),6960.3)</f>
        <v>6960.3</v>
      </c>
    </row>
    <row r="5694">
      <c r="A5694" s="2">
        <f>IFERROR(__xludf.DUMMYFUNCTION("""COMPUTED_VALUE"""),44062.66666666667)</f>
        <v>44062.66667</v>
      </c>
      <c r="B5694" s="1">
        <f>IFERROR(__xludf.DUMMYFUNCTION("""COMPUTED_VALUE"""),6930.8)</f>
        <v>6930.8</v>
      </c>
    </row>
    <row r="5695">
      <c r="A5695" s="2">
        <f>IFERROR(__xludf.DUMMYFUNCTION("""COMPUTED_VALUE"""),44063.66666666667)</f>
        <v>44063.66667</v>
      </c>
      <c r="B5695" s="1">
        <f>IFERROR(__xludf.DUMMYFUNCTION("""COMPUTED_VALUE"""),6952.92)</f>
        <v>6952.92</v>
      </c>
    </row>
    <row r="5696">
      <c r="A5696" s="2">
        <f>IFERROR(__xludf.DUMMYFUNCTION("""COMPUTED_VALUE"""),44064.66666666667)</f>
        <v>44064.66667</v>
      </c>
      <c r="B5696" s="1">
        <f>IFERROR(__xludf.DUMMYFUNCTION("""COMPUTED_VALUE"""),6977.27)</f>
        <v>6977.27</v>
      </c>
    </row>
    <row r="5697">
      <c r="A5697" s="2">
        <f>IFERROR(__xludf.DUMMYFUNCTION("""COMPUTED_VALUE"""),44067.66666666667)</f>
        <v>44067.66667</v>
      </c>
      <c r="B5697" s="1">
        <f>IFERROR(__xludf.DUMMYFUNCTION("""COMPUTED_VALUE"""),7048.17)</f>
        <v>7048.17</v>
      </c>
    </row>
    <row r="5698">
      <c r="A5698" s="2">
        <f>IFERROR(__xludf.DUMMYFUNCTION("""COMPUTED_VALUE"""),44068.66666666667)</f>
        <v>44068.66667</v>
      </c>
      <c r="B5698" s="1">
        <f>IFERROR(__xludf.DUMMYFUNCTION("""COMPUTED_VALUE"""),7073.6)</f>
        <v>7073.6</v>
      </c>
    </row>
    <row r="5699">
      <c r="A5699" s="2">
        <f>IFERROR(__xludf.DUMMYFUNCTION("""COMPUTED_VALUE"""),44069.66666666667)</f>
        <v>44069.66667</v>
      </c>
      <c r="B5699" s="1">
        <f>IFERROR(__xludf.DUMMYFUNCTION("""COMPUTED_VALUE"""),7145.77)</f>
        <v>7145.77</v>
      </c>
    </row>
    <row r="5700">
      <c r="A5700" s="2">
        <f>IFERROR(__xludf.DUMMYFUNCTION("""COMPUTED_VALUE"""),44070.66666666667)</f>
        <v>44070.66667</v>
      </c>
      <c r="B5700" s="1">
        <f>IFERROR(__xludf.DUMMYFUNCTION("""COMPUTED_VALUE"""),7158.18)</f>
        <v>7158.18</v>
      </c>
    </row>
    <row r="5701">
      <c r="A5701" s="2">
        <f>IFERROR(__xludf.DUMMYFUNCTION("""COMPUTED_VALUE"""),44071.66666666667)</f>
        <v>44071.66667</v>
      </c>
      <c r="B5701" s="1">
        <f>IFERROR(__xludf.DUMMYFUNCTION("""COMPUTED_VALUE"""),7207.1)</f>
        <v>7207.1</v>
      </c>
    </row>
    <row r="5702">
      <c r="A5702" s="2">
        <f>IFERROR(__xludf.DUMMYFUNCTION("""COMPUTED_VALUE"""),44074.66666666667)</f>
        <v>44074.66667</v>
      </c>
      <c r="B5702" s="1">
        <f>IFERROR(__xludf.DUMMYFUNCTION("""COMPUTED_VALUE"""),7192.11)</f>
        <v>7192.11</v>
      </c>
    </row>
    <row r="5703">
      <c r="A5703" s="2">
        <f>IFERROR(__xludf.DUMMYFUNCTION("""COMPUTED_VALUE"""),44075.66666666667)</f>
        <v>44075.66667</v>
      </c>
      <c r="B5703" s="1">
        <f>IFERROR(__xludf.DUMMYFUNCTION("""COMPUTED_VALUE"""),7246.37)</f>
        <v>7246.37</v>
      </c>
    </row>
    <row r="5704">
      <c r="A5704" s="2">
        <f>IFERROR(__xludf.DUMMYFUNCTION("""COMPUTED_VALUE"""),44076.66666666667)</f>
        <v>44076.66667</v>
      </c>
      <c r="B5704" s="1">
        <f>IFERROR(__xludf.DUMMYFUNCTION("""COMPUTED_VALUE"""),7358.49)</f>
        <v>7358.49</v>
      </c>
    </row>
    <row r="5705">
      <c r="A5705" s="2">
        <f>IFERROR(__xludf.DUMMYFUNCTION("""COMPUTED_VALUE"""),44077.66666666667)</f>
        <v>44077.66667</v>
      </c>
      <c r="B5705" s="1">
        <f>IFERROR(__xludf.DUMMYFUNCTION("""COMPUTED_VALUE"""),7101.38)</f>
        <v>7101.38</v>
      </c>
    </row>
    <row r="5706">
      <c r="A5706" s="2">
        <f>IFERROR(__xludf.DUMMYFUNCTION("""COMPUTED_VALUE"""),44078.66666666667)</f>
        <v>44078.66667</v>
      </c>
      <c r="B5706" s="1">
        <f>IFERROR(__xludf.DUMMYFUNCTION("""COMPUTED_VALUE"""),7043.62)</f>
        <v>7043.62</v>
      </c>
    </row>
    <row r="5707">
      <c r="A5707" s="2">
        <f>IFERROR(__xludf.DUMMYFUNCTION("""COMPUTED_VALUE"""),44082.66666666667)</f>
        <v>44082.66667</v>
      </c>
      <c r="B5707" s="1">
        <f>IFERROR(__xludf.DUMMYFUNCTION("""COMPUTED_VALUE"""),6848.42)</f>
        <v>6848.42</v>
      </c>
    </row>
    <row r="5708">
      <c r="A5708" s="2">
        <f>IFERROR(__xludf.DUMMYFUNCTION("""COMPUTED_VALUE"""),44083.66666666667)</f>
        <v>44083.66667</v>
      </c>
      <c r="B5708" s="1">
        <f>IFERROR(__xludf.DUMMYFUNCTION("""COMPUTED_VALUE"""),6986.76)</f>
        <v>6986.76</v>
      </c>
    </row>
    <row r="5709">
      <c r="A5709" s="2">
        <f>IFERROR(__xludf.DUMMYFUNCTION("""COMPUTED_VALUE"""),44084.66666666667)</f>
        <v>44084.66667</v>
      </c>
      <c r="B5709" s="1">
        <f>IFERROR(__xludf.DUMMYFUNCTION("""COMPUTED_VALUE"""),6864.23)</f>
        <v>6864.23</v>
      </c>
    </row>
    <row r="5710">
      <c r="A5710" s="2">
        <f>IFERROR(__xludf.DUMMYFUNCTION("""COMPUTED_VALUE"""),44085.66666666667)</f>
        <v>44085.66667</v>
      </c>
      <c r="B5710" s="1">
        <f>IFERROR(__xludf.DUMMYFUNCTION("""COMPUTED_VALUE"""),6868.22)</f>
        <v>6868.22</v>
      </c>
    </row>
    <row r="5711">
      <c r="A5711" s="2">
        <f>IFERROR(__xludf.DUMMYFUNCTION("""COMPUTED_VALUE"""),44088.66666666667)</f>
        <v>44088.66667</v>
      </c>
      <c r="B5711" s="1">
        <f>IFERROR(__xludf.DUMMYFUNCTION("""COMPUTED_VALUE"""),6957.91)</f>
        <v>6957.91</v>
      </c>
    </row>
    <row r="5712">
      <c r="A5712" s="2">
        <f>IFERROR(__xludf.DUMMYFUNCTION("""COMPUTED_VALUE"""),44089.66666666667)</f>
        <v>44089.66667</v>
      </c>
      <c r="B5712" s="1">
        <f>IFERROR(__xludf.DUMMYFUNCTION("""COMPUTED_VALUE"""),6994.33)</f>
        <v>6994.33</v>
      </c>
    </row>
    <row r="5713">
      <c r="A5713" s="2">
        <f>IFERROR(__xludf.DUMMYFUNCTION("""COMPUTED_VALUE"""),44090.66666666667)</f>
        <v>44090.66667</v>
      </c>
      <c r="B5713" s="1">
        <f>IFERROR(__xludf.DUMMYFUNCTION("""COMPUTED_VALUE"""),6962.29)</f>
        <v>6962.29</v>
      </c>
    </row>
    <row r="5714">
      <c r="A5714" s="2">
        <f>IFERROR(__xludf.DUMMYFUNCTION("""COMPUTED_VALUE"""),44091.66666666667)</f>
        <v>44091.66667</v>
      </c>
      <c r="B5714" s="1">
        <f>IFERROR(__xludf.DUMMYFUNCTION("""COMPUTED_VALUE"""),6903.82)</f>
        <v>6903.82</v>
      </c>
    </row>
    <row r="5715">
      <c r="A5715" s="2">
        <f>IFERROR(__xludf.DUMMYFUNCTION("""COMPUTED_VALUE"""),44092.66666666667)</f>
        <v>44092.66667</v>
      </c>
      <c r="B5715" s="1">
        <f>IFERROR(__xludf.DUMMYFUNCTION("""COMPUTED_VALUE"""),6826.72)</f>
        <v>6826.72</v>
      </c>
    </row>
    <row r="5716">
      <c r="A5716" s="2">
        <f>IFERROR(__xludf.DUMMYFUNCTION("""COMPUTED_VALUE"""),44095.66666666667)</f>
        <v>44095.66667</v>
      </c>
      <c r="B5716" s="1">
        <f>IFERROR(__xludf.DUMMYFUNCTION("""COMPUTED_VALUE"""),6748.08)</f>
        <v>6748.08</v>
      </c>
    </row>
    <row r="5717">
      <c r="A5717" s="2">
        <f>IFERROR(__xludf.DUMMYFUNCTION("""COMPUTED_VALUE"""),44096.66666666667)</f>
        <v>44096.66667</v>
      </c>
      <c r="B5717" s="1">
        <f>IFERROR(__xludf.DUMMYFUNCTION("""COMPUTED_VALUE"""),6819.08)</f>
        <v>6819.08</v>
      </c>
    </row>
    <row r="5718">
      <c r="A5718" s="2">
        <f>IFERROR(__xludf.DUMMYFUNCTION("""COMPUTED_VALUE"""),44097.66666666667)</f>
        <v>44097.66667</v>
      </c>
      <c r="B5718" s="1">
        <f>IFERROR(__xludf.DUMMYFUNCTION("""COMPUTED_VALUE"""),6657.82)</f>
        <v>6657.82</v>
      </c>
    </row>
    <row r="5719">
      <c r="A5719" s="2">
        <f>IFERROR(__xludf.DUMMYFUNCTION("""COMPUTED_VALUE"""),44098.66666666667)</f>
        <v>44098.66667</v>
      </c>
      <c r="B5719" s="1">
        <f>IFERROR(__xludf.DUMMYFUNCTION("""COMPUTED_VALUE"""),6678.04)</f>
        <v>6678.04</v>
      </c>
    </row>
    <row r="5720">
      <c r="A5720" s="2">
        <f>IFERROR(__xludf.DUMMYFUNCTION("""COMPUTED_VALUE"""),44099.66666666667)</f>
        <v>44099.66667</v>
      </c>
      <c r="B5720" s="1">
        <f>IFERROR(__xludf.DUMMYFUNCTION("""COMPUTED_VALUE"""),6784.95)</f>
        <v>6784.95</v>
      </c>
    </row>
    <row r="5721">
      <c r="A5721" s="2">
        <f>IFERROR(__xludf.DUMMYFUNCTION("""COMPUTED_VALUE"""),44102.66666666667)</f>
        <v>44102.66667</v>
      </c>
      <c r="B5721" s="1">
        <f>IFERROR(__xludf.DUMMYFUNCTION("""COMPUTED_VALUE"""),6894.27)</f>
        <v>6894.27</v>
      </c>
    </row>
    <row r="5722">
      <c r="A5722" s="2">
        <f>IFERROR(__xludf.DUMMYFUNCTION("""COMPUTED_VALUE"""),44103.66666666667)</f>
        <v>44103.66667</v>
      </c>
      <c r="B5722" s="1">
        <f>IFERROR(__xludf.DUMMYFUNCTION("""COMPUTED_VALUE"""),6861.96)</f>
        <v>6861.96</v>
      </c>
    </row>
    <row r="5723">
      <c r="A5723" s="2">
        <f>IFERROR(__xludf.DUMMYFUNCTION("""COMPUTED_VALUE"""),44104.66666666667)</f>
        <v>44104.66667</v>
      </c>
      <c r="B5723" s="1">
        <f>IFERROR(__xludf.DUMMYFUNCTION("""COMPUTED_VALUE"""),6918.83)</f>
        <v>6918.83</v>
      </c>
    </row>
    <row r="5724">
      <c r="A5724" s="2">
        <f>IFERROR(__xludf.DUMMYFUNCTION("""COMPUTED_VALUE"""),44105.66666666667)</f>
        <v>44105.66667</v>
      </c>
      <c r="B5724" s="1">
        <f>IFERROR(__xludf.DUMMYFUNCTION("""COMPUTED_VALUE"""),6956.2)</f>
        <v>6956.2</v>
      </c>
    </row>
    <row r="5725">
      <c r="A5725" s="2">
        <f>IFERROR(__xludf.DUMMYFUNCTION("""COMPUTED_VALUE"""),44106.66666666667)</f>
        <v>44106.66667</v>
      </c>
      <c r="B5725" s="1">
        <f>IFERROR(__xludf.DUMMYFUNCTION("""COMPUTED_VALUE"""),6889.65)</f>
        <v>6889.65</v>
      </c>
    </row>
    <row r="5726">
      <c r="A5726" s="2">
        <f>IFERROR(__xludf.DUMMYFUNCTION("""COMPUTED_VALUE"""),44109.66666666667)</f>
        <v>44109.66667</v>
      </c>
      <c r="B5726" s="1">
        <f>IFERROR(__xludf.DUMMYFUNCTION("""COMPUTED_VALUE"""),7014.23)</f>
        <v>7014.23</v>
      </c>
    </row>
    <row r="5727">
      <c r="A5727" s="2">
        <f>IFERROR(__xludf.DUMMYFUNCTION("""COMPUTED_VALUE"""),44110.66666666667)</f>
        <v>44110.66667</v>
      </c>
      <c r="B5727" s="1">
        <f>IFERROR(__xludf.DUMMYFUNCTION("""COMPUTED_VALUE"""),6916.4)</f>
        <v>6916.4</v>
      </c>
    </row>
    <row r="5728">
      <c r="A5728" s="2">
        <f>IFERROR(__xludf.DUMMYFUNCTION("""COMPUTED_VALUE"""),44111.66666666667)</f>
        <v>44111.66667</v>
      </c>
      <c r="B5728" s="1">
        <f>IFERROR(__xludf.DUMMYFUNCTION("""COMPUTED_VALUE"""),7036.91)</f>
        <v>7036.91</v>
      </c>
    </row>
    <row r="5729">
      <c r="A5729" s="2">
        <f>IFERROR(__xludf.DUMMYFUNCTION("""COMPUTED_VALUE"""),44112.66666666667)</f>
        <v>44112.66667</v>
      </c>
      <c r="B5729" s="1">
        <f>IFERROR(__xludf.DUMMYFUNCTION("""COMPUTED_VALUE"""),7095.4)</f>
        <v>7095.4</v>
      </c>
    </row>
    <row r="5730">
      <c r="A5730" s="2">
        <f>IFERROR(__xludf.DUMMYFUNCTION("""COMPUTED_VALUE"""),44113.66666666667)</f>
        <v>44113.66667</v>
      </c>
      <c r="B5730" s="1">
        <f>IFERROR(__xludf.DUMMYFUNCTION("""COMPUTED_VALUE"""),7157.92)</f>
        <v>7157.92</v>
      </c>
    </row>
    <row r="5731">
      <c r="A5731" s="2">
        <f>IFERROR(__xludf.DUMMYFUNCTION("""COMPUTED_VALUE"""),44116.66666666667)</f>
        <v>44116.66667</v>
      </c>
      <c r="B5731" s="1">
        <f>IFERROR(__xludf.DUMMYFUNCTION("""COMPUTED_VALUE"""),7275.43)</f>
        <v>7275.43</v>
      </c>
    </row>
    <row r="5732">
      <c r="A5732" s="2">
        <f>IFERROR(__xludf.DUMMYFUNCTION("""COMPUTED_VALUE"""),44117.66666666667)</f>
        <v>44117.66667</v>
      </c>
      <c r="B5732" s="1">
        <f>IFERROR(__xludf.DUMMYFUNCTION("""COMPUTED_VALUE"""),7229.55)</f>
        <v>7229.55</v>
      </c>
    </row>
    <row r="5733">
      <c r="A5733" s="2">
        <f>IFERROR(__xludf.DUMMYFUNCTION("""COMPUTED_VALUE"""),44118.66666666667)</f>
        <v>44118.66667</v>
      </c>
      <c r="B5733" s="1">
        <f>IFERROR(__xludf.DUMMYFUNCTION("""COMPUTED_VALUE"""),7182.38)</f>
        <v>7182.38</v>
      </c>
    </row>
    <row r="5734">
      <c r="A5734" s="2">
        <f>IFERROR(__xludf.DUMMYFUNCTION("""COMPUTED_VALUE"""),44119.66666666667)</f>
        <v>44119.66667</v>
      </c>
      <c r="B5734" s="1">
        <f>IFERROR(__xludf.DUMMYFUNCTION("""COMPUTED_VALUE"""),7171.61)</f>
        <v>7171.61</v>
      </c>
    </row>
    <row r="5735">
      <c r="A5735" s="2">
        <f>IFERROR(__xludf.DUMMYFUNCTION("""COMPUTED_VALUE"""),44120.66666666667)</f>
        <v>44120.66667</v>
      </c>
      <c r="B5735" s="1">
        <f>IFERROR(__xludf.DUMMYFUNCTION("""COMPUTED_VALUE"""),7172.7)</f>
        <v>7172.7</v>
      </c>
    </row>
    <row r="5736">
      <c r="A5736" s="2">
        <f>IFERROR(__xludf.DUMMYFUNCTION("""COMPUTED_VALUE"""),44123.66666666667)</f>
        <v>44123.66667</v>
      </c>
      <c r="B5736" s="1">
        <f>IFERROR(__xludf.DUMMYFUNCTION("""COMPUTED_VALUE"""),7055.58)</f>
        <v>7055.58</v>
      </c>
    </row>
    <row r="5737">
      <c r="A5737" s="2">
        <f>IFERROR(__xludf.DUMMYFUNCTION("""COMPUTED_VALUE"""),44124.66666666667)</f>
        <v>44124.66667</v>
      </c>
      <c r="B5737" s="1">
        <f>IFERROR(__xludf.DUMMYFUNCTION("""COMPUTED_VALUE"""),7089.06)</f>
        <v>7089.06</v>
      </c>
    </row>
    <row r="5738">
      <c r="A5738" s="2">
        <f>IFERROR(__xludf.DUMMYFUNCTION("""COMPUTED_VALUE"""),44125.66666666667)</f>
        <v>44125.66667</v>
      </c>
      <c r="B5738" s="1">
        <f>IFERROR(__xludf.DUMMYFUNCTION("""COMPUTED_VALUE"""),7073.65)</f>
        <v>7073.65</v>
      </c>
    </row>
    <row r="5739">
      <c r="A5739" s="2">
        <f>IFERROR(__xludf.DUMMYFUNCTION("""COMPUTED_VALUE"""),44126.66666666667)</f>
        <v>44126.66667</v>
      </c>
      <c r="B5739" s="1">
        <f>IFERROR(__xludf.DUMMYFUNCTION("""COMPUTED_VALUE"""),7111.17)</f>
        <v>7111.17</v>
      </c>
    </row>
    <row r="5740">
      <c r="A5740" s="2">
        <f>IFERROR(__xludf.DUMMYFUNCTION("""COMPUTED_VALUE"""),44127.66666666667)</f>
        <v>44127.66667</v>
      </c>
      <c r="B5740" s="1">
        <f>IFERROR(__xludf.DUMMYFUNCTION("""COMPUTED_VALUE"""),7135.81)</f>
        <v>7135.81</v>
      </c>
    </row>
    <row r="5741">
      <c r="A5741" s="2">
        <f>IFERROR(__xludf.DUMMYFUNCTION("""COMPUTED_VALUE"""),44130.66666666667)</f>
        <v>44130.66667</v>
      </c>
      <c r="B5741" s="1">
        <f>IFERROR(__xludf.DUMMYFUNCTION("""COMPUTED_VALUE"""),7003.21)</f>
        <v>7003.21</v>
      </c>
    </row>
    <row r="5742">
      <c r="A5742" s="2">
        <f>IFERROR(__xludf.DUMMYFUNCTION("""COMPUTED_VALUE"""),44131.66666666667)</f>
        <v>44131.66667</v>
      </c>
      <c r="B5742" s="1">
        <f>IFERROR(__xludf.DUMMYFUNCTION("""COMPUTED_VALUE"""),6982.14)</f>
        <v>6982.14</v>
      </c>
    </row>
    <row r="5743">
      <c r="A5743" s="2">
        <f>IFERROR(__xludf.DUMMYFUNCTION("""COMPUTED_VALUE"""),44132.66666666667)</f>
        <v>44132.66667</v>
      </c>
      <c r="B5743" s="1">
        <f>IFERROR(__xludf.DUMMYFUNCTION("""COMPUTED_VALUE"""),6735.75)</f>
        <v>6735.75</v>
      </c>
    </row>
    <row r="5744">
      <c r="A5744" s="2">
        <f>IFERROR(__xludf.DUMMYFUNCTION("""COMPUTED_VALUE"""),44133.66666666667)</f>
        <v>44133.66667</v>
      </c>
      <c r="B5744" s="1">
        <f>IFERROR(__xludf.DUMMYFUNCTION("""COMPUTED_VALUE"""),6816.79)</f>
        <v>6816.79</v>
      </c>
    </row>
    <row r="5745">
      <c r="A5745" s="2">
        <f>IFERROR(__xludf.DUMMYFUNCTION("""COMPUTED_VALUE"""),44134.66666666667)</f>
        <v>44134.66667</v>
      </c>
      <c r="B5745" s="1">
        <f>IFERROR(__xludf.DUMMYFUNCTION("""COMPUTED_VALUE"""),6734.84)</f>
        <v>6734.84</v>
      </c>
    </row>
    <row r="5746">
      <c r="A5746" s="2">
        <f>IFERROR(__xludf.DUMMYFUNCTION("""COMPUTED_VALUE"""),44137.66666666667)</f>
        <v>44137.66667</v>
      </c>
      <c r="B5746" s="1">
        <f>IFERROR(__xludf.DUMMYFUNCTION("""COMPUTED_VALUE"""),6817.89)</f>
        <v>6817.89</v>
      </c>
    </row>
    <row r="5747">
      <c r="A5747" s="2">
        <f>IFERROR(__xludf.DUMMYFUNCTION("""COMPUTED_VALUE"""),44138.66666666667)</f>
        <v>44138.66667</v>
      </c>
      <c r="B5747" s="1">
        <f>IFERROR(__xludf.DUMMYFUNCTION("""COMPUTED_VALUE"""),6939.03)</f>
        <v>6939.03</v>
      </c>
    </row>
    <row r="5748">
      <c r="A5748" s="2">
        <f>IFERROR(__xludf.DUMMYFUNCTION("""COMPUTED_VALUE"""),44139.66666666667)</f>
        <v>44139.66667</v>
      </c>
      <c r="B5748" s="1">
        <f>IFERROR(__xludf.DUMMYFUNCTION("""COMPUTED_VALUE"""),7092.3)</f>
        <v>7092.3</v>
      </c>
    </row>
    <row r="5749">
      <c r="A5749" s="2">
        <f>IFERROR(__xludf.DUMMYFUNCTION("""COMPUTED_VALUE"""),44140.66666666667)</f>
        <v>44140.66667</v>
      </c>
      <c r="B5749" s="1">
        <f>IFERROR(__xludf.DUMMYFUNCTION("""COMPUTED_VALUE"""),7231.67)</f>
        <v>7231.67</v>
      </c>
    </row>
    <row r="5750">
      <c r="A5750" s="2">
        <f>IFERROR(__xludf.DUMMYFUNCTION("""COMPUTED_VALUE"""),44141.66666666667)</f>
        <v>44141.66667</v>
      </c>
      <c r="B5750" s="1">
        <f>IFERROR(__xludf.DUMMYFUNCTION("""COMPUTED_VALUE"""),7230.51)</f>
        <v>7230.51</v>
      </c>
    </row>
    <row r="5751">
      <c r="A5751" s="2">
        <f>IFERROR(__xludf.DUMMYFUNCTION("""COMPUTED_VALUE"""),44144.66666666667)</f>
        <v>44144.66667</v>
      </c>
      <c r="B5751" s="1">
        <f>IFERROR(__xludf.DUMMYFUNCTION("""COMPUTED_VALUE"""),7315.77)</f>
        <v>7315.77</v>
      </c>
    </row>
    <row r="5752">
      <c r="A5752" s="2">
        <f>IFERROR(__xludf.DUMMYFUNCTION("""COMPUTED_VALUE"""),44145.66666666667)</f>
        <v>44145.66667</v>
      </c>
      <c r="B5752" s="1">
        <f>IFERROR(__xludf.DUMMYFUNCTION("""COMPUTED_VALUE"""),7306.75)</f>
        <v>7306.75</v>
      </c>
    </row>
    <row r="5753">
      <c r="A5753" s="2">
        <f>IFERROR(__xludf.DUMMYFUNCTION("""COMPUTED_VALUE"""),44146.66666666667)</f>
        <v>44146.66667</v>
      </c>
      <c r="B5753" s="1">
        <f>IFERROR(__xludf.DUMMYFUNCTION("""COMPUTED_VALUE"""),7362.65)</f>
        <v>7362.65</v>
      </c>
    </row>
    <row r="5754">
      <c r="A5754" s="2">
        <f>IFERROR(__xludf.DUMMYFUNCTION("""COMPUTED_VALUE"""),44147.66666666667)</f>
        <v>44147.66667</v>
      </c>
      <c r="B5754" s="1">
        <f>IFERROR(__xludf.DUMMYFUNCTION("""COMPUTED_VALUE"""),7290.69)</f>
        <v>7290.69</v>
      </c>
    </row>
    <row r="5755">
      <c r="A5755" s="2">
        <f>IFERROR(__xludf.DUMMYFUNCTION("""COMPUTED_VALUE"""),44148.66666666667)</f>
        <v>44148.66667</v>
      </c>
      <c r="B5755" s="1">
        <f>IFERROR(__xludf.DUMMYFUNCTION("""COMPUTED_VALUE"""),7390.61)</f>
        <v>7390.61</v>
      </c>
    </row>
    <row r="5756">
      <c r="A5756" s="2">
        <f>IFERROR(__xludf.DUMMYFUNCTION("""COMPUTED_VALUE"""),44151.66666666667)</f>
        <v>44151.66667</v>
      </c>
      <c r="B5756" s="1">
        <f>IFERROR(__xludf.DUMMYFUNCTION("""COMPUTED_VALUE"""),7476.79)</f>
        <v>7476.79</v>
      </c>
    </row>
    <row r="5757">
      <c r="A5757" s="2">
        <f>IFERROR(__xludf.DUMMYFUNCTION("""COMPUTED_VALUE"""),44152.66666666667)</f>
        <v>44152.66667</v>
      </c>
      <c r="B5757" s="1">
        <f>IFERROR(__xludf.DUMMYFUNCTION("""COMPUTED_VALUE"""),7442.04)</f>
        <v>7442.04</v>
      </c>
    </row>
    <row r="5758">
      <c r="A5758" s="2">
        <f>IFERROR(__xludf.DUMMYFUNCTION("""COMPUTED_VALUE"""),44153.66666666667)</f>
        <v>44153.66667</v>
      </c>
      <c r="B5758" s="1">
        <f>IFERROR(__xludf.DUMMYFUNCTION("""COMPUTED_VALUE"""),7357.34)</f>
        <v>7357.34</v>
      </c>
    </row>
    <row r="5759">
      <c r="A5759" s="2">
        <f>IFERROR(__xludf.DUMMYFUNCTION("""COMPUTED_VALUE"""),44154.66666666667)</f>
        <v>44154.66667</v>
      </c>
      <c r="B5759" s="1">
        <f>IFERROR(__xludf.DUMMYFUNCTION("""COMPUTED_VALUE"""),7386.86)</f>
        <v>7386.86</v>
      </c>
    </row>
    <row r="5760">
      <c r="A5760" s="2">
        <f>IFERROR(__xludf.DUMMYFUNCTION("""COMPUTED_VALUE"""),44155.66666666667)</f>
        <v>44155.66667</v>
      </c>
      <c r="B5760" s="1">
        <f>IFERROR(__xludf.DUMMYFUNCTION("""COMPUTED_VALUE"""),7336.76)</f>
        <v>7336.76</v>
      </c>
    </row>
    <row r="5761">
      <c r="A5761" s="2">
        <f>IFERROR(__xludf.DUMMYFUNCTION("""COMPUTED_VALUE"""),44158.66666666667)</f>
        <v>44158.66667</v>
      </c>
      <c r="B5761" s="1">
        <f>IFERROR(__xludf.DUMMYFUNCTION("""COMPUTED_VALUE"""),7378.94)</f>
        <v>7378.94</v>
      </c>
    </row>
    <row r="5762">
      <c r="A5762" s="2">
        <f>IFERROR(__xludf.DUMMYFUNCTION("""COMPUTED_VALUE"""),44159.66666666667)</f>
        <v>44159.66667</v>
      </c>
      <c r="B5762" s="1">
        <f>IFERROR(__xludf.DUMMYFUNCTION("""COMPUTED_VALUE"""),7498.29)</f>
        <v>7498.29</v>
      </c>
    </row>
    <row r="5763">
      <c r="A5763" s="2">
        <f>IFERROR(__xludf.DUMMYFUNCTION("""COMPUTED_VALUE"""),44160.66666666667)</f>
        <v>44160.66667</v>
      </c>
      <c r="B5763" s="1">
        <f>IFERROR(__xludf.DUMMYFUNCTION("""COMPUTED_VALUE"""),7486.68)</f>
        <v>7486.68</v>
      </c>
    </row>
    <row r="5764">
      <c r="A5764" s="2">
        <f>IFERROR(__xludf.DUMMYFUNCTION("""COMPUTED_VALUE"""),44162.54166666667)</f>
        <v>44162.54167</v>
      </c>
      <c r="B5764" s="1">
        <f>IFERROR(__xludf.DUMMYFUNCTION("""COMPUTED_VALUE"""),7505.38)</f>
        <v>7505.38</v>
      </c>
    </row>
    <row r="5765">
      <c r="A5765" s="2">
        <f>IFERROR(__xludf.DUMMYFUNCTION("""COMPUTED_VALUE"""),44165.66666666667)</f>
        <v>44165.66667</v>
      </c>
      <c r="B5765" s="1">
        <f>IFERROR(__xludf.DUMMYFUNCTION("""COMPUTED_VALUE"""),7472.06)</f>
        <v>7472.06</v>
      </c>
    </row>
    <row r="5766">
      <c r="A5766" s="2">
        <f>IFERROR(__xludf.DUMMYFUNCTION("""COMPUTED_VALUE"""),44166.66666666667)</f>
        <v>44166.66667</v>
      </c>
      <c r="B5766" s="1">
        <f>IFERROR(__xludf.DUMMYFUNCTION("""COMPUTED_VALUE"""),7556.51)</f>
        <v>7556.51</v>
      </c>
    </row>
    <row r="5767">
      <c r="A5767" s="2">
        <f>IFERROR(__xludf.DUMMYFUNCTION("""COMPUTED_VALUE"""),44167.66666666667)</f>
        <v>44167.66667</v>
      </c>
      <c r="B5767" s="1">
        <f>IFERROR(__xludf.DUMMYFUNCTION("""COMPUTED_VALUE"""),7570.76)</f>
        <v>7570.76</v>
      </c>
    </row>
    <row r="5768">
      <c r="A5768" s="2">
        <f>IFERROR(__xludf.DUMMYFUNCTION("""COMPUTED_VALUE"""),44168.66666666667)</f>
        <v>44168.66667</v>
      </c>
      <c r="B5768" s="1">
        <f>IFERROR(__xludf.DUMMYFUNCTION("""COMPUTED_VALUE"""),7567.44)</f>
        <v>7567.44</v>
      </c>
    </row>
    <row r="5769">
      <c r="A5769" s="2">
        <f>IFERROR(__xludf.DUMMYFUNCTION("""COMPUTED_VALUE"""),44169.66666666667)</f>
        <v>44169.66667</v>
      </c>
      <c r="B5769" s="1">
        <f>IFERROR(__xludf.DUMMYFUNCTION("""COMPUTED_VALUE"""),7634.77)</f>
        <v>7634.77</v>
      </c>
    </row>
    <row r="5770">
      <c r="A5770" s="2">
        <f>IFERROR(__xludf.DUMMYFUNCTION("""COMPUTED_VALUE"""),44172.66666666667)</f>
        <v>44172.66667</v>
      </c>
      <c r="B5770" s="1">
        <f>IFERROR(__xludf.DUMMYFUNCTION("""COMPUTED_VALUE"""),7620.0)</f>
        <v>7620</v>
      </c>
    </row>
    <row r="5771">
      <c r="A5771" s="2">
        <f>IFERROR(__xludf.DUMMYFUNCTION("""COMPUTED_VALUE"""),44173.66666666667)</f>
        <v>44173.66667</v>
      </c>
      <c r="B5771" s="1">
        <f>IFERROR(__xludf.DUMMYFUNCTION("""COMPUTED_VALUE"""),7641.43)</f>
        <v>7641.43</v>
      </c>
    </row>
    <row r="5772">
      <c r="A5772" s="2">
        <f>IFERROR(__xludf.DUMMYFUNCTION("""COMPUTED_VALUE"""),44174.66666666667)</f>
        <v>44174.66667</v>
      </c>
      <c r="B5772" s="1">
        <f>IFERROR(__xludf.DUMMYFUNCTION("""COMPUTED_VALUE"""),7581.06)</f>
        <v>7581.06</v>
      </c>
    </row>
    <row r="5773">
      <c r="A5773" s="2">
        <f>IFERROR(__xludf.DUMMYFUNCTION("""COMPUTED_VALUE"""),44175.66666666667)</f>
        <v>44175.66667</v>
      </c>
      <c r="B5773" s="1">
        <f>IFERROR(__xludf.DUMMYFUNCTION("""COMPUTED_VALUE"""),7571.87)</f>
        <v>7571.87</v>
      </c>
    </row>
    <row r="5774">
      <c r="A5774" s="2">
        <f>IFERROR(__xludf.DUMMYFUNCTION("""COMPUTED_VALUE"""),44176.66666666667)</f>
        <v>44176.66667</v>
      </c>
      <c r="B5774" s="1">
        <f>IFERROR(__xludf.DUMMYFUNCTION("""COMPUTED_VALUE"""),7562.46)</f>
        <v>7562.46</v>
      </c>
    </row>
    <row r="5775">
      <c r="A5775" s="2">
        <f>IFERROR(__xludf.DUMMYFUNCTION("""COMPUTED_VALUE"""),44179.66666666667)</f>
        <v>44179.66667</v>
      </c>
      <c r="B5775" s="1">
        <f>IFERROR(__xludf.DUMMYFUNCTION("""COMPUTED_VALUE"""),7530.87)</f>
        <v>7530.87</v>
      </c>
    </row>
    <row r="5776">
      <c r="A5776" s="2">
        <f>IFERROR(__xludf.DUMMYFUNCTION("""COMPUTED_VALUE"""),44180.66666666667)</f>
        <v>44180.66667</v>
      </c>
      <c r="B5776" s="1">
        <f>IFERROR(__xludf.DUMMYFUNCTION("""COMPUTED_VALUE"""),7628.28)</f>
        <v>7628.28</v>
      </c>
    </row>
    <row r="5777">
      <c r="A5777" s="2">
        <f>IFERROR(__xludf.DUMMYFUNCTION("""COMPUTED_VALUE"""),44181.66666666667)</f>
        <v>44181.66667</v>
      </c>
      <c r="B5777" s="1">
        <f>IFERROR(__xludf.DUMMYFUNCTION("""COMPUTED_VALUE"""),7641.82)</f>
        <v>7641.82</v>
      </c>
    </row>
    <row r="5778">
      <c r="A5778" s="2">
        <f>IFERROR(__xludf.DUMMYFUNCTION("""COMPUTED_VALUE"""),44182.66666666667)</f>
        <v>44182.66667</v>
      </c>
      <c r="B5778" s="1">
        <f>IFERROR(__xludf.DUMMYFUNCTION("""COMPUTED_VALUE"""),7686.18)</f>
        <v>7686.18</v>
      </c>
    </row>
    <row r="5779">
      <c r="A5779" s="2">
        <f>IFERROR(__xludf.DUMMYFUNCTION("""COMPUTED_VALUE"""),44183.66666666667)</f>
        <v>44183.66667</v>
      </c>
      <c r="B5779" s="1">
        <f>IFERROR(__xludf.DUMMYFUNCTION("""COMPUTED_VALUE"""),7659.75)</f>
        <v>7659.75</v>
      </c>
    </row>
    <row r="5780">
      <c r="A5780" s="2">
        <f>IFERROR(__xludf.DUMMYFUNCTION("""COMPUTED_VALUE"""),44186.66666666667)</f>
        <v>44186.66667</v>
      </c>
      <c r="B5780" s="1">
        <f>IFERROR(__xludf.DUMMYFUNCTION("""COMPUTED_VALUE"""),7630.07)</f>
        <v>7630.07</v>
      </c>
    </row>
    <row r="5781">
      <c r="A5781" s="2">
        <f>IFERROR(__xludf.DUMMYFUNCTION("""COMPUTED_VALUE"""),44187.66666666667)</f>
        <v>44187.66667</v>
      </c>
      <c r="B5781" s="1">
        <f>IFERROR(__xludf.DUMMYFUNCTION("""COMPUTED_VALUE"""),7614.83)</f>
        <v>7614.83</v>
      </c>
    </row>
    <row r="5782">
      <c r="A5782" s="2">
        <f>IFERROR(__xludf.DUMMYFUNCTION("""COMPUTED_VALUE"""),44188.66666666667)</f>
        <v>44188.66667</v>
      </c>
      <c r="B5782" s="1">
        <f>IFERROR(__xludf.DUMMYFUNCTION("""COMPUTED_VALUE"""),7620.63)</f>
        <v>7620.63</v>
      </c>
    </row>
    <row r="5783">
      <c r="A5783" s="2">
        <f>IFERROR(__xludf.DUMMYFUNCTION("""COMPUTED_VALUE"""),44189.54166666667)</f>
        <v>44189.54167</v>
      </c>
      <c r="B5783" s="1">
        <f>IFERROR(__xludf.DUMMYFUNCTION("""COMPUTED_VALUE"""),7648.39)</f>
        <v>7648.39</v>
      </c>
    </row>
    <row r="5784">
      <c r="A5784" s="2">
        <f>IFERROR(__xludf.DUMMYFUNCTION("""COMPUTED_VALUE"""),44193.66666666667)</f>
        <v>44193.66667</v>
      </c>
      <c r="B5784" s="1">
        <f>IFERROR(__xludf.DUMMYFUNCTION("""COMPUTED_VALUE"""),7715.1)</f>
        <v>7715.1</v>
      </c>
    </row>
    <row r="5785">
      <c r="A5785" s="2">
        <f>IFERROR(__xludf.DUMMYFUNCTION("""COMPUTED_VALUE"""),44194.66666666667)</f>
        <v>44194.66667</v>
      </c>
      <c r="B5785" s="1">
        <f>IFERROR(__xludf.DUMMYFUNCTION("""COMPUTED_VALUE"""),7697.93)</f>
        <v>7697.93</v>
      </c>
    </row>
    <row r="5786">
      <c r="A5786" s="2">
        <f>IFERROR(__xludf.DUMMYFUNCTION("""COMPUTED_VALUE"""),44195.66666666667)</f>
        <v>44195.66667</v>
      </c>
      <c r="B5786" s="1">
        <f>IFERROR(__xludf.DUMMYFUNCTION("""COMPUTED_VALUE"""),7709.1)</f>
        <v>7709.1</v>
      </c>
    </row>
    <row r="5787">
      <c r="A5787" s="2">
        <f>IFERROR(__xludf.DUMMYFUNCTION("""COMPUTED_VALUE"""),44196.66666666667)</f>
        <v>44196.66667</v>
      </c>
      <c r="B5787" s="1">
        <f>IFERROR(__xludf.DUMMYFUNCTION("""COMPUTED_VALUE"""),7759.35)</f>
        <v>7759.35</v>
      </c>
    </row>
    <row r="5788">
      <c r="A5788" s="2">
        <f>IFERROR(__xludf.DUMMYFUNCTION("""COMPUTED_VALUE"""),44200.66666666667)</f>
        <v>44200.66667</v>
      </c>
      <c r="B5788" s="1">
        <f>IFERROR(__xludf.DUMMYFUNCTION("""COMPUTED_VALUE"""),7645.27)</f>
        <v>7645.27</v>
      </c>
    </row>
    <row r="5789">
      <c r="A5789" s="2">
        <f>IFERROR(__xludf.DUMMYFUNCTION("""COMPUTED_VALUE"""),44201.66666666667)</f>
        <v>44201.66667</v>
      </c>
      <c r="B5789" s="1">
        <f>IFERROR(__xludf.DUMMYFUNCTION("""COMPUTED_VALUE"""),7700.34)</f>
        <v>7700.34</v>
      </c>
    </row>
    <row r="5790">
      <c r="A5790" s="2">
        <f>IFERROR(__xludf.DUMMYFUNCTION("""COMPUTED_VALUE"""),44202.66666666667)</f>
        <v>44202.66667</v>
      </c>
      <c r="B5790" s="1">
        <f>IFERROR(__xludf.DUMMYFUNCTION("""COMPUTED_VALUE"""),7744.43)</f>
        <v>7744.43</v>
      </c>
    </row>
    <row r="5791">
      <c r="A5791" s="2">
        <f>IFERROR(__xludf.DUMMYFUNCTION("""COMPUTED_VALUE"""),44203.66666666667)</f>
        <v>44203.66667</v>
      </c>
      <c r="B5791" s="1">
        <f>IFERROR(__xludf.DUMMYFUNCTION("""COMPUTED_VALUE"""),7861.1)</f>
        <v>7861.1</v>
      </c>
    </row>
    <row r="5792">
      <c r="A5792" s="2">
        <f>IFERROR(__xludf.DUMMYFUNCTION("""COMPUTED_VALUE"""),44204.66666666667)</f>
        <v>44204.66667</v>
      </c>
      <c r="B5792" s="1">
        <f>IFERROR(__xludf.DUMMYFUNCTION("""COMPUTED_VALUE"""),7905.28)</f>
        <v>7905.28</v>
      </c>
    </row>
    <row r="5793">
      <c r="A5793" s="2">
        <f>IFERROR(__xludf.DUMMYFUNCTION("""COMPUTED_VALUE"""),44207.66666666667)</f>
        <v>44207.66667</v>
      </c>
      <c r="B5793" s="1">
        <f>IFERROR(__xludf.DUMMYFUNCTION("""COMPUTED_VALUE"""),7853.45)</f>
        <v>7853.45</v>
      </c>
    </row>
    <row r="5794">
      <c r="A5794" s="2">
        <f>IFERROR(__xludf.DUMMYFUNCTION("""COMPUTED_VALUE"""),44208.66666666667)</f>
        <v>44208.66667</v>
      </c>
      <c r="B5794" s="1">
        <f>IFERROR(__xludf.DUMMYFUNCTION("""COMPUTED_VALUE"""),7856.72)</f>
        <v>7856.72</v>
      </c>
    </row>
    <row r="5795">
      <c r="A5795" s="2">
        <f>IFERROR(__xludf.DUMMYFUNCTION("""COMPUTED_VALUE"""),44209.66666666667)</f>
        <v>44209.66667</v>
      </c>
      <c r="B5795" s="1">
        <f>IFERROR(__xludf.DUMMYFUNCTION("""COMPUTED_VALUE"""),7874.75)</f>
        <v>7874.75</v>
      </c>
    </row>
    <row r="5796">
      <c r="A5796" s="2">
        <f>IFERROR(__xludf.DUMMYFUNCTION("""COMPUTED_VALUE"""),44210.66666666667)</f>
        <v>44210.66667</v>
      </c>
      <c r="B5796" s="1">
        <f>IFERROR(__xludf.DUMMYFUNCTION("""COMPUTED_VALUE"""),7846.1)</f>
        <v>7846.1</v>
      </c>
    </row>
    <row r="5797">
      <c r="A5797" s="2">
        <f>IFERROR(__xludf.DUMMYFUNCTION("""COMPUTED_VALUE"""),44211.66666666667)</f>
        <v>44211.66667</v>
      </c>
      <c r="B5797" s="1">
        <f>IFERROR(__xludf.DUMMYFUNCTION("""COMPUTED_VALUE"""),7789.79)</f>
        <v>7789.79</v>
      </c>
    </row>
    <row r="5798">
      <c r="A5798" s="2">
        <f>IFERROR(__xludf.DUMMYFUNCTION("""COMPUTED_VALUE"""),44215.66666666667)</f>
        <v>44215.66667</v>
      </c>
      <c r="B5798" s="1">
        <f>IFERROR(__xludf.DUMMYFUNCTION("""COMPUTED_VALUE"""),7853.47)</f>
        <v>7853.47</v>
      </c>
    </row>
    <row r="5799">
      <c r="A5799" s="2">
        <f>IFERROR(__xludf.DUMMYFUNCTION("""COMPUTED_VALUE"""),44216.66666666667)</f>
        <v>44216.66667</v>
      </c>
      <c r="B5799" s="1">
        <f>IFERROR(__xludf.DUMMYFUNCTION("""COMPUTED_VALUE"""),7962.92)</f>
        <v>7962.92</v>
      </c>
    </row>
    <row r="5800">
      <c r="A5800" s="2">
        <f>IFERROR(__xludf.DUMMYFUNCTION("""COMPUTED_VALUE"""),44217.66666666667)</f>
        <v>44217.66667</v>
      </c>
      <c r="B5800" s="1">
        <f>IFERROR(__xludf.DUMMYFUNCTION("""COMPUTED_VALUE"""),7966.11)</f>
        <v>7966.11</v>
      </c>
    </row>
    <row r="5801">
      <c r="A5801" s="2">
        <f>IFERROR(__xludf.DUMMYFUNCTION("""COMPUTED_VALUE"""),44218.66666666667)</f>
        <v>44218.66667</v>
      </c>
      <c r="B5801" s="1">
        <f>IFERROR(__xludf.DUMMYFUNCTION("""COMPUTED_VALUE"""),7942.2)</f>
        <v>7942.2</v>
      </c>
    </row>
    <row r="5802">
      <c r="A5802" s="2">
        <f>IFERROR(__xludf.DUMMYFUNCTION("""COMPUTED_VALUE"""),44221.66666666667)</f>
        <v>44221.66667</v>
      </c>
      <c r="B5802" s="1">
        <f>IFERROR(__xludf.DUMMYFUNCTION("""COMPUTED_VALUE"""),7970.92)</f>
        <v>7970.92</v>
      </c>
    </row>
    <row r="5803">
      <c r="A5803" s="2">
        <f>IFERROR(__xludf.DUMMYFUNCTION("""COMPUTED_VALUE"""),44222.66666666667)</f>
        <v>44222.66667</v>
      </c>
      <c r="B5803" s="1">
        <f>IFERROR(__xludf.DUMMYFUNCTION("""COMPUTED_VALUE"""),7959.1)</f>
        <v>7959.1</v>
      </c>
    </row>
    <row r="5804">
      <c r="A5804" s="2">
        <f>IFERROR(__xludf.DUMMYFUNCTION("""COMPUTED_VALUE"""),44223.66666666667)</f>
        <v>44223.66667</v>
      </c>
      <c r="B5804" s="1">
        <f>IFERROR(__xludf.DUMMYFUNCTION("""COMPUTED_VALUE"""),7754.74)</f>
        <v>7754.74</v>
      </c>
    </row>
    <row r="5805">
      <c r="A5805" s="2">
        <f>IFERROR(__xludf.DUMMYFUNCTION("""COMPUTED_VALUE"""),44224.66666666667)</f>
        <v>44224.66667</v>
      </c>
      <c r="B5805" s="1">
        <f>IFERROR(__xludf.DUMMYFUNCTION("""COMPUTED_VALUE"""),7831.22)</f>
        <v>7831.22</v>
      </c>
    </row>
    <row r="5806">
      <c r="A5806" s="2">
        <f>IFERROR(__xludf.DUMMYFUNCTION("""COMPUTED_VALUE"""),44225.66666666667)</f>
        <v>44225.66667</v>
      </c>
      <c r="B5806" s="1">
        <f>IFERROR(__xludf.DUMMYFUNCTION("""COMPUTED_VALUE"""),7681.01)</f>
        <v>7681.01</v>
      </c>
    </row>
    <row r="5807">
      <c r="A5807" s="2">
        <f>IFERROR(__xludf.DUMMYFUNCTION("""COMPUTED_VALUE"""),44228.66666666667)</f>
        <v>44228.66667</v>
      </c>
      <c r="B5807" s="1">
        <f>IFERROR(__xludf.DUMMYFUNCTION("""COMPUTED_VALUE"""),7804.31)</f>
        <v>7804.31</v>
      </c>
    </row>
    <row r="5808">
      <c r="A5808" s="2">
        <f>IFERROR(__xludf.DUMMYFUNCTION("""COMPUTED_VALUE"""),44229.66666666667)</f>
        <v>44229.66667</v>
      </c>
      <c r="B5808" s="1">
        <f>IFERROR(__xludf.DUMMYFUNCTION("""COMPUTED_VALUE"""),7912.87)</f>
        <v>7912.87</v>
      </c>
    </row>
    <row r="5809">
      <c r="A5809" s="2">
        <f>IFERROR(__xludf.DUMMYFUNCTION("""COMPUTED_VALUE"""),44230.66666666667)</f>
        <v>44230.66667</v>
      </c>
      <c r="B5809" s="1">
        <f>IFERROR(__xludf.DUMMYFUNCTION("""COMPUTED_VALUE"""),7920.85)</f>
        <v>7920.85</v>
      </c>
    </row>
    <row r="5810">
      <c r="A5810" s="2">
        <f>IFERROR(__xludf.DUMMYFUNCTION("""COMPUTED_VALUE"""),44231.66666666667)</f>
        <v>44231.66667</v>
      </c>
      <c r="B5810" s="1">
        <f>IFERROR(__xludf.DUMMYFUNCTION("""COMPUTED_VALUE"""),8007.62)</f>
        <v>8007.62</v>
      </c>
    </row>
    <row r="5811">
      <c r="A5811" s="2">
        <f>IFERROR(__xludf.DUMMYFUNCTION("""COMPUTED_VALUE"""),44232.66666666667)</f>
        <v>44232.66667</v>
      </c>
      <c r="B5811" s="1">
        <f>IFERROR(__xludf.DUMMYFUNCTION("""COMPUTED_VALUE"""),8039.67)</f>
        <v>8039.67</v>
      </c>
    </row>
    <row r="5812">
      <c r="A5812" s="2">
        <f>IFERROR(__xludf.DUMMYFUNCTION("""COMPUTED_VALUE"""),44235.66666666667)</f>
        <v>44235.66667</v>
      </c>
      <c r="B5812" s="1">
        <f>IFERROR(__xludf.DUMMYFUNCTION("""COMPUTED_VALUE"""),8099.33)</f>
        <v>8099.33</v>
      </c>
    </row>
    <row r="5813">
      <c r="A5813" s="2">
        <f>IFERROR(__xludf.DUMMYFUNCTION("""COMPUTED_VALUE"""),44236.66666666667)</f>
        <v>44236.66667</v>
      </c>
      <c r="B5813" s="1">
        <f>IFERROR(__xludf.DUMMYFUNCTION("""COMPUTED_VALUE"""),8091.7)</f>
        <v>8091.7</v>
      </c>
    </row>
    <row r="5814">
      <c r="A5814" s="2">
        <f>IFERROR(__xludf.DUMMYFUNCTION("""COMPUTED_VALUE"""),44237.66666666667)</f>
        <v>44237.66667</v>
      </c>
      <c r="B5814" s="1">
        <f>IFERROR(__xludf.DUMMYFUNCTION("""COMPUTED_VALUE"""),8089.11)</f>
        <v>8089.11</v>
      </c>
    </row>
    <row r="5815">
      <c r="A5815" s="2">
        <f>IFERROR(__xludf.DUMMYFUNCTION("""COMPUTED_VALUE"""),44238.66666666667)</f>
        <v>44238.66667</v>
      </c>
      <c r="B5815" s="1">
        <f>IFERROR(__xludf.DUMMYFUNCTION("""COMPUTED_VALUE"""),8104.19)</f>
        <v>8104.19</v>
      </c>
    </row>
    <row r="5816">
      <c r="A5816" s="2">
        <f>IFERROR(__xludf.DUMMYFUNCTION("""COMPUTED_VALUE"""),44239.66666666667)</f>
        <v>44239.66667</v>
      </c>
      <c r="B5816" s="1">
        <f>IFERROR(__xludf.DUMMYFUNCTION("""COMPUTED_VALUE"""),8142.79)</f>
        <v>8142.79</v>
      </c>
    </row>
    <row r="5817">
      <c r="A5817" s="2">
        <f>IFERROR(__xludf.DUMMYFUNCTION("""COMPUTED_VALUE"""),44243.66666666667)</f>
        <v>44243.66667</v>
      </c>
      <c r="B5817" s="1">
        <f>IFERROR(__xludf.DUMMYFUNCTION("""COMPUTED_VALUE"""),8139.16)</f>
        <v>8139.16</v>
      </c>
    </row>
    <row r="5818">
      <c r="A5818" s="2">
        <f>IFERROR(__xludf.DUMMYFUNCTION("""COMPUTED_VALUE"""),44244.66666666667)</f>
        <v>44244.66667</v>
      </c>
      <c r="B5818" s="1">
        <f>IFERROR(__xludf.DUMMYFUNCTION("""COMPUTED_VALUE"""),8137.88)</f>
        <v>8137.88</v>
      </c>
    </row>
    <row r="5819">
      <c r="A5819" s="2">
        <f>IFERROR(__xludf.DUMMYFUNCTION("""COMPUTED_VALUE"""),44245.66666666667)</f>
        <v>44245.66667</v>
      </c>
      <c r="B5819" s="1">
        <f>IFERROR(__xludf.DUMMYFUNCTION("""COMPUTED_VALUE"""),8102.24)</f>
        <v>8102.24</v>
      </c>
    </row>
    <row r="5820">
      <c r="A5820" s="2">
        <f>IFERROR(__xludf.DUMMYFUNCTION("""COMPUTED_VALUE"""),44246.66666666667)</f>
        <v>44246.66667</v>
      </c>
      <c r="B5820" s="1">
        <f>IFERROR(__xludf.DUMMYFUNCTION("""COMPUTED_VALUE"""),8087.68)</f>
        <v>8087.68</v>
      </c>
    </row>
    <row r="5821">
      <c r="A5821" s="2">
        <f>IFERROR(__xludf.DUMMYFUNCTION("""COMPUTED_VALUE"""),44249.66666666667)</f>
        <v>44249.66667</v>
      </c>
      <c r="B5821" s="1">
        <f>IFERROR(__xludf.DUMMYFUNCTION("""COMPUTED_VALUE"""),8025.81)</f>
        <v>8025.81</v>
      </c>
    </row>
    <row r="5822">
      <c r="A5822" s="2">
        <f>IFERROR(__xludf.DUMMYFUNCTION("""COMPUTED_VALUE"""),44250.66666666667)</f>
        <v>44250.66667</v>
      </c>
      <c r="B5822" s="1">
        <f>IFERROR(__xludf.DUMMYFUNCTION("""COMPUTED_VALUE"""),8036.06)</f>
        <v>8036.06</v>
      </c>
    </row>
    <row r="5823">
      <c r="A5823" s="2">
        <f>IFERROR(__xludf.DUMMYFUNCTION("""COMPUTED_VALUE"""),44251.66666666667)</f>
        <v>44251.66667</v>
      </c>
      <c r="B5823" s="1">
        <f>IFERROR(__xludf.DUMMYFUNCTION("""COMPUTED_VALUE"""),8127.38)</f>
        <v>8127.38</v>
      </c>
    </row>
    <row r="5824">
      <c r="A5824" s="2">
        <f>IFERROR(__xludf.DUMMYFUNCTION("""COMPUTED_VALUE"""),44252.66666666667)</f>
        <v>44252.66667</v>
      </c>
      <c r="B5824" s="1">
        <f>IFERROR(__xludf.DUMMYFUNCTION("""COMPUTED_VALUE"""),7929.56)</f>
        <v>7929.56</v>
      </c>
    </row>
    <row r="5825">
      <c r="A5825" s="2">
        <f>IFERROR(__xludf.DUMMYFUNCTION("""COMPUTED_VALUE"""),44253.66666666667)</f>
        <v>44253.66667</v>
      </c>
      <c r="B5825" s="1">
        <f>IFERROR(__xludf.DUMMYFUNCTION("""COMPUTED_VALUE"""),7892.81)</f>
        <v>7892.81</v>
      </c>
    </row>
    <row r="5826">
      <c r="A5826" s="2">
        <f>IFERROR(__xludf.DUMMYFUNCTION("""COMPUTED_VALUE"""),44256.66666666667)</f>
        <v>44256.66667</v>
      </c>
      <c r="B5826" s="1">
        <f>IFERROR(__xludf.DUMMYFUNCTION("""COMPUTED_VALUE"""),8080.78)</f>
        <v>8080.78</v>
      </c>
    </row>
    <row r="5827">
      <c r="A5827" s="2">
        <f>IFERROR(__xludf.DUMMYFUNCTION("""COMPUTED_VALUE"""),44257.66666666667)</f>
        <v>44257.66667</v>
      </c>
      <c r="B5827" s="1">
        <f>IFERROR(__xludf.DUMMYFUNCTION("""COMPUTED_VALUE"""),8015.54)</f>
        <v>8015.54</v>
      </c>
    </row>
    <row r="5828">
      <c r="A5828" s="2">
        <f>IFERROR(__xludf.DUMMYFUNCTION("""COMPUTED_VALUE"""),44258.66666666667)</f>
        <v>44258.66667</v>
      </c>
      <c r="B5828" s="1">
        <f>IFERROR(__xludf.DUMMYFUNCTION("""COMPUTED_VALUE"""),7911.21)</f>
        <v>7911.21</v>
      </c>
    </row>
    <row r="5829">
      <c r="A5829" s="2">
        <f>IFERROR(__xludf.DUMMYFUNCTION("""COMPUTED_VALUE"""),44259.66666666667)</f>
        <v>44259.66667</v>
      </c>
      <c r="B5829" s="1">
        <f>IFERROR(__xludf.DUMMYFUNCTION("""COMPUTED_VALUE"""),7806.45)</f>
        <v>7806.45</v>
      </c>
    </row>
    <row r="5830">
      <c r="A5830" s="2">
        <f>IFERROR(__xludf.DUMMYFUNCTION("""COMPUTED_VALUE"""),44260.66666666667)</f>
        <v>44260.66667</v>
      </c>
      <c r="B5830" s="1">
        <f>IFERROR(__xludf.DUMMYFUNCTION("""COMPUTED_VALUE"""),7958.98)</f>
        <v>7958.98</v>
      </c>
    </row>
    <row r="5831">
      <c r="A5831" s="2">
        <f>IFERROR(__xludf.DUMMYFUNCTION("""COMPUTED_VALUE"""),44263.66666666667)</f>
        <v>44263.66667</v>
      </c>
      <c r="B5831" s="1">
        <f>IFERROR(__xludf.DUMMYFUNCTION("""COMPUTED_VALUE"""),7916.41)</f>
        <v>7916.41</v>
      </c>
    </row>
    <row r="5832">
      <c r="A5832" s="2">
        <f>IFERROR(__xludf.DUMMYFUNCTION("""COMPUTED_VALUE"""),44264.66666666667)</f>
        <v>44264.66667</v>
      </c>
      <c r="B5832" s="1">
        <f>IFERROR(__xludf.DUMMYFUNCTION("""COMPUTED_VALUE"""),8029.2)</f>
        <v>8029.2</v>
      </c>
    </row>
    <row r="5833">
      <c r="A5833" s="2">
        <f>IFERROR(__xludf.DUMMYFUNCTION("""COMPUTED_VALUE"""),44265.66666666667)</f>
        <v>44265.66667</v>
      </c>
      <c r="B5833" s="1">
        <f>IFERROR(__xludf.DUMMYFUNCTION("""COMPUTED_VALUE"""),8078.05)</f>
        <v>8078.05</v>
      </c>
    </row>
    <row r="5834">
      <c r="A5834" s="2">
        <f>IFERROR(__xludf.DUMMYFUNCTION("""COMPUTED_VALUE"""),44266.66666666667)</f>
        <v>44266.66667</v>
      </c>
      <c r="B5834" s="1">
        <f>IFERROR(__xludf.DUMMYFUNCTION("""COMPUTED_VALUE"""),8162.58)</f>
        <v>8162.58</v>
      </c>
    </row>
    <row r="5835">
      <c r="A5835" s="2">
        <f>IFERROR(__xludf.DUMMYFUNCTION("""COMPUTED_VALUE"""),44267.66666666667)</f>
        <v>44267.66667</v>
      </c>
      <c r="B5835" s="1">
        <f>IFERROR(__xludf.DUMMYFUNCTION("""COMPUTED_VALUE"""),8172.9)</f>
        <v>8172.9</v>
      </c>
    </row>
    <row r="5836">
      <c r="A5836" s="2">
        <f>IFERROR(__xludf.DUMMYFUNCTION("""COMPUTED_VALUE"""),44270.66666666667)</f>
        <v>44270.66667</v>
      </c>
      <c r="B5836" s="1">
        <f>IFERROR(__xludf.DUMMYFUNCTION("""COMPUTED_VALUE"""),8226.32)</f>
        <v>8226.32</v>
      </c>
    </row>
    <row r="5837">
      <c r="A5837" s="2">
        <f>IFERROR(__xludf.DUMMYFUNCTION("""COMPUTED_VALUE"""),44271.66666666667)</f>
        <v>44271.66667</v>
      </c>
      <c r="B5837" s="1">
        <f>IFERROR(__xludf.DUMMYFUNCTION("""COMPUTED_VALUE"""),8213.63)</f>
        <v>8213.63</v>
      </c>
    </row>
    <row r="5838">
      <c r="A5838" s="2">
        <f>IFERROR(__xludf.DUMMYFUNCTION("""COMPUTED_VALUE"""),44272.66666666667)</f>
        <v>44272.66667</v>
      </c>
      <c r="B5838" s="1">
        <f>IFERROR(__xludf.DUMMYFUNCTION("""COMPUTED_VALUE"""),8237.35)</f>
        <v>8237.35</v>
      </c>
    </row>
    <row r="5839">
      <c r="A5839" s="2">
        <f>IFERROR(__xludf.DUMMYFUNCTION("""COMPUTED_VALUE"""),44273.66666666667)</f>
        <v>44273.66667</v>
      </c>
      <c r="B5839" s="1">
        <f>IFERROR(__xludf.DUMMYFUNCTION("""COMPUTED_VALUE"""),8116.17)</f>
        <v>8116.17</v>
      </c>
    </row>
    <row r="5840">
      <c r="A5840" s="2">
        <f>IFERROR(__xludf.DUMMYFUNCTION("""COMPUTED_VALUE"""),44274.66666666667)</f>
        <v>44274.66667</v>
      </c>
      <c r="B5840" s="1">
        <f>IFERROR(__xludf.DUMMYFUNCTION("""COMPUTED_VALUE"""),8112.13)</f>
        <v>8112.13</v>
      </c>
    </row>
    <row r="5841">
      <c r="A5841" s="2">
        <f>IFERROR(__xludf.DUMMYFUNCTION("""COMPUTED_VALUE"""),44277.66666666667)</f>
        <v>44277.66667</v>
      </c>
      <c r="B5841" s="1">
        <f>IFERROR(__xludf.DUMMYFUNCTION("""COMPUTED_VALUE"""),8169.14)</f>
        <v>8169.14</v>
      </c>
    </row>
    <row r="5842">
      <c r="A5842" s="2">
        <f>IFERROR(__xludf.DUMMYFUNCTION("""COMPUTED_VALUE"""),44278.66666666667)</f>
        <v>44278.66667</v>
      </c>
      <c r="B5842" s="1">
        <f>IFERROR(__xludf.DUMMYFUNCTION("""COMPUTED_VALUE"""),8106.83)</f>
        <v>8106.83</v>
      </c>
    </row>
    <row r="5843">
      <c r="A5843" s="2">
        <f>IFERROR(__xludf.DUMMYFUNCTION("""COMPUTED_VALUE"""),44279.66666666667)</f>
        <v>44279.66667</v>
      </c>
      <c r="B5843" s="1">
        <f>IFERROR(__xludf.DUMMYFUNCTION("""COMPUTED_VALUE"""),8063.0)</f>
        <v>8063</v>
      </c>
    </row>
    <row r="5844">
      <c r="A5844" s="2">
        <f>IFERROR(__xludf.DUMMYFUNCTION("""COMPUTED_VALUE"""),44280.66666666667)</f>
        <v>44280.66667</v>
      </c>
      <c r="B5844" s="1">
        <f>IFERROR(__xludf.DUMMYFUNCTION("""COMPUTED_VALUE"""),8105.51)</f>
        <v>8105.51</v>
      </c>
    </row>
    <row r="5845">
      <c r="A5845" s="2">
        <f>IFERROR(__xludf.DUMMYFUNCTION("""COMPUTED_VALUE"""),44281.66666666667)</f>
        <v>44281.66667</v>
      </c>
      <c r="B5845" s="1">
        <f>IFERROR(__xludf.DUMMYFUNCTION("""COMPUTED_VALUE"""),8240.38)</f>
        <v>8240.38</v>
      </c>
    </row>
    <row r="5846">
      <c r="A5846" s="2">
        <f>IFERROR(__xludf.DUMMYFUNCTION("""COMPUTED_VALUE"""),44284.66666666667)</f>
        <v>44284.66667</v>
      </c>
      <c r="B5846" s="1">
        <f>IFERROR(__xludf.DUMMYFUNCTION("""COMPUTED_VALUE"""),8233.24)</f>
        <v>8233.24</v>
      </c>
    </row>
    <row r="5847">
      <c r="A5847" s="2">
        <f>IFERROR(__xludf.DUMMYFUNCTION("""COMPUTED_VALUE"""),44285.66666666667)</f>
        <v>44285.66667</v>
      </c>
      <c r="B5847" s="1">
        <f>IFERROR(__xludf.DUMMYFUNCTION("""COMPUTED_VALUE"""),8208.1)</f>
        <v>8208.1</v>
      </c>
    </row>
    <row r="5848">
      <c r="A5848" s="2">
        <f>IFERROR(__xludf.DUMMYFUNCTION("""COMPUTED_VALUE"""),44286.66666666667)</f>
        <v>44286.66667</v>
      </c>
      <c r="B5848" s="1">
        <f>IFERROR(__xludf.DUMMYFUNCTION("""COMPUTED_VALUE"""),8238.48)</f>
        <v>8238.48</v>
      </c>
    </row>
    <row r="5849">
      <c r="A5849" s="2">
        <f>IFERROR(__xludf.DUMMYFUNCTION("""COMPUTED_VALUE"""),44287.66666666667)</f>
        <v>44287.66667</v>
      </c>
      <c r="B5849" s="1">
        <f>IFERROR(__xludf.DUMMYFUNCTION("""COMPUTED_VALUE"""),8335.91)</f>
        <v>8335.91</v>
      </c>
    </row>
    <row r="5850">
      <c r="A5850" s="2">
        <f>IFERROR(__xludf.DUMMYFUNCTION("""COMPUTED_VALUE"""),44291.66666666667)</f>
        <v>44291.66667</v>
      </c>
      <c r="B5850" s="1">
        <f>IFERROR(__xludf.DUMMYFUNCTION("""COMPUTED_VALUE"""),8457.4)</f>
        <v>8457.4</v>
      </c>
    </row>
    <row r="5851">
      <c r="A5851" s="2">
        <f>IFERROR(__xludf.DUMMYFUNCTION("""COMPUTED_VALUE"""),44292.66666666667)</f>
        <v>44292.66667</v>
      </c>
      <c r="B5851" s="1">
        <f>IFERROR(__xludf.DUMMYFUNCTION("""COMPUTED_VALUE"""),8449.54)</f>
        <v>8449.54</v>
      </c>
    </row>
    <row r="5852">
      <c r="A5852" s="2">
        <f>IFERROR(__xludf.DUMMYFUNCTION("""COMPUTED_VALUE"""),44293.66666666667)</f>
        <v>44293.66667</v>
      </c>
      <c r="B5852" s="1">
        <f>IFERROR(__xludf.DUMMYFUNCTION("""COMPUTED_VALUE"""),8462.18)</f>
        <v>8462.18</v>
      </c>
    </row>
    <row r="5853">
      <c r="A5853" s="2">
        <f>IFERROR(__xludf.DUMMYFUNCTION("""COMPUTED_VALUE"""),44294.66666666667)</f>
        <v>44294.66667</v>
      </c>
      <c r="B5853" s="1">
        <f>IFERROR(__xludf.DUMMYFUNCTION("""COMPUTED_VALUE"""),8499.85)</f>
        <v>8499.85</v>
      </c>
    </row>
    <row r="5854">
      <c r="A5854" s="2">
        <f>IFERROR(__xludf.DUMMYFUNCTION("""COMPUTED_VALUE"""),44295.66666666667)</f>
        <v>44295.66667</v>
      </c>
      <c r="B5854" s="1">
        <f>IFERROR(__xludf.DUMMYFUNCTION("""COMPUTED_VALUE"""),8565.57)</f>
        <v>8565.57</v>
      </c>
    </row>
    <row r="5855">
      <c r="A5855" s="2">
        <f>IFERROR(__xludf.DUMMYFUNCTION("""COMPUTED_VALUE"""),44298.66666666667)</f>
        <v>44298.66667</v>
      </c>
      <c r="B5855" s="1">
        <f>IFERROR(__xludf.DUMMYFUNCTION("""COMPUTED_VALUE"""),8564.03)</f>
        <v>8564.03</v>
      </c>
    </row>
    <row r="5856">
      <c r="A5856" s="2">
        <f>IFERROR(__xludf.DUMMYFUNCTION("""COMPUTED_VALUE"""),44299.66666666667)</f>
        <v>44299.66667</v>
      </c>
      <c r="B5856" s="1">
        <f>IFERROR(__xludf.DUMMYFUNCTION("""COMPUTED_VALUE"""),8592.25)</f>
        <v>8592.25</v>
      </c>
    </row>
    <row r="5857">
      <c r="A5857" s="2">
        <f>IFERROR(__xludf.DUMMYFUNCTION("""COMPUTED_VALUE"""),44300.66666666667)</f>
        <v>44300.66667</v>
      </c>
      <c r="B5857" s="1">
        <f>IFERROR(__xludf.DUMMYFUNCTION("""COMPUTED_VALUE"""),8558.16)</f>
        <v>8558.16</v>
      </c>
    </row>
    <row r="5858">
      <c r="A5858" s="2">
        <f>IFERROR(__xludf.DUMMYFUNCTION("""COMPUTED_VALUE"""),44301.66666666667)</f>
        <v>44301.66667</v>
      </c>
      <c r="B5858" s="1">
        <f>IFERROR(__xludf.DUMMYFUNCTION("""COMPUTED_VALUE"""),8653.29)</f>
        <v>8653.29</v>
      </c>
    </row>
    <row r="5859">
      <c r="A5859" s="2">
        <f>IFERROR(__xludf.DUMMYFUNCTION("""COMPUTED_VALUE"""),44302.66666666667)</f>
        <v>44302.66667</v>
      </c>
      <c r="B5859" s="1">
        <f>IFERROR(__xludf.DUMMYFUNCTION("""COMPUTED_VALUE"""),8684.51)</f>
        <v>8684.51</v>
      </c>
    </row>
    <row r="5860">
      <c r="A5860" s="2">
        <f>IFERROR(__xludf.DUMMYFUNCTION("""COMPUTED_VALUE"""),44305.66666666667)</f>
        <v>44305.66667</v>
      </c>
      <c r="B5860" s="1">
        <f>IFERROR(__xludf.DUMMYFUNCTION("""COMPUTED_VALUE"""),8638.42)</f>
        <v>8638.42</v>
      </c>
    </row>
    <row r="5861">
      <c r="A5861" s="2">
        <f>IFERROR(__xludf.DUMMYFUNCTION("""COMPUTED_VALUE"""),44306.66666666667)</f>
        <v>44306.66667</v>
      </c>
      <c r="B5861" s="1">
        <f>IFERROR(__xludf.DUMMYFUNCTION("""COMPUTED_VALUE"""),8579.95)</f>
        <v>8579.95</v>
      </c>
    </row>
    <row r="5862">
      <c r="A5862" s="2">
        <f>IFERROR(__xludf.DUMMYFUNCTION("""COMPUTED_VALUE"""),44307.66666666667)</f>
        <v>44307.66667</v>
      </c>
      <c r="B5862" s="1">
        <f>IFERROR(__xludf.DUMMYFUNCTION("""COMPUTED_VALUE"""),8659.8)</f>
        <v>8659.8</v>
      </c>
    </row>
    <row r="5863">
      <c r="A5863" s="2">
        <f>IFERROR(__xludf.DUMMYFUNCTION("""COMPUTED_VALUE"""),44308.66666666667)</f>
        <v>44308.66667</v>
      </c>
      <c r="B5863" s="1">
        <f>IFERROR(__xludf.DUMMYFUNCTION("""COMPUTED_VALUE"""),8580.73)</f>
        <v>8580.73</v>
      </c>
    </row>
    <row r="5864">
      <c r="A5864" s="2">
        <f>IFERROR(__xludf.DUMMYFUNCTION("""COMPUTED_VALUE"""),44309.66666666667)</f>
        <v>44309.66667</v>
      </c>
      <c r="B5864" s="1">
        <f>IFERROR(__xludf.DUMMYFUNCTION("""COMPUTED_VALUE"""),8674.8)</f>
        <v>8674.8</v>
      </c>
    </row>
    <row r="5865">
      <c r="A5865" s="2">
        <f>IFERROR(__xludf.DUMMYFUNCTION("""COMPUTED_VALUE"""),44312.66666666667)</f>
        <v>44312.66667</v>
      </c>
      <c r="B5865" s="1">
        <f>IFERROR(__xludf.DUMMYFUNCTION("""COMPUTED_VALUE"""),8690.26)</f>
        <v>8690.26</v>
      </c>
    </row>
    <row r="5866">
      <c r="A5866" s="2">
        <f>IFERROR(__xludf.DUMMYFUNCTION("""COMPUTED_VALUE"""),44313.66666666667)</f>
        <v>44313.66667</v>
      </c>
      <c r="B5866" s="1">
        <f>IFERROR(__xludf.DUMMYFUNCTION("""COMPUTED_VALUE"""),8688.45)</f>
        <v>8688.45</v>
      </c>
    </row>
    <row r="5867">
      <c r="A5867" s="2">
        <f>IFERROR(__xludf.DUMMYFUNCTION("""COMPUTED_VALUE"""),44314.66666666667)</f>
        <v>44314.66667</v>
      </c>
      <c r="B5867" s="1">
        <f>IFERROR(__xludf.DUMMYFUNCTION("""COMPUTED_VALUE"""),8681.17)</f>
        <v>8681.17</v>
      </c>
    </row>
    <row r="5868">
      <c r="A5868" s="2">
        <f>IFERROR(__xludf.DUMMYFUNCTION("""COMPUTED_VALUE"""),44315.66666666667)</f>
        <v>44315.66667</v>
      </c>
      <c r="B5868" s="1">
        <f>IFERROR(__xludf.DUMMYFUNCTION("""COMPUTED_VALUE"""),8740.35)</f>
        <v>8740.35</v>
      </c>
    </row>
    <row r="5869">
      <c r="A5869" s="2">
        <f>IFERROR(__xludf.DUMMYFUNCTION("""COMPUTED_VALUE"""),44316.66666666667)</f>
        <v>44316.66667</v>
      </c>
      <c r="B5869" s="1">
        <f>IFERROR(__xludf.DUMMYFUNCTION("""COMPUTED_VALUE"""),8678.16)</f>
        <v>8678.16</v>
      </c>
    </row>
    <row r="5870">
      <c r="A5870" s="2">
        <f>IFERROR(__xludf.DUMMYFUNCTION("""COMPUTED_VALUE"""),44319.66666666667)</f>
        <v>44319.66667</v>
      </c>
      <c r="B5870" s="1">
        <f>IFERROR(__xludf.DUMMYFUNCTION("""COMPUTED_VALUE"""),8702.02)</f>
        <v>8702.02</v>
      </c>
    </row>
    <row r="5871">
      <c r="A5871" s="2">
        <f>IFERROR(__xludf.DUMMYFUNCTION("""COMPUTED_VALUE"""),44320.66666666667)</f>
        <v>44320.66667</v>
      </c>
      <c r="B5871" s="1">
        <f>IFERROR(__xludf.DUMMYFUNCTION("""COMPUTED_VALUE"""),8643.91)</f>
        <v>8643.91</v>
      </c>
    </row>
    <row r="5872">
      <c r="A5872" s="2">
        <f>IFERROR(__xludf.DUMMYFUNCTION("""COMPUTED_VALUE"""),44321.66666666667)</f>
        <v>44321.66667</v>
      </c>
      <c r="B5872" s="1">
        <f>IFERROR(__xludf.DUMMYFUNCTION("""COMPUTED_VALUE"""),8650.04)</f>
        <v>8650.04</v>
      </c>
    </row>
    <row r="5873">
      <c r="A5873" s="2">
        <f>IFERROR(__xludf.DUMMYFUNCTION("""COMPUTED_VALUE"""),44322.66666666667)</f>
        <v>44322.66667</v>
      </c>
      <c r="B5873" s="1">
        <f>IFERROR(__xludf.DUMMYFUNCTION("""COMPUTED_VALUE"""),8722.04)</f>
        <v>8722.04</v>
      </c>
    </row>
    <row r="5874">
      <c r="A5874" s="2">
        <f>IFERROR(__xludf.DUMMYFUNCTION("""COMPUTED_VALUE"""),44323.66666666667)</f>
        <v>44323.66667</v>
      </c>
      <c r="B5874" s="1">
        <f>IFERROR(__xludf.DUMMYFUNCTION("""COMPUTED_VALUE"""),8787.82)</f>
        <v>8787.82</v>
      </c>
    </row>
    <row r="5875">
      <c r="A5875" s="2">
        <f>IFERROR(__xludf.DUMMYFUNCTION("""COMPUTED_VALUE"""),44326.66666666667)</f>
        <v>44326.66667</v>
      </c>
      <c r="B5875" s="1">
        <f>IFERROR(__xludf.DUMMYFUNCTION("""COMPUTED_VALUE"""),8696.29)</f>
        <v>8696.29</v>
      </c>
    </row>
    <row r="5876">
      <c r="A5876" s="2">
        <f>IFERROR(__xludf.DUMMYFUNCTION("""COMPUTED_VALUE"""),44327.66666666667)</f>
        <v>44327.66667</v>
      </c>
      <c r="B5876" s="1">
        <f>IFERROR(__xludf.DUMMYFUNCTION("""COMPUTED_VALUE"""),8620.98)</f>
        <v>8620.98</v>
      </c>
    </row>
    <row r="5877">
      <c r="A5877" s="2">
        <f>IFERROR(__xludf.DUMMYFUNCTION("""COMPUTED_VALUE"""),44328.66666666667)</f>
        <v>44328.66667</v>
      </c>
      <c r="B5877" s="1">
        <f>IFERROR(__xludf.DUMMYFUNCTION("""COMPUTED_VALUE"""),8437.24)</f>
        <v>8437.24</v>
      </c>
    </row>
    <row r="5878">
      <c r="A5878" s="2">
        <f>IFERROR(__xludf.DUMMYFUNCTION("""COMPUTED_VALUE"""),44329.66666666667)</f>
        <v>44329.66667</v>
      </c>
      <c r="B5878" s="1">
        <f>IFERROR(__xludf.DUMMYFUNCTION("""COMPUTED_VALUE"""),8541.39)</f>
        <v>8541.39</v>
      </c>
    </row>
    <row r="5879">
      <c r="A5879" s="2">
        <f>IFERROR(__xludf.DUMMYFUNCTION("""COMPUTED_VALUE"""),44330.66666666667)</f>
        <v>44330.66667</v>
      </c>
      <c r="B5879" s="1">
        <f>IFERROR(__xludf.DUMMYFUNCTION("""COMPUTED_VALUE"""),8669.49)</f>
        <v>8669.49</v>
      </c>
    </row>
    <row r="5880">
      <c r="A5880" s="2">
        <f>IFERROR(__xludf.DUMMYFUNCTION("""COMPUTED_VALUE"""),44333.66666666667)</f>
        <v>44333.66667</v>
      </c>
      <c r="B5880" s="1">
        <f>IFERROR(__xludf.DUMMYFUNCTION("""COMPUTED_VALUE"""),8647.57)</f>
        <v>8647.57</v>
      </c>
    </row>
    <row r="5881">
      <c r="A5881" s="2">
        <f>IFERROR(__xludf.DUMMYFUNCTION("""COMPUTED_VALUE"""),44334.66666666667)</f>
        <v>44334.66667</v>
      </c>
      <c r="B5881" s="1">
        <f>IFERROR(__xludf.DUMMYFUNCTION("""COMPUTED_VALUE"""),8574.98)</f>
        <v>8574.98</v>
      </c>
    </row>
    <row r="5882">
      <c r="A5882" s="2">
        <f>IFERROR(__xludf.DUMMYFUNCTION("""COMPUTED_VALUE"""),44335.66666666667)</f>
        <v>44335.66667</v>
      </c>
      <c r="B5882" s="1">
        <f>IFERROR(__xludf.DUMMYFUNCTION("""COMPUTED_VALUE"""),8550.95)</f>
        <v>8550.95</v>
      </c>
    </row>
    <row r="5883">
      <c r="A5883" s="2">
        <f>IFERROR(__xludf.DUMMYFUNCTION("""COMPUTED_VALUE"""),44336.66666666667)</f>
        <v>44336.66667</v>
      </c>
      <c r="B5883" s="1">
        <f>IFERROR(__xludf.DUMMYFUNCTION("""COMPUTED_VALUE"""),8641.98)</f>
        <v>8641.98</v>
      </c>
    </row>
    <row r="5884">
      <c r="A5884" s="2">
        <f>IFERROR(__xludf.DUMMYFUNCTION("""COMPUTED_VALUE"""),44337.66666666667)</f>
        <v>44337.66667</v>
      </c>
      <c r="B5884" s="1">
        <f>IFERROR(__xludf.DUMMYFUNCTION("""COMPUTED_VALUE"""),8635.55)</f>
        <v>8635.55</v>
      </c>
    </row>
    <row r="5885">
      <c r="A5885" s="2">
        <f>IFERROR(__xludf.DUMMYFUNCTION("""COMPUTED_VALUE"""),44340.66666666667)</f>
        <v>44340.66667</v>
      </c>
      <c r="B5885" s="1">
        <f>IFERROR(__xludf.DUMMYFUNCTION("""COMPUTED_VALUE"""),8722.0)</f>
        <v>8722</v>
      </c>
    </row>
    <row r="5886">
      <c r="A5886" s="2">
        <f>IFERROR(__xludf.DUMMYFUNCTION("""COMPUTED_VALUE"""),44341.66666666667)</f>
        <v>44341.66667</v>
      </c>
      <c r="B5886" s="1">
        <f>IFERROR(__xludf.DUMMYFUNCTION("""COMPUTED_VALUE"""),8703.59)</f>
        <v>8703.59</v>
      </c>
    </row>
    <row r="5887">
      <c r="A5887" s="2">
        <f>IFERROR(__xludf.DUMMYFUNCTION("""COMPUTED_VALUE"""),44342.66666666667)</f>
        <v>44342.66667</v>
      </c>
      <c r="B5887" s="1">
        <f>IFERROR(__xludf.DUMMYFUNCTION("""COMPUTED_VALUE"""),8720.04)</f>
        <v>8720.04</v>
      </c>
    </row>
    <row r="5888">
      <c r="A5888" s="2">
        <f>IFERROR(__xludf.DUMMYFUNCTION("""COMPUTED_VALUE"""),44343.66666666667)</f>
        <v>44343.66667</v>
      </c>
      <c r="B5888" s="1">
        <f>IFERROR(__xludf.DUMMYFUNCTION("""COMPUTED_VALUE"""),8730.97)</f>
        <v>8730.97</v>
      </c>
    </row>
    <row r="5889">
      <c r="A5889" s="2">
        <f>IFERROR(__xludf.DUMMYFUNCTION("""COMPUTED_VALUE"""),44344.66666666667)</f>
        <v>44344.66667</v>
      </c>
      <c r="B5889" s="1">
        <f>IFERROR(__xludf.DUMMYFUNCTION("""COMPUTED_VALUE"""),8738.77)</f>
        <v>8738.77</v>
      </c>
    </row>
    <row r="5890">
      <c r="A5890" s="2">
        <f>IFERROR(__xludf.DUMMYFUNCTION("""COMPUTED_VALUE"""),44348.66666666667)</f>
        <v>44348.66667</v>
      </c>
      <c r="B5890" s="1">
        <f>IFERROR(__xludf.DUMMYFUNCTION("""COMPUTED_VALUE"""),8734.74)</f>
        <v>8734.74</v>
      </c>
    </row>
    <row r="5891">
      <c r="A5891" s="2">
        <f>IFERROR(__xludf.DUMMYFUNCTION("""COMPUTED_VALUE"""),44349.66666666667)</f>
        <v>44349.66667</v>
      </c>
      <c r="B5891" s="1">
        <f>IFERROR(__xludf.DUMMYFUNCTION("""COMPUTED_VALUE"""),8748.3)</f>
        <v>8748.3</v>
      </c>
    </row>
    <row r="5892">
      <c r="A5892" s="2">
        <f>IFERROR(__xludf.DUMMYFUNCTION("""COMPUTED_VALUE"""),44350.66666666667)</f>
        <v>44350.66667</v>
      </c>
      <c r="B5892" s="1">
        <f>IFERROR(__xludf.DUMMYFUNCTION("""COMPUTED_VALUE"""),8717.97)</f>
        <v>8717.97</v>
      </c>
    </row>
    <row r="5893">
      <c r="A5893" s="2">
        <f>IFERROR(__xludf.DUMMYFUNCTION("""COMPUTED_VALUE"""),44351.66666666667)</f>
        <v>44351.66667</v>
      </c>
      <c r="B5893" s="1">
        <f>IFERROR(__xludf.DUMMYFUNCTION("""COMPUTED_VALUE"""),8795.08)</f>
        <v>8795.08</v>
      </c>
    </row>
    <row r="5894">
      <c r="A5894" s="2">
        <f>IFERROR(__xludf.DUMMYFUNCTION("""COMPUTED_VALUE"""),44354.66666666667)</f>
        <v>44354.66667</v>
      </c>
      <c r="B5894" s="1">
        <f>IFERROR(__xludf.DUMMYFUNCTION("""COMPUTED_VALUE"""),8788.28)</f>
        <v>8788.28</v>
      </c>
    </row>
    <row r="5895">
      <c r="A5895" s="2">
        <f>IFERROR(__xludf.DUMMYFUNCTION("""COMPUTED_VALUE"""),44355.66666666667)</f>
        <v>44355.66667</v>
      </c>
      <c r="B5895" s="1">
        <f>IFERROR(__xludf.DUMMYFUNCTION("""COMPUTED_VALUE"""),8790.0)</f>
        <v>8790</v>
      </c>
    </row>
    <row r="5896">
      <c r="A5896" s="2">
        <f>IFERROR(__xludf.DUMMYFUNCTION("""COMPUTED_VALUE"""),44356.66666666667)</f>
        <v>44356.66667</v>
      </c>
      <c r="B5896" s="1">
        <f>IFERROR(__xludf.DUMMYFUNCTION("""COMPUTED_VALUE"""),8774.31)</f>
        <v>8774.31</v>
      </c>
    </row>
    <row r="5897">
      <c r="A5897" s="2">
        <f>IFERROR(__xludf.DUMMYFUNCTION("""COMPUTED_VALUE"""),44357.66666666667)</f>
        <v>44357.66667</v>
      </c>
      <c r="B5897" s="1">
        <f>IFERROR(__xludf.DUMMYFUNCTION("""COMPUTED_VALUE"""),8815.56)</f>
        <v>8815.56</v>
      </c>
    </row>
    <row r="5898">
      <c r="A5898" s="2">
        <f>IFERROR(__xludf.DUMMYFUNCTION("""COMPUTED_VALUE"""),44358.66666666667)</f>
        <v>44358.66667</v>
      </c>
      <c r="B5898" s="1">
        <f>IFERROR(__xludf.DUMMYFUNCTION("""COMPUTED_VALUE"""),8832.94)</f>
        <v>8832.94</v>
      </c>
    </row>
    <row r="5899">
      <c r="A5899" s="2">
        <f>IFERROR(__xludf.DUMMYFUNCTION("""COMPUTED_VALUE"""),44361.66666666667)</f>
        <v>44361.66667</v>
      </c>
      <c r="B5899" s="1">
        <f>IFERROR(__xludf.DUMMYFUNCTION("""COMPUTED_VALUE"""),8851.17)</f>
        <v>8851.17</v>
      </c>
    </row>
    <row r="5900">
      <c r="A5900" s="2">
        <f>IFERROR(__xludf.DUMMYFUNCTION("""COMPUTED_VALUE"""),44362.66666666667)</f>
        <v>44362.66667</v>
      </c>
      <c r="B5900" s="1">
        <f>IFERROR(__xludf.DUMMYFUNCTION("""COMPUTED_VALUE"""),8833.68)</f>
        <v>8833.68</v>
      </c>
    </row>
    <row r="5901">
      <c r="A5901" s="2">
        <f>IFERROR(__xludf.DUMMYFUNCTION("""COMPUTED_VALUE"""),44363.66666666667)</f>
        <v>44363.66667</v>
      </c>
      <c r="B5901" s="1">
        <f>IFERROR(__xludf.DUMMYFUNCTION("""COMPUTED_VALUE"""),8786.18)</f>
        <v>8786.18</v>
      </c>
    </row>
    <row r="5902">
      <c r="A5902" s="2">
        <f>IFERROR(__xludf.DUMMYFUNCTION("""COMPUTED_VALUE"""),44364.66666666667)</f>
        <v>44364.66667</v>
      </c>
      <c r="B5902" s="1">
        <f>IFERROR(__xludf.DUMMYFUNCTION("""COMPUTED_VALUE"""),8782.58)</f>
        <v>8782.58</v>
      </c>
    </row>
    <row r="5903">
      <c r="A5903" s="2">
        <f>IFERROR(__xludf.DUMMYFUNCTION("""COMPUTED_VALUE"""),44365.66666666667)</f>
        <v>44365.66667</v>
      </c>
      <c r="B5903" s="1">
        <f>IFERROR(__xludf.DUMMYFUNCTION("""COMPUTED_VALUE"""),8667.76)</f>
        <v>8667.76</v>
      </c>
    </row>
    <row r="5904">
      <c r="A5904" s="2">
        <f>IFERROR(__xludf.DUMMYFUNCTION("""COMPUTED_VALUE"""),44368.66666666667)</f>
        <v>44368.66667</v>
      </c>
      <c r="B5904" s="1">
        <f>IFERROR(__xludf.DUMMYFUNCTION("""COMPUTED_VALUE"""),8789.52)</f>
        <v>8789.52</v>
      </c>
    </row>
    <row r="5905">
      <c r="A5905" s="2">
        <f>IFERROR(__xludf.DUMMYFUNCTION("""COMPUTED_VALUE"""),44369.66666666667)</f>
        <v>44369.66667</v>
      </c>
      <c r="B5905" s="1">
        <f>IFERROR(__xludf.DUMMYFUNCTION("""COMPUTED_VALUE"""),8834.56)</f>
        <v>8834.56</v>
      </c>
    </row>
    <row r="5906">
      <c r="A5906" s="2">
        <f>IFERROR(__xludf.DUMMYFUNCTION("""COMPUTED_VALUE"""),44370.66666666667)</f>
        <v>44370.66667</v>
      </c>
      <c r="B5906" s="1">
        <f>IFERROR(__xludf.DUMMYFUNCTION("""COMPUTED_VALUE"""),8825.01)</f>
        <v>8825.01</v>
      </c>
    </row>
    <row r="5907">
      <c r="A5907" s="2">
        <f>IFERROR(__xludf.DUMMYFUNCTION("""COMPUTED_VALUE"""),44371.66666666667)</f>
        <v>44371.66667</v>
      </c>
      <c r="B5907" s="1">
        <f>IFERROR(__xludf.DUMMYFUNCTION("""COMPUTED_VALUE"""),8877.06)</f>
        <v>8877.06</v>
      </c>
    </row>
    <row r="5908">
      <c r="A5908" s="2">
        <f>IFERROR(__xludf.DUMMYFUNCTION("""COMPUTED_VALUE"""),44372.66666666667)</f>
        <v>44372.66667</v>
      </c>
      <c r="B5908" s="1">
        <f>IFERROR(__xludf.DUMMYFUNCTION("""COMPUTED_VALUE"""),8906.79)</f>
        <v>8906.79</v>
      </c>
    </row>
    <row r="5909">
      <c r="A5909" s="2">
        <f>IFERROR(__xludf.DUMMYFUNCTION("""COMPUTED_VALUE"""),44375.66666666667)</f>
        <v>44375.66667</v>
      </c>
      <c r="B5909" s="1">
        <f>IFERROR(__xludf.DUMMYFUNCTION("""COMPUTED_VALUE"""),8927.4)</f>
        <v>8927.4</v>
      </c>
    </row>
    <row r="5910">
      <c r="A5910" s="2">
        <f>IFERROR(__xludf.DUMMYFUNCTION("""COMPUTED_VALUE"""),44376.66666666667)</f>
        <v>44376.66667</v>
      </c>
      <c r="B5910" s="1">
        <f>IFERROR(__xludf.DUMMYFUNCTION("""COMPUTED_VALUE"""),8930.67)</f>
        <v>8930.67</v>
      </c>
    </row>
    <row r="5911">
      <c r="A5911" s="2">
        <f>IFERROR(__xludf.DUMMYFUNCTION("""COMPUTED_VALUE"""),44377.66666666667)</f>
        <v>44377.66667</v>
      </c>
      <c r="B5911" s="1">
        <f>IFERROR(__xludf.DUMMYFUNCTION("""COMPUTED_VALUE"""),8942.78)</f>
        <v>8942.78</v>
      </c>
    </row>
    <row r="5912">
      <c r="A5912" s="2">
        <f>IFERROR(__xludf.DUMMYFUNCTION("""COMPUTED_VALUE"""),44378.66666666667)</f>
        <v>44378.66667</v>
      </c>
      <c r="B5912" s="1">
        <f>IFERROR(__xludf.DUMMYFUNCTION("""COMPUTED_VALUE"""),8990.08)</f>
        <v>8990.08</v>
      </c>
    </row>
    <row r="5913">
      <c r="A5913" s="2">
        <f>IFERROR(__xludf.DUMMYFUNCTION("""COMPUTED_VALUE"""),44379.66666666667)</f>
        <v>44379.66667</v>
      </c>
      <c r="B5913" s="1">
        <f>IFERROR(__xludf.DUMMYFUNCTION("""COMPUTED_VALUE"""),9058.66)</f>
        <v>9058.66</v>
      </c>
    </row>
    <row r="5914">
      <c r="A5914" s="2">
        <f>IFERROR(__xludf.DUMMYFUNCTION("""COMPUTED_VALUE"""),44383.66666666667)</f>
        <v>44383.66667</v>
      </c>
      <c r="B5914" s="1">
        <f>IFERROR(__xludf.DUMMYFUNCTION("""COMPUTED_VALUE"""),9040.76)</f>
        <v>9040.76</v>
      </c>
    </row>
    <row r="5915">
      <c r="A5915" s="2">
        <f>IFERROR(__xludf.DUMMYFUNCTION("""COMPUTED_VALUE"""),44384.66666666667)</f>
        <v>44384.66667</v>
      </c>
      <c r="B5915" s="1">
        <f>IFERROR(__xludf.DUMMYFUNCTION("""COMPUTED_VALUE"""),9071.14)</f>
        <v>9071.14</v>
      </c>
    </row>
    <row r="5916">
      <c r="A5916" s="2">
        <f>IFERROR(__xludf.DUMMYFUNCTION("""COMPUTED_VALUE"""),44385.66666666667)</f>
        <v>44385.66667</v>
      </c>
      <c r="B5916" s="1">
        <f>IFERROR(__xludf.DUMMYFUNCTION("""COMPUTED_VALUE"""),8995.26)</f>
        <v>8995.26</v>
      </c>
    </row>
    <row r="5917">
      <c r="A5917" s="2">
        <f>IFERROR(__xludf.DUMMYFUNCTION("""COMPUTED_VALUE"""),44386.66666666667)</f>
        <v>44386.66667</v>
      </c>
      <c r="B5917" s="1">
        <f>IFERROR(__xludf.DUMMYFUNCTION("""COMPUTED_VALUE"""),9096.84)</f>
        <v>9096.84</v>
      </c>
    </row>
    <row r="5918">
      <c r="A5918" s="2">
        <f>IFERROR(__xludf.DUMMYFUNCTION("""COMPUTED_VALUE"""),44389.66666666667)</f>
        <v>44389.66667</v>
      </c>
      <c r="B5918" s="1">
        <f>IFERROR(__xludf.DUMMYFUNCTION("""COMPUTED_VALUE"""),9128.22)</f>
        <v>9128.22</v>
      </c>
    </row>
    <row r="5919">
      <c r="A5919" s="2">
        <f>IFERROR(__xludf.DUMMYFUNCTION("""COMPUTED_VALUE"""),44390.66666666667)</f>
        <v>44390.66667</v>
      </c>
      <c r="B5919" s="1">
        <f>IFERROR(__xludf.DUMMYFUNCTION("""COMPUTED_VALUE"""),9096.15)</f>
        <v>9096.15</v>
      </c>
    </row>
    <row r="5920">
      <c r="A5920" s="2">
        <f>IFERROR(__xludf.DUMMYFUNCTION("""COMPUTED_VALUE"""),44391.66666666667)</f>
        <v>44391.66667</v>
      </c>
      <c r="B5920" s="1">
        <f>IFERROR(__xludf.DUMMYFUNCTION("""COMPUTED_VALUE"""),9107.85)</f>
        <v>9107.85</v>
      </c>
    </row>
    <row r="5921">
      <c r="A5921" s="2">
        <f>IFERROR(__xludf.DUMMYFUNCTION("""COMPUTED_VALUE"""),44392.66666666667)</f>
        <v>44392.66667</v>
      </c>
      <c r="B5921" s="1">
        <f>IFERROR(__xludf.DUMMYFUNCTION("""COMPUTED_VALUE"""),9078.33)</f>
        <v>9078.33</v>
      </c>
    </row>
    <row r="5922">
      <c r="A5922" s="2">
        <f>IFERROR(__xludf.DUMMYFUNCTION("""COMPUTED_VALUE"""),44393.66666666667)</f>
        <v>44393.66667</v>
      </c>
      <c r="B5922" s="1">
        <f>IFERROR(__xludf.DUMMYFUNCTION("""COMPUTED_VALUE"""),9009.89)</f>
        <v>9009.89</v>
      </c>
    </row>
    <row r="5923">
      <c r="A5923" s="2">
        <f>IFERROR(__xludf.DUMMYFUNCTION("""COMPUTED_VALUE"""),44396.66666666667)</f>
        <v>44396.66667</v>
      </c>
      <c r="B5923" s="1">
        <f>IFERROR(__xludf.DUMMYFUNCTION("""COMPUTED_VALUE"""),8867.07)</f>
        <v>8867.07</v>
      </c>
    </row>
    <row r="5924">
      <c r="A5924" s="2">
        <f>IFERROR(__xludf.DUMMYFUNCTION("""COMPUTED_VALUE"""),44397.66666666667)</f>
        <v>44397.66667</v>
      </c>
      <c r="B5924" s="1">
        <f>IFERROR(__xludf.DUMMYFUNCTION("""COMPUTED_VALUE"""),9001.77)</f>
        <v>9001.77</v>
      </c>
    </row>
    <row r="5925">
      <c r="A5925" s="2">
        <f>IFERROR(__xludf.DUMMYFUNCTION("""COMPUTED_VALUE"""),44398.66666666667)</f>
        <v>44398.66667</v>
      </c>
      <c r="B5925" s="1">
        <f>IFERROR(__xludf.DUMMYFUNCTION("""COMPUTED_VALUE"""),9075.97)</f>
        <v>9075.97</v>
      </c>
    </row>
    <row r="5926">
      <c r="A5926" s="2">
        <f>IFERROR(__xludf.DUMMYFUNCTION("""COMPUTED_VALUE"""),44399.66666666667)</f>
        <v>44399.66667</v>
      </c>
      <c r="B5926" s="1">
        <f>IFERROR(__xludf.DUMMYFUNCTION("""COMPUTED_VALUE"""),9094.95)</f>
        <v>9094.95</v>
      </c>
    </row>
    <row r="5927">
      <c r="A5927" s="2">
        <f>IFERROR(__xludf.DUMMYFUNCTION("""COMPUTED_VALUE"""),44400.66666666667)</f>
        <v>44400.66667</v>
      </c>
      <c r="B5927" s="1">
        <f>IFERROR(__xludf.DUMMYFUNCTION("""COMPUTED_VALUE"""),9187.64)</f>
        <v>9187.64</v>
      </c>
    </row>
    <row r="5928">
      <c r="A5928" s="2">
        <f>IFERROR(__xludf.DUMMYFUNCTION("""COMPUTED_VALUE"""),44403.66666666667)</f>
        <v>44403.66667</v>
      </c>
      <c r="B5928" s="1">
        <f>IFERROR(__xludf.DUMMYFUNCTION("""COMPUTED_VALUE"""),9209.63)</f>
        <v>9209.63</v>
      </c>
    </row>
    <row r="5929">
      <c r="A5929" s="2">
        <f>IFERROR(__xludf.DUMMYFUNCTION("""COMPUTED_VALUE"""),44404.66666666667)</f>
        <v>44404.66667</v>
      </c>
      <c r="B5929" s="1">
        <f>IFERROR(__xludf.DUMMYFUNCTION("""COMPUTED_VALUE"""),9166.27)</f>
        <v>9166.27</v>
      </c>
    </row>
    <row r="5930">
      <c r="A5930" s="2">
        <f>IFERROR(__xludf.DUMMYFUNCTION("""COMPUTED_VALUE"""),44405.66666666667)</f>
        <v>44405.66667</v>
      </c>
      <c r="B5930" s="1">
        <f>IFERROR(__xludf.DUMMYFUNCTION("""COMPUTED_VALUE"""),9164.62)</f>
        <v>9164.62</v>
      </c>
    </row>
    <row r="5931">
      <c r="A5931" s="2">
        <f>IFERROR(__xludf.DUMMYFUNCTION("""COMPUTED_VALUE"""),44406.66666666667)</f>
        <v>44406.66667</v>
      </c>
      <c r="B5931" s="1">
        <f>IFERROR(__xludf.DUMMYFUNCTION("""COMPUTED_VALUE"""),9204.25)</f>
        <v>9204.25</v>
      </c>
    </row>
    <row r="5932">
      <c r="A5932" s="2">
        <f>IFERROR(__xludf.DUMMYFUNCTION("""COMPUTED_VALUE"""),44407.66666666667)</f>
        <v>44407.66667</v>
      </c>
      <c r="B5932" s="1">
        <f>IFERROR(__xludf.DUMMYFUNCTION("""COMPUTED_VALUE"""),9155.21)</f>
        <v>9155.21</v>
      </c>
    </row>
    <row r="5933">
      <c r="A5933" s="2">
        <f>IFERROR(__xludf.DUMMYFUNCTION("""COMPUTED_VALUE"""),44410.66666666667)</f>
        <v>44410.66667</v>
      </c>
      <c r="B5933" s="1">
        <f>IFERROR(__xludf.DUMMYFUNCTION("""COMPUTED_VALUE"""),9138.36)</f>
        <v>9138.36</v>
      </c>
    </row>
    <row r="5934">
      <c r="A5934" s="2">
        <f>IFERROR(__xludf.DUMMYFUNCTION("""COMPUTED_VALUE"""),44411.66666666667)</f>
        <v>44411.66667</v>
      </c>
      <c r="B5934" s="1">
        <f>IFERROR(__xludf.DUMMYFUNCTION("""COMPUTED_VALUE"""),9213.35)</f>
        <v>9213.35</v>
      </c>
    </row>
    <row r="5935">
      <c r="A5935" s="2">
        <f>IFERROR(__xludf.DUMMYFUNCTION("""COMPUTED_VALUE"""),44412.66666666667)</f>
        <v>44412.66667</v>
      </c>
      <c r="B5935" s="1">
        <f>IFERROR(__xludf.DUMMYFUNCTION("""COMPUTED_VALUE"""),9170.76)</f>
        <v>9170.76</v>
      </c>
    </row>
    <row r="5936">
      <c r="A5936" s="2">
        <f>IFERROR(__xludf.DUMMYFUNCTION("""COMPUTED_VALUE"""),44413.66666666667)</f>
        <v>44413.66667</v>
      </c>
      <c r="B5936" s="1">
        <f>IFERROR(__xludf.DUMMYFUNCTION("""COMPUTED_VALUE"""),9226.49)</f>
        <v>9226.49</v>
      </c>
    </row>
    <row r="5937">
      <c r="A5937" s="2">
        <f>IFERROR(__xludf.DUMMYFUNCTION("""COMPUTED_VALUE"""),44414.66666666667)</f>
        <v>44414.66667</v>
      </c>
      <c r="B5937" s="1">
        <f>IFERROR(__xludf.DUMMYFUNCTION("""COMPUTED_VALUE"""),9243.03)</f>
        <v>9243.03</v>
      </c>
    </row>
    <row r="5938">
      <c r="A5938" s="2">
        <f>IFERROR(__xludf.DUMMYFUNCTION("""COMPUTED_VALUE"""),44417.66666666667)</f>
        <v>44417.66667</v>
      </c>
      <c r="B5938" s="1">
        <f>IFERROR(__xludf.DUMMYFUNCTION("""COMPUTED_VALUE"""),9235.05)</f>
        <v>9235.05</v>
      </c>
    </row>
    <row r="5939">
      <c r="A5939" s="2">
        <f>IFERROR(__xludf.DUMMYFUNCTION("""COMPUTED_VALUE"""),44418.66666666667)</f>
        <v>44418.66667</v>
      </c>
      <c r="B5939" s="1">
        <f>IFERROR(__xludf.DUMMYFUNCTION("""COMPUTED_VALUE"""),9244.22)</f>
        <v>9244.22</v>
      </c>
    </row>
    <row r="5940">
      <c r="A5940" s="2">
        <f>IFERROR(__xludf.DUMMYFUNCTION("""COMPUTED_VALUE"""),44419.66666666667)</f>
        <v>44419.66667</v>
      </c>
      <c r="B5940" s="1">
        <f>IFERROR(__xludf.DUMMYFUNCTION("""COMPUTED_VALUE"""),9267.4)</f>
        <v>9267.4</v>
      </c>
    </row>
    <row r="5941">
      <c r="A5941" s="2">
        <f>IFERROR(__xludf.DUMMYFUNCTION("""COMPUTED_VALUE"""),44420.66666666667)</f>
        <v>44420.66667</v>
      </c>
      <c r="B5941" s="1">
        <f>IFERROR(__xludf.DUMMYFUNCTION("""COMPUTED_VALUE"""),9297.2)</f>
        <v>9297.2</v>
      </c>
    </row>
    <row r="5942">
      <c r="A5942" s="2">
        <f>IFERROR(__xludf.DUMMYFUNCTION("""COMPUTED_VALUE"""),44421.66666666667)</f>
        <v>44421.66667</v>
      </c>
      <c r="B5942" s="1">
        <f>IFERROR(__xludf.DUMMYFUNCTION("""COMPUTED_VALUE"""),9312.51)</f>
        <v>9312.51</v>
      </c>
    </row>
    <row r="5943">
      <c r="A5943" s="2">
        <f>IFERROR(__xludf.DUMMYFUNCTION("""COMPUTED_VALUE"""),44424.66666666667)</f>
        <v>44424.66667</v>
      </c>
      <c r="B5943" s="1">
        <f>IFERROR(__xludf.DUMMYFUNCTION("""COMPUTED_VALUE"""),9337.18)</f>
        <v>9337.18</v>
      </c>
    </row>
    <row r="5944">
      <c r="A5944" s="2">
        <f>IFERROR(__xludf.DUMMYFUNCTION("""COMPUTED_VALUE"""),44425.66666666667)</f>
        <v>44425.66667</v>
      </c>
      <c r="B5944" s="1">
        <f>IFERROR(__xludf.DUMMYFUNCTION("""COMPUTED_VALUE"""),9271.83)</f>
        <v>9271.83</v>
      </c>
    </row>
    <row r="5945">
      <c r="A5945" s="2">
        <f>IFERROR(__xludf.DUMMYFUNCTION("""COMPUTED_VALUE"""),44426.66666666667)</f>
        <v>44426.66667</v>
      </c>
      <c r="B5945" s="1">
        <f>IFERROR(__xludf.DUMMYFUNCTION("""COMPUTED_VALUE"""),9173.93)</f>
        <v>9173.93</v>
      </c>
    </row>
    <row r="5946">
      <c r="A5946" s="2">
        <f>IFERROR(__xludf.DUMMYFUNCTION("""COMPUTED_VALUE"""),44427.66666666667)</f>
        <v>44427.66667</v>
      </c>
      <c r="B5946" s="1">
        <f>IFERROR(__xludf.DUMMYFUNCTION("""COMPUTED_VALUE"""),9186.07)</f>
        <v>9186.07</v>
      </c>
    </row>
    <row r="5947">
      <c r="A5947" s="2">
        <f>IFERROR(__xludf.DUMMYFUNCTION("""COMPUTED_VALUE"""),44428.66666666667)</f>
        <v>44428.66667</v>
      </c>
      <c r="B5947" s="1">
        <f>IFERROR(__xludf.DUMMYFUNCTION("""COMPUTED_VALUE"""),9261.31)</f>
        <v>9261.31</v>
      </c>
    </row>
    <row r="5948">
      <c r="A5948" s="2">
        <f>IFERROR(__xludf.DUMMYFUNCTION("""COMPUTED_VALUE"""),44431.66666666667)</f>
        <v>44431.66667</v>
      </c>
      <c r="B5948" s="1">
        <f>IFERROR(__xludf.DUMMYFUNCTION("""COMPUTED_VALUE"""),9341.09)</f>
        <v>9341.09</v>
      </c>
    </row>
    <row r="5949">
      <c r="A5949" s="2">
        <f>IFERROR(__xludf.DUMMYFUNCTION("""COMPUTED_VALUE"""),44432.66666666667)</f>
        <v>44432.66667</v>
      </c>
      <c r="B5949" s="1">
        <f>IFERROR(__xludf.DUMMYFUNCTION("""COMPUTED_VALUE"""),9355.11)</f>
        <v>9355.11</v>
      </c>
    </row>
    <row r="5950">
      <c r="A5950" s="2">
        <f>IFERROR(__xludf.DUMMYFUNCTION("""COMPUTED_VALUE"""),44433.66666666667)</f>
        <v>44433.66667</v>
      </c>
      <c r="B5950" s="1">
        <f>IFERROR(__xludf.DUMMYFUNCTION("""COMPUTED_VALUE"""),9376.0)</f>
        <v>9376</v>
      </c>
    </row>
    <row r="5951">
      <c r="A5951" s="2">
        <f>IFERROR(__xludf.DUMMYFUNCTION("""COMPUTED_VALUE"""),44434.66666666667)</f>
        <v>44434.66667</v>
      </c>
      <c r="B5951" s="1">
        <f>IFERROR(__xludf.DUMMYFUNCTION("""COMPUTED_VALUE"""),9321.74)</f>
        <v>9321.74</v>
      </c>
    </row>
    <row r="5952">
      <c r="A5952" s="2">
        <f>IFERROR(__xludf.DUMMYFUNCTION("""COMPUTED_VALUE"""),44435.66666666667)</f>
        <v>44435.66667</v>
      </c>
      <c r="B5952" s="1">
        <f>IFERROR(__xludf.DUMMYFUNCTION("""COMPUTED_VALUE"""),9404.15)</f>
        <v>9404.15</v>
      </c>
    </row>
    <row r="5953">
      <c r="A5953" s="2">
        <f>IFERROR(__xludf.DUMMYFUNCTION("""COMPUTED_VALUE"""),44438.66666666667)</f>
        <v>44438.66667</v>
      </c>
      <c r="B5953" s="1">
        <f>IFERROR(__xludf.DUMMYFUNCTION("""COMPUTED_VALUE"""),9445.24)</f>
        <v>9445.24</v>
      </c>
    </row>
    <row r="5954">
      <c r="A5954" s="2">
        <f>IFERROR(__xludf.DUMMYFUNCTION("""COMPUTED_VALUE"""),44439.66666666667)</f>
        <v>44439.66667</v>
      </c>
      <c r="B5954" s="1">
        <f>IFERROR(__xludf.DUMMYFUNCTION("""COMPUTED_VALUE"""),9433.58)</f>
        <v>9433.58</v>
      </c>
    </row>
    <row r="5955">
      <c r="A5955" s="2">
        <f>IFERROR(__xludf.DUMMYFUNCTION("""COMPUTED_VALUE"""),44440.66666666667)</f>
        <v>44440.66667</v>
      </c>
      <c r="B5955" s="1">
        <f>IFERROR(__xludf.DUMMYFUNCTION("""COMPUTED_VALUE"""),9437.15)</f>
        <v>9437.15</v>
      </c>
    </row>
    <row r="5956">
      <c r="A5956" s="2">
        <f>IFERROR(__xludf.DUMMYFUNCTION("""COMPUTED_VALUE"""),44441.66666666667)</f>
        <v>44441.66667</v>
      </c>
      <c r="B5956" s="1">
        <f>IFERROR(__xludf.DUMMYFUNCTION("""COMPUTED_VALUE"""),9465.47)</f>
        <v>9465.47</v>
      </c>
    </row>
    <row r="5957">
      <c r="A5957" s="2">
        <f>IFERROR(__xludf.DUMMYFUNCTION("""COMPUTED_VALUE"""),44442.66666666667)</f>
        <v>44442.66667</v>
      </c>
      <c r="B5957" s="1">
        <f>IFERROR(__xludf.DUMMYFUNCTION("""COMPUTED_VALUE"""),9462.54)</f>
        <v>9462.54</v>
      </c>
    </row>
    <row r="5958">
      <c r="A5958" s="2">
        <f>IFERROR(__xludf.DUMMYFUNCTION("""COMPUTED_VALUE"""),44446.66666666667)</f>
        <v>44446.66667</v>
      </c>
      <c r="B5958" s="1">
        <f>IFERROR(__xludf.DUMMYFUNCTION("""COMPUTED_VALUE"""),9430.68)</f>
        <v>9430.68</v>
      </c>
    </row>
    <row r="5959">
      <c r="A5959" s="2">
        <f>IFERROR(__xludf.DUMMYFUNCTION("""COMPUTED_VALUE"""),44447.66666666667)</f>
        <v>44447.66667</v>
      </c>
      <c r="B5959" s="1">
        <f>IFERROR(__xludf.DUMMYFUNCTION("""COMPUTED_VALUE"""),9418.57)</f>
        <v>9418.57</v>
      </c>
    </row>
    <row r="5960">
      <c r="A5960" s="2">
        <f>IFERROR(__xludf.DUMMYFUNCTION("""COMPUTED_VALUE"""),44448.66666666667)</f>
        <v>44448.66667</v>
      </c>
      <c r="B5960" s="1">
        <f>IFERROR(__xludf.DUMMYFUNCTION("""COMPUTED_VALUE"""),9375.99)</f>
        <v>9375.99</v>
      </c>
    </row>
    <row r="5961">
      <c r="A5961" s="2">
        <f>IFERROR(__xludf.DUMMYFUNCTION("""COMPUTED_VALUE"""),44449.66666666667)</f>
        <v>44449.66667</v>
      </c>
      <c r="B5961" s="1">
        <f>IFERROR(__xludf.DUMMYFUNCTION("""COMPUTED_VALUE"""),9304.03)</f>
        <v>9304.03</v>
      </c>
    </row>
    <row r="5962">
      <c r="A5962" s="2">
        <f>IFERROR(__xludf.DUMMYFUNCTION("""COMPUTED_VALUE"""),44452.66666666667)</f>
        <v>44452.66667</v>
      </c>
      <c r="B5962" s="1">
        <f>IFERROR(__xludf.DUMMYFUNCTION("""COMPUTED_VALUE"""),9325.29)</f>
        <v>9325.29</v>
      </c>
    </row>
    <row r="5963">
      <c r="A5963" s="2">
        <f>IFERROR(__xludf.DUMMYFUNCTION("""COMPUTED_VALUE"""),44453.66666666667)</f>
        <v>44453.66667</v>
      </c>
      <c r="B5963" s="1">
        <f>IFERROR(__xludf.DUMMYFUNCTION("""COMPUTED_VALUE"""),9273.99)</f>
        <v>9273.99</v>
      </c>
    </row>
    <row r="5964">
      <c r="A5964" s="2">
        <f>IFERROR(__xludf.DUMMYFUNCTION("""COMPUTED_VALUE"""),44454.66666666667)</f>
        <v>44454.66667</v>
      </c>
      <c r="B5964" s="1">
        <f>IFERROR(__xludf.DUMMYFUNCTION("""COMPUTED_VALUE"""),9352.83)</f>
        <v>9352.83</v>
      </c>
    </row>
    <row r="5965">
      <c r="A5965" s="2">
        <f>IFERROR(__xludf.DUMMYFUNCTION("""COMPUTED_VALUE"""),44455.66666666667)</f>
        <v>44455.66667</v>
      </c>
      <c r="B5965" s="1">
        <f>IFERROR(__xludf.DUMMYFUNCTION("""COMPUTED_VALUE"""),9338.61)</f>
        <v>9338.61</v>
      </c>
    </row>
    <row r="5966">
      <c r="A5966" s="2">
        <f>IFERROR(__xludf.DUMMYFUNCTION("""COMPUTED_VALUE"""),44456.66666666667)</f>
        <v>44456.66667</v>
      </c>
      <c r="B5966" s="1">
        <f>IFERROR(__xludf.DUMMYFUNCTION("""COMPUTED_VALUE"""),9253.57)</f>
        <v>9253.57</v>
      </c>
    </row>
    <row r="5967">
      <c r="A5967" s="2">
        <f>IFERROR(__xludf.DUMMYFUNCTION("""COMPUTED_VALUE"""),44459.66666666667)</f>
        <v>44459.66667</v>
      </c>
      <c r="B5967" s="1">
        <f>IFERROR(__xludf.DUMMYFUNCTION("""COMPUTED_VALUE"""),9096.52)</f>
        <v>9096.52</v>
      </c>
    </row>
    <row r="5968">
      <c r="A5968" s="2">
        <f>IFERROR(__xludf.DUMMYFUNCTION("""COMPUTED_VALUE"""),44460.66666666667)</f>
        <v>44460.66667</v>
      </c>
      <c r="B5968" s="1">
        <f>IFERROR(__xludf.DUMMYFUNCTION("""COMPUTED_VALUE"""),9089.55)</f>
        <v>9089.55</v>
      </c>
    </row>
    <row r="5969">
      <c r="A5969" s="2">
        <f>IFERROR(__xludf.DUMMYFUNCTION("""COMPUTED_VALUE"""),44461.66666666667)</f>
        <v>44461.66667</v>
      </c>
      <c r="B5969" s="1">
        <f>IFERROR(__xludf.DUMMYFUNCTION("""COMPUTED_VALUE"""),9176.08)</f>
        <v>9176.08</v>
      </c>
    </row>
    <row r="5970">
      <c r="A5970" s="2">
        <f>IFERROR(__xludf.DUMMYFUNCTION("""COMPUTED_VALUE"""),44462.66666666667)</f>
        <v>44462.66667</v>
      </c>
      <c r="B5970" s="1">
        <f>IFERROR(__xludf.DUMMYFUNCTION("""COMPUTED_VALUE"""),9287.8)</f>
        <v>9287.8</v>
      </c>
    </row>
    <row r="5971">
      <c r="A5971" s="2">
        <f>IFERROR(__xludf.DUMMYFUNCTION("""COMPUTED_VALUE"""),44463.66666666667)</f>
        <v>44463.66667</v>
      </c>
      <c r="B5971" s="1">
        <f>IFERROR(__xludf.DUMMYFUNCTION("""COMPUTED_VALUE"""),9301.49)</f>
        <v>9301.49</v>
      </c>
    </row>
    <row r="5972">
      <c r="A5972" s="2">
        <f>IFERROR(__xludf.DUMMYFUNCTION("""COMPUTED_VALUE"""),44466.66666666667)</f>
        <v>44466.66667</v>
      </c>
      <c r="B5972" s="1">
        <f>IFERROR(__xludf.DUMMYFUNCTION("""COMPUTED_VALUE"""),9275.87)</f>
        <v>9275.87</v>
      </c>
    </row>
    <row r="5973">
      <c r="A5973" s="2">
        <f>IFERROR(__xludf.DUMMYFUNCTION("""COMPUTED_VALUE"""),44467.66666666667)</f>
        <v>44467.66667</v>
      </c>
      <c r="B5973" s="1">
        <f>IFERROR(__xludf.DUMMYFUNCTION("""COMPUTED_VALUE"""),9087.47)</f>
        <v>9087.47</v>
      </c>
    </row>
    <row r="5974">
      <c r="A5974" s="2">
        <f>IFERROR(__xludf.DUMMYFUNCTION("""COMPUTED_VALUE"""),44468.66666666667)</f>
        <v>44468.66667</v>
      </c>
      <c r="B5974" s="1">
        <f>IFERROR(__xludf.DUMMYFUNCTION("""COMPUTED_VALUE"""),9102.62)</f>
        <v>9102.62</v>
      </c>
    </row>
    <row r="5975">
      <c r="A5975" s="2">
        <f>IFERROR(__xludf.DUMMYFUNCTION("""COMPUTED_VALUE"""),44469.66666666667)</f>
        <v>44469.66667</v>
      </c>
      <c r="B5975" s="1">
        <f>IFERROR(__xludf.DUMMYFUNCTION("""COMPUTED_VALUE"""),8994.83)</f>
        <v>8994.83</v>
      </c>
    </row>
    <row r="5976">
      <c r="A5976" s="2">
        <f>IFERROR(__xludf.DUMMYFUNCTION("""COMPUTED_VALUE"""),44470.66666666667)</f>
        <v>44470.66667</v>
      </c>
      <c r="B5976" s="1">
        <f>IFERROR(__xludf.DUMMYFUNCTION("""COMPUTED_VALUE"""),9098.25)</f>
        <v>9098.25</v>
      </c>
    </row>
    <row r="5977">
      <c r="A5977" s="2">
        <f>IFERROR(__xludf.DUMMYFUNCTION("""COMPUTED_VALUE"""),44473.66666666667)</f>
        <v>44473.66667</v>
      </c>
      <c r="B5977" s="1">
        <f>IFERROR(__xludf.DUMMYFUNCTION("""COMPUTED_VALUE"""),8980.64)</f>
        <v>8980.64</v>
      </c>
    </row>
    <row r="5978">
      <c r="A5978" s="2">
        <f>IFERROR(__xludf.DUMMYFUNCTION("""COMPUTED_VALUE"""),44474.66666666667)</f>
        <v>44474.66667</v>
      </c>
      <c r="B5978" s="1">
        <f>IFERROR(__xludf.DUMMYFUNCTION("""COMPUTED_VALUE"""),9076.19)</f>
        <v>9076.19</v>
      </c>
    </row>
    <row r="5979">
      <c r="A5979" s="2">
        <f>IFERROR(__xludf.DUMMYFUNCTION("""COMPUTED_VALUE"""),44475.66666666667)</f>
        <v>44475.66667</v>
      </c>
      <c r="B5979" s="1">
        <f>IFERROR(__xludf.DUMMYFUNCTION("""COMPUTED_VALUE"""),9113.45)</f>
        <v>9113.45</v>
      </c>
    </row>
    <row r="5980">
      <c r="A5980" s="2">
        <f>IFERROR(__xludf.DUMMYFUNCTION("""COMPUTED_VALUE"""),44476.66666666667)</f>
        <v>44476.66667</v>
      </c>
      <c r="B5980" s="1">
        <f>IFERROR(__xludf.DUMMYFUNCTION("""COMPUTED_VALUE"""),9191.19)</f>
        <v>9191.19</v>
      </c>
    </row>
    <row r="5981">
      <c r="A5981" s="2">
        <f>IFERROR(__xludf.DUMMYFUNCTION("""COMPUTED_VALUE"""),44477.66666666667)</f>
        <v>44477.66667</v>
      </c>
      <c r="B5981" s="1">
        <f>IFERROR(__xludf.DUMMYFUNCTION("""COMPUTED_VALUE"""),9173.74)</f>
        <v>9173.74</v>
      </c>
    </row>
    <row r="5982">
      <c r="A5982" s="2">
        <f>IFERROR(__xludf.DUMMYFUNCTION("""COMPUTED_VALUE"""),44480.66666666667)</f>
        <v>44480.66667</v>
      </c>
      <c r="B5982" s="1">
        <f>IFERROR(__xludf.DUMMYFUNCTION("""COMPUTED_VALUE"""),9110.76)</f>
        <v>9110.76</v>
      </c>
    </row>
    <row r="5983">
      <c r="A5983" s="2">
        <f>IFERROR(__xludf.DUMMYFUNCTION("""COMPUTED_VALUE"""),44481.66666666667)</f>
        <v>44481.66667</v>
      </c>
      <c r="B5983" s="1">
        <f>IFERROR(__xludf.DUMMYFUNCTION("""COMPUTED_VALUE"""),9088.73)</f>
        <v>9088.73</v>
      </c>
    </row>
    <row r="5984">
      <c r="A5984" s="2">
        <f>IFERROR(__xludf.DUMMYFUNCTION("""COMPUTED_VALUE"""),44482.66666666667)</f>
        <v>44482.66667</v>
      </c>
      <c r="B5984" s="1">
        <f>IFERROR(__xludf.DUMMYFUNCTION("""COMPUTED_VALUE"""),9116.39)</f>
        <v>9116.39</v>
      </c>
    </row>
    <row r="5985">
      <c r="A5985" s="2">
        <f>IFERROR(__xludf.DUMMYFUNCTION("""COMPUTED_VALUE"""),44483.66666666667)</f>
        <v>44483.66667</v>
      </c>
      <c r="B5985" s="1">
        <f>IFERROR(__xludf.DUMMYFUNCTION("""COMPUTED_VALUE"""),9272.97)</f>
        <v>9272.97</v>
      </c>
    </row>
    <row r="5986">
      <c r="A5986" s="2">
        <f>IFERROR(__xludf.DUMMYFUNCTION("""COMPUTED_VALUE"""),44484.66666666667)</f>
        <v>44484.66667</v>
      </c>
      <c r="B5986" s="1">
        <f>IFERROR(__xludf.DUMMYFUNCTION("""COMPUTED_VALUE"""),9342.15)</f>
        <v>9342.15</v>
      </c>
    </row>
    <row r="5987">
      <c r="A5987" s="2">
        <f>IFERROR(__xludf.DUMMYFUNCTION("""COMPUTED_VALUE"""),44487.66666666667)</f>
        <v>44487.66667</v>
      </c>
      <c r="B5987" s="1">
        <f>IFERROR(__xludf.DUMMYFUNCTION("""COMPUTED_VALUE"""),9373.68)</f>
        <v>9373.68</v>
      </c>
    </row>
    <row r="5988">
      <c r="A5988" s="2">
        <f>IFERROR(__xludf.DUMMYFUNCTION("""COMPUTED_VALUE"""),44488.66666666667)</f>
        <v>44488.66667</v>
      </c>
      <c r="B5988" s="1">
        <f>IFERROR(__xludf.DUMMYFUNCTION("""COMPUTED_VALUE"""),9443.12)</f>
        <v>9443.12</v>
      </c>
    </row>
    <row r="5989">
      <c r="A5989" s="2">
        <f>IFERROR(__xludf.DUMMYFUNCTION("""COMPUTED_VALUE"""),44489.66666666667)</f>
        <v>44489.66667</v>
      </c>
      <c r="B5989" s="1">
        <f>IFERROR(__xludf.DUMMYFUNCTION("""COMPUTED_VALUE"""),9477.82)</f>
        <v>9477.82</v>
      </c>
    </row>
    <row r="5990">
      <c r="A5990" s="2">
        <f>IFERROR(__xludf.DUMMYFUNCTION("""COMPUTED_VALUE"""),44490.66666666667)</f>
        <v>44490.66667</v>
      </c>
      <c r="B5990" s="1">
        <f>IFERROR(__xludf.DUMMYFUNCTION("""COMPUTED_VALUE"""),9506.91)</f>
        <v>9506.91</v>
      </c>
    </row>
    <row r="5991">
      <c r="A5991" s="2">
        <f>IFERROR(__xludf.DUMMYFUNCTION("""COMPUTED_VALUE"""),44491.66666666667)</f>
        <v>44491.66667</v>
      </c>
      <c r="B5991" s="1">
        <f>IFERROR(__xludf.DUMMYFUNCTION("""COMPUTED_VALUE"""),9496.86)</f>
        <v>9496.86</v>
      </c>
    </row>
    <row r="5992">
      <c r="A5992" s="2">
        <f>IFERROR(__xludf.DUMMYFUNCTION("""COMPUTED_VALUE"""),44494.66666666667)</f>
        <v>44494.66667</v>
      </c>
      <c r="B5992" s="1">
        <f>IFERROR(__xludf.DUMMYFUNCTION("""COMPUTED_VALUE"""),9541.99)</f>
        <v>9541.99</v>
      </c>
    </row>
    <row r="5993">
      <c r="A5993" s="2">
        <f>IFERROR(__xludf.DUMMYFUNCTION("""COMPUTED_VALUE"""),44495.66666666667)</f>
        <v>44495.66667</v>
      </c>
      <c r="B5993" s="1">
        <f>IFERROR(__xludf.DUMMYFUNCTION("""COMPUTED_VALUE"""),9559.39)</f>
        <v>9559.39</v>
      </c>
    </row>
    <row r="5994">
      <c r="A5994" s="2">
        <f>IFERROR(__xludf.DUMMYFUNCTION("""COMPUTED_VALUE"""),44496.66666666667)</f>
        <v>44496.66667</v>
      </c>
      <c r="B5994" s="1">
        <f>IFERROR(__xludf.DUMMYFUNCTION("""COMPUTED_VALUE"""),9511.27)</f>
        <v>9511.27</v>
      </c>
    </row>
    <row r="5995">
      <c r="A5995" s="2">
        <f>IFERROR(__xludf.DUMMYFUNCTION("""COMPUTED_VALUE"""),44497.66666666667)</f>
        <v>44497.66667</v>
      </c>
      <c r="B5995" s="1">
        <f>IFERROR(__xludf.DUMMYFUNCTION("""COMPUTED_VALUE"""),9605.23)</f>
        <v>9605.23</v>
      </c>
    </row>
    <row r="5996">
      <c r="A5996" s="2">
        <f>IFERROR(__xludf.DUMMYFUNCTION("""COMPUTED_VALUE"""),44498.66666666667)</f>
        <v>44498.66667</v>
      </c>
      <c r="B5996" s="1">
        <f>IFERROR(__xludf.DUMMYFUNCTION("""COMPUTED_VALUE"""),9625.02)</f>
        <v>9625.02</v>
      </c>
    </row>
    <row r="5997">
      <c r="A5997" s="2">
        <f>IFERROR(__xludf.DUMMYFUNCTION("""COMPUTED_VALUE"""),44501.66666666667)</f>
        <v>44501.66667</v>
      </c>
      <c r="B5997" s="1">
        <f>IFERROR(__xludf.DUMMYFUNCTION("""COMPUTED_VALUE"""),9642.44)</f>
        <v>9642.44</v>
      </c>
    </row>
    <row r="5998">
      <c r="A5998" s="2">
        <f>IFERROR(__xludf.DUMMYFUNCTION("""COMPUTED_VALUE"""),44502.66666666667)</f>
        <v>44502.66667</v>
      </c>
      <c r="B5998" s="1">
        <f>IFERROR(__xludf.DUMMYFUNCTION("""COMPUTED_VALUE"""),9677.95)</f>
        <v>9677.95</v>
      </c>
    </row>
    <row r="5999">
      <c r="A5999" s="2">
        <f>IFERROR(__xludf.DUMMYFUNCTION("""COMPUTED_VALUE"""),44503.66666666667)</f>
        <v>44503.66667</v>
      </c>
      <c r="B5999" s="1">
        <f>IFERROR(__xludf.DUMMYFUNCTION("""COMPUTED_VALUE"""),9740.47)</f>
        <v>9740.47</v>
      </c>
    </row>
    <row r="6000">
      <c r="A6000" s="2">
        <f>IFERROR(__xludf.DUMMYFUNCTION("""COMPUTED_VALUE"""),44504.66666666667)</f>
        <v>44504.66667</v>
      </c>
      <c r="B6000" s="1">
        <f>IFERROR(__xludf.DUMMYFUNCTION("""COMPUTED_VALUE"""),9782.48)</f>
        <v>9782.48</v>
      </c>
    </row>
    <row r="6001">
      <c r="A6001" s="2">
        <f>IFERROR(__xludf.DUMMYFUNCTION("""COMPUTED_VALUE"""),44505.66666666667)</f>
        <v>44505.66667</v>
      </c>
      <c r="B6001" s="1">
        <f>IFERROR(__xludf.DUMMYFUNCTION("""COMPUTED_VALUE"""),9819.98)</f>
        <v>9819.98</v>
      </c>
    </row>
    <row r="6002">
      <c r="A6002" s="2">
        <f>IFERROR(__xludf.DUMMYFUNCTION("""COMPUTED_VALUE"""),44508.66666666667)</f>
        <v>44508.66667</v>
      </c>
      <c r="B6002" s="1">
        <f>IFERROR(__xludf.DUMMYFUNCTION("""COMPUTED_VALUE"""),9828.81)</f>
        <v>9828.81</v>
      </c>
    </row>
    <row r="6003">
      <c r="A6003" s="2">
        <f>IFERROR(__xludf.DUMMYFUNCTION("""COMPUTED_VALUE"""),44509.66666666667)</f>
        <v>44509.66667</v>
      </c>
      <c r="B6003" s="1">
        <f>IFERROR(__xludf.DUMMYFUNCTION("""COMPUTED_VALUE"""),9795.12)</f>
        <v>9795.12</v>
      </c>
    </row>
    <row r="6004">
      <c r="A6004" s="2">
        <f>IFERROR(__xludf.DUMMYFUNCTION("""COMPUTED_VALUE"""),44510.66666666667)</f>
        <v>44510.66667</v>
      </c>
      <c r="B6004" s="1">
        <f>IFERROR(__xludf.DUMMYFUNCTION("""COMPUTED_VALUE"""),9716.72)</f>
        <v>9716.72</v>
      </c>
    </row>
    <row r="6005">
      <c r="A6005" s="2">
        <f>IFERROR(__xludf.DUMMYFUNCTION("""COMPUTED_VALUE"""),44511.66666666667)</f>
        <v>44511.66667</v>
      </c>
      <c r="B6005" s="1">
        <f>IFERROR(__xludf.DUMMYFUNCTION("""COMPUTED_VALUE"""),9722.08)</f>
        <v>9722.08</v>
      </c>
    </row>
    <row r="6006">
      <c r="A6006" s="2">
        <f>IFERROR(__xludf.DUMMYFUNCTION("""COMPUTED_VALUE"""),44512.66666666667)</f>
        <v>44512.66667</v>
      </c>
      <c r="B6006" s="1">
        <f>IFERROR(__xludf.DUMMYFUNCTION("""COMPUTED_VALUE"""),9793.22)</f>
        <v>9793.22</v>
      </c>
    </row>
    <row r="6007">
      <c r="A6007" s="2">
        <f>IFERROR(__xludf.DUMMYFUNCTION("""COMPUTED_VALUE"""),44515.66666666667)</f>
        <v>44515.66667</v>
      </c>
      <c r="B6007" s="1">
        <f>IFERROR(__xludf.DUMMYFUNCTION("""COMPUTED_VALUE"""),9793.53)</f>
        <v>9793.53</v>
      </c>
    </row>
    <row r="6008">
      <c r="A6008" s="2">
        <f>IFERROR(__xludf.DUMMYFUNCTION("""COMPUTED_VALUE"""),44516.66666666667)</f>
        <v>44516.66667</v>
      </c>
      <c r="B6008" s="1">
        <f>IFERROR(__xludf.DUMMYFUNCTION("""COMPUTED_VALUE"""),9831.91)</f>
        <v>9831.91</v>
      </c>
    </row>
    <row r="6009">
      <c r="A6009" s="2">
        <f>IFERROR(__xludf.DUMMYFUNCTION("""COMPUTED_VALUE"""),44517.66666666667)</f>
        <v>44517.66667</v>
      </c>
      <c r="B6009" s="1">
        <f>IFERROR(__xludf.DUMMYFUNCTION("""COMPUTED_VALUE"""),9808.27)</f>
        <v>9808.27</v>
      </c>
    </row>
    <row r="6010">
      <c r="A6010" s="2">
        <f>IFERROR(__xludf.DUMMYFUNCTION("""COMPUTED_VALUE"""),44518.66666666667)</f>
        <v>44518.66667</v>
      </c>
      <c r="B6010" s="1">
        <f>IFERROR(__xludf.DUMMYFUNCTION("""COMPUTED_VALUE"""),9842.35)</f>
        <v>9842.35</v>
      </c>
    </row>
    <row r="6011">
      <c r="A6011" s="2">
        <f>IFERROR(__xludf.DUMMYFUNCTION("""COMPUTED_VALUE"""),44519.66666666667)</f>
        <v>44519.66667</v>
      </c>
      <c r="B6011" s="1">
        <f>IFERROR(__xludf.DUMMYFUNCTION("""COMPUTED_VALUE"""),9828.8)</f>
        <v>9828.8</v>
      </c>
    </row>
    <row r="6012">
      <c r="A6012" s="2">
        <f>IFERROR(__xludf.DUMMYFUNCTION("""COMPUTED_VALUE"""),44522.66666666667)</f>
        <v>44522.66667</v>
      </c>
      <c r="B6012" s="1">
        <f>IFERROR(__xludf.DUMMYFUNCTION("""COMPUTED_VALUE"""),9798.29)</f>
        <v>9798.29</v>
      </c>
    </row>
    <row r="6013">
      <c r="A6013" s="2">
        <f>IFERROR(__xludf.DUMMYFUNCTION("""COMPUTED_VALUE"""),44523.66666666667)</f>
        <v>44523.66667</v>
      </c>
      <c r="B6013" s="1">
        <f>IFERROR(__xludf.DUMMYFUNCTION("""COMPUTED_VALUE"""),9814.65)</f>
        <v>9814.65</v>
      </c>
    </row>
    <row r="6014">
      <c r="A6014" s="2">
        <f>IFERROR(__xludf.DUMMYFUNCTION("""COMPUTED_VALUE"""),44524.66666666667)</f>
        <v>44524.66667</v>
      </c>
      <c r="B6014" s="1">
        <f>IFERROR(__xludf.DUMMYFUNCTION("""COMPUTED_VALUE"""),9837.6)</f>
        <v>9837.6</v>
      </c>
    </row>
    <row r="6015">
      <c r="A6015" s="2">
        <f>IFERROR(__xludf.DUMMYFUNCTION("""COMPUTED_VALUE"""),44526.54166666667)</f>
        <v>44526.54167</v>
      </c>
      <c r="B6015" s="1">
        <f>IFERROR(__xludf.DUMMYFUNCTION("""COMPUTED_VALUE"""),9614.25)</f>
        <v>9614.25</v>
      </c>
    </row>
    <row r="6016">
      <c r="A6016" s="2">
        <f>IFERROR(__xludf.DUMMYFUNCTION("""COMPUTED_VALUE"""),44529.66666666667)</f>
        <v>44529.66667</v>
      </c>
      <c r="B6016" s="1">
        <f>IFERROR(__xludf.DUMMYFUNCTION("""COMPUTED_VALUE"""),9741.78)</f>
        <v>9741.78</v>
      </c>
    </row>
    <row r="6017">
      <c r="A6017" s="2">
        <f>IFERROR(__xludf.DUMMYFUNCTION("""COMPUTED_VALUE"""),44530.66666666667)</f>
        <v>44530.66667</v>
      </c>
      <c r="B6017" s="1">
        <f>IFERROR(__xludf.DUMMYFUNCTION("""COMPUTED_VALUE"""),9558.33)</f>
        <v>9558.33</v>
      </c>
    </row>
    <row r="6018">
      <c r="A6018" s="2">
        <f>IFERROR(__xludf.DUMMYFUNCTION("""COMPUTED_VALUE"""),44531.66666666667)</f>
        <v>44531.66667</v>
      </c>
      <c r="B6018" s="1">
        <f>IFERROR(__xludf.DUMMYFUNCTION("""COMPUTED_VALUE"""),9446.21)</f>
        <v>9446.21</v>
      </c>
    </row>
    <row r="6019">
      <c r="A6019" s="2">
        <f>IFERROR(__xludf.DUMMYFUNCTION("""COMPUTED_VALUE"""),44532.66666666667)</f>
        <v>44532.66667</v>
      </c>
      <c r="B6019" s="1">
        <f>IFERROR(__xludf.DUMMYFUNCTION("""COMPUTED_VALUE"""),9581.79)</f>
        <v>9581.79</v>
      </c>
    </row>
    <row r="6020">
      <c r="A6020" s="2">
        <f>IFERROR(__xludf.DUMMYFUNCTION("""COMPUTED_VALUE"""),44533.66666666667)</f>
        <v>44533.66667</v>
      </c>
      <c r="B6020" s="1">
        <f>IFERROR(__xludf.DUMMYFUNCTION("""COMPUTED_VALUE"""),9501.28)</f>
        <v>9501.28</v>
      </c>
    </row>
    <row r="6021">
      <c r="A6021" s="2">
        <f>IFERROR(__xludf.DUMMYFUNCTION("""COMPUTED_VALUE"""),44536.66666666667)</f>
        <v>44536.66667</v>
      </c>
      <c r="B6021" s="1">
        <f>IFERROR(__xludf.DUMMYFUNCTION("""COMPUTED_VALUE"""),9613.02)</f>
        <v>9613.02</v>
      </c>
    </row>
    <row r="6022">
      <c r="A6022" s="2">
        <f>IFERROR(__xludf.DUMMYFUNCTION("""COMPUTED_VALUE"""),44537.66666666667)</f>
        <v>44537.66667</v>
      </c>
      <c r="B6022" s="1">
        <f>IFERROR(__xludf.DUMMYFUNCTION("""COMPUTED_VALUE"""),9812.2)</f>
        <v>9812.2</v>
      </c>
    </row>
    <row r="6023">
      <c r="A6023" s="2">
        <f>IFERROR(__xludf.DUMMYFUNCTION("""COMPUTED_VALUE"""),44538.66666666667)</f>
        <v>44538.66667</v>
      </c>
      <c r="B6023" s="1">
        <f>IFERROR(__xludf.DUMMYFUNCTION("""COMPUTED_VALUE"""),9842.68)</f>
        <v>9842.68</v>
      </c>
    </row>
    <row r="6024">
      <c r="A6024" s="2">
        <f>IFERROR(__xludf.DUMMYFUNCTION("""COMPUTED_VALUE"""),44539.66666666667)</f>
        <v>44539.66667</v>
      </c>
      <c r="B6024" s="1">
        <f>IFERROR(__xludf.DUMMYFUNCTION("""COMPUTED_VALUE"""),9773.19)</f>
        <v>9773.19</v>
      </c>
    </row>
    <row r="6025">
      <c r="A6025" s="2">
        <f>IFERROR(__xludf.DUMMYFUNCTION("""COMPUTED_VALUE"""),44540.66666666667)</f>
        <v>44540.66667</v>
      </c>
      <c r="B6025" s="1">
        <f>IFERROR(__xludf.DUMMYFUNCTION("""COMPUTED_VALUE"""),9866.62)</f>
        <v>9866.62</v>
      </c>
    </row>
    <row r="6026">
      <c r="A6026" s="2">
        <f>IFERROR(__xludf.DUMMYFUNCTION("""COMPUTED_VALUE"""),44543.66666666667)</f>
        <v>44543.66667</v>
      </c>
      <c r="B6026" s="1">
        <f>IFERROR(__xludf.DUMMYFUNCTION("""COMPUTED_VALUE"""),9776.69)</f>
        <v>9776.69</v>
      </c>
    </row>
    <row r="6027">
      <c r="A6027" s="2">
        <f>IFERROR(__xludf.DUMMYFUNCTION("""COMPUTED_VALUE"""),44544.66666666667)</f>
        <v>44544.66667</v>
      </c>
      <c r="B6027" s="1">
        <f>IFERROR(__xludf.DUMMYFUNCTION("""COMPUTED_VALUE"""),9705.06)</f>
        <v>9705.06</v>
      </c>
    </row>
    <row r="6028">
      <c r="A6028" s="2">
        <f>IFERROR(__xludf.DUMMYFUNCTION("""COMPUTED_VALUE"""),44545.66666666667)</f>
        <v>44545.66667</v>
      </c>
      <c r="B6028" s="1">
        <f>IFERROR(__xludf.DUMMYFUNCTION("""COMPUTED_VALUE"""),9863.92)</f>
        <v>9863.92</v>
      </c>
    </row>
    <row r="6029">
      <c r="A6029" s="2">
        <f>IFERROR(__xludf.DUMMYFUNCTION("""COMPUTED_VALUE"""),44546.66666666667)</f>
        <v>44546.66667</v>
      </c>
      <c r="B6029" s="1">
        <f>IFERROR(__xludf.DUMMYFUNCTION("""COMPUTED_VALUE"""),9778.09)</f>
        <v>9778.09</v>
      </c>
    </row>
    <row r="6030">
      <c r="A6030" s="2">
        <f>IFERROR(__xludf.DUMMYFUNCTION("""COMPUTED_VALUE"""),44547.66666666667)</f>
        <v>44547.66667</v>
      </c>
      <c r="B6030" s="1">
        <f>IFERROR(__xludf.DUMMYFUNCTION("""COMPUTED_VALUE"""),9678.03)</f>
        <v>9678.03</v>
      </c>
    </row>
    <row r="6031">
      <c r="A6031" s="2">
        <f>IFERROR(__xludf.DUMMYFUNCTION("""COMPUTED_VALUE"""),44550.66666666667)</f>
        <v>44550.66667</v>
      </c>
      <c r="B6031" s="1">
        <f>IFERROR(__xludf.DUMMYFUNCTION("""COMPUTED_VALUE"""),9567.91)</f>
        <v>9567.91</v>
      </c>
    </row>
    <row r="6032">
      <c r="A6032" s="2">
        <f>IFERROR(__xludf.DUMMYFUNCTION("""COMPUTED_VALUE"""),44551.66666666667)</f>
        <v>44551.66667</v>
      </c>
      <c r="B6032" s="1">
        <f>IFERROR(__xludf.DUMMYFUNCTION("""COMPUTED_VALUE"""),9738.73)</f>
        <v>9738.73</v>
      </c>
    </row>
    <row r="6033">
      <c r="A6033" s="2">
        <f>IFERROR(__xludf.DUMMYFUNCTION("""COMPUTED_VALUE"""),44552.66666666667)</f>
        <v>44552.66667</v>
      </c>
      <c r="B6033" s="1">
        <f>IFERROR(__xludf.DUMMYFUNCTION("""COMPUTED_VALUE"""),9838.9)</f>
        <v>9838.9</v>
      </c>
    </row>
    <row r="6034">
      <c r="A6034" s="2">
        <f>IFERROR(__xludf.DUMMYFUNCTION("""COMPUTED_VALUE"""),44553.66666666667)</f>
        <v>44553.66667</v>
      </c>
      <c r="B6034" s="1">
        <f>IFERROR(__xludf.DUMMYFUNCTION("""COMPUTED_VALUE"""),9900.3)</f>
        <v>9900.3</v>
      </c>
    </row>
    <row r="6035">
      <c r="A6035" s="2">
        <f>IFERROR(__xludf.DUMMYFUNCTION("""COMPUTED_VALUE"""),44557.66666666667)</f>
        <v>44557.66667</v>
      </c>
      <c r="B6035" s="1">
        <f>IFERROR(__xludf.DUMMYFUNCTION("""COMPUTED_VALUE"""),10037.67)</f>
        <v>10037.67</v>
      </c>
    </row>
    <row r="6036">
      <c r="A6036" s="2">
        <f>IFERROR(__xludf.DUMMYFUNCTION("""COMPUTED_VALUE"""),44558.66666666667)</f>
        <v>44558.66667</v>
      </c>
      <c r="B6036" s="1">
        <f>IFERROR(__xludf.DUMMYFUNCTION("""COMPUTED_VALUE"""),10027.53)</f>
        <v>10027.53</v>
      </c>
    </row>
    <row r="6037">
      <c r="A6037" s="2">
        <f>IFERROR(__xludf.DUMMYFUNCTION("""COMPUTED_VALUE"""),44559.66666666667)</f>
        <v>44559.66667</v>
      </c>
      <c r="B6037" s="1">
        <f>IFERROR(__xludf.DUMMYFUNCTION("""COMPUTED_VALUE"""),10041.61)</f>
        <v>10041.61</v>
      </c>
    </row>
    <row r="6038">
      <c r="A6038" s="2">
        <f>IFERROR(__xludf.DUMMYFUNCTION("""COMPUTED_VALUE"""),44560.66666666667)</f>
        <v>44560.66667</v>
      </c>
      <c r="B6038" s="1">
        <f>IFERROR(__xludf.DUMMYFUNCTION("""COMPUTED_VALUE"""),10012.51)</f>
        <v>10012.51</v>
      </c>
    </row>
    <row r="6039">
      <c r="A6039" s="2">
        <f>IFERROR(__xludf.DUMMYFUNCTION("""COMPUTED_VALUE"""),44561.66666666667)</f>
        <v>44561.66667</v>
      </c>
      <c r="B6039" s="1">
        <f>IFERROR(__xludf.DUMMYFUNCTION("""COMPUTED_VALUE"""),9986.7)</f>
        <v>9986.7</v>
      </c>
    </row>
    <row r="6040">
      <c r="A6040" s="2">
        <f>IFERROR(__xludf.DUMMYFUNCTION("""COMPUTED_VALUE"""),44564.66666666667)</f>
        <v>44564.66667</v>
      </c>
      <c r="B6040" s="1">
        <f>IFERROR(__xludf.DUMMYFUNCTION("""COMPUTED_VALUE"""),10050.41)</f>
        <v>10050.41</v>
      </c>
    </row>
    <row r="6041">
      <c r="A6041" s="2">
        <f>IFERROR(__xludf.DUMMYFUNCTION("""COMPUTED_VALUE"""),44565.66666666667)</f>
        <v>44565.66667</v>
      </c>
      <c r="B6041" s="1">
        <f>IFERROR(__xludf.DUMMYFUNCTION("""COMPUTED_VALUE"""),10044.75)</f>
        <v>10044.75</v>
      </c>
    </row>
    <row r="6042">
      <c r="A6042" s="2">
        <f>IFERROR(__xludf.DUMMYFUNCTION("""COMPUTED_VALUE"""),44566.66666666667)</f>
        <v>44566.66667</v>
      </c>
      <c r="B6042" s="1">
        <f>IFERROR(__xludf.DUMMYFUNCTION("""COMPUTED_VALUE"""),9850.7)</f>
        <v>9850.7</v>
      </c>
    </row>
    <row r="6043">
      <c r="A6043" s="2">
        <f>IFERROR(__xludf.DUMMYFUNCTION("""COMPUTED_VALUE"""),44567.66666666667)</f>
        <v>44567.66667</v>
      </c>
      <c r="B6043" s="1">
        <f>IFERROR(__xludf.DUMMYFUNCTION("""COMPUTED_VALUE"""),9841.92)</f>
        <v>9841.92</v>
      </c>
    </row>
    <row r="6044">
      <c r="A6044" s="2">
        <f>IFERROR(__xludf.DUMMYFUNCTION("""COMPUTED_VALUE"""),44568.66666666667)</f>
        <v>44568.66667</v>
      </c>
      <c r="B6044" s="1">
        <f>IFERROR(__xludf.DUMMYFUNCTION("""COMPUTED_VALUE"""),9803.85)</f>
        <v>9803.85</v>
      </c>
    </row>
    <row r="6045">
      <c r="A6045" s="2">
        <f>IFERROR(__xludf.DUMMYFUNCTION("""COMPUTED_VALUE"""),44571.66666666667)</f>
        <v>44571.66667</v>
      </c>
      <c r="B6045" s="1">
        <f>IFERROR(__xludf.DUMMYFUNCTION("""COMPUTED_VALUE"""),9789.72)</f>
        <v>9789.72</v>
      </c>
    </row>
    <row r="6046">
      <c r="A6046" s="2">
        <f>IFERROR(__xludf.DUMMYFUNCTION("""COMPUTED_VALUE"""),44572.66666666667)</f>
        <v>44572.66667</v>
      </c>
      <c r="B6046" s="1">
        <f>IFERROR(__xludf.DUMMYFUNCTION("""COMPUTED_VALUE"""),9879.39)</f>
        <v>9879.39</v>
      </c>
    </row>
    <row r="6047">
      <c r="A6047" s="2">
        <f>IFERROR(__xludf.DUMMYFUNCTION("""COMPUTED_VALUE"""),44573.66666666667)</f>
        <v>44573.66667</v>
      </c>
      <c r="B6047" s="1">
        <f>IFERROR(__xludf.DUMMYFUNCTION("""COMPUTED_VALUE"""),9907.38)</f>
        <v>9907.38</v>
      </c>
    </row>
    <row r="6048">
      <c r="A6048" s="2">
        <f>IFERROR(__xludf.DUMMYFUNCTION("""COMPUTED_VALUE"""),44574.66666666667)</f>
        <v>44574.66667</v>
      </c>
      <c r="B6048" s="1">
        <f>IFERROR(__xludf.DUMMYFUNCTION("""COMPUTED_VALUE"""),9767.35)</f>
        <v>9767.35</v>
      </c>
    </row>
    <row r="6049">
      <c r="A6049" s="2">
        <f>IFERROR(__xludf.DUMMYFUNCTION("""COMPUTED_VALUE"""),44575.66666666667)</f>
        <v>44575.66667</v>
      </c>
      <c r="B6049" s="1">
        <f>IFERROR(__xludf.DUMMYFUNCTION("""COMPUTED_VALUE"""),9775.53)</f>
        <v>9775.53</v>
      </c>
    </row>
    <row r="6050">
      <c r="A6050" s="2">
        <f>IFERROR(__xludf.DUMMYFUNCTION("""COMPUTED_VALUE"""),44579.66666666667)</f>
        <v>44579.66667</v>
      </c>
      <c r="B6050" s="1">
        <f>IFERROR(__xludf.DUMMYFUNCTION("""COMPUTED_VALUE"""),9595.93)</f>
        <v>9595.93</v>
      </c>
    </row>
    <row r="6051">
      <c r="A6051" s="2">
        <f>IFERROR(__xludf.DUMMYFUNCTION("""COMPUTED_VALUE"""),44580.66666666667)</f>
        <v>44580.66667</v>
      </c>
      <c r="B6051" s="1">
        <f>IFERROR(__xludf.DUMMYFUNCTION("""COMPUTED_VALUE"""),9503.14)</f>
        <v>9503.14</v>
      </c>
    </row>
    <row r="6052">
      <c r="A6052" s="2">
        <f>IFERROR(__xludf.DUMMYFUNCTION("""COMPUTED_VALUE"""),44581.66666666667)</f>
        <v>44581.66667</v>
      </c>
      <c r="B6052" s="1">
        <f>IFERROR(__xludf.DUMMYFUNCTION("""COMPUTED_VALUE"""),9398.96)</f>
        <v>9398.96</v>
      </c>
    </row>
    <row r="6053">
      <c r="A6053" s="2">
        <f>IFERROR(__xludf.DUMMYFUNCTION("""COMPUTED_VALUE"""),44582.66666666667)</f>
        <v>44582.66667</v>
      </c>
      <c r="B6053" s="1">
        <f>IFERROR(__xludf.DUMMYFUNCTION("""COMPUTED_VALUE"""),9221.28)</f>
        <v>9221.28</v>
      </c>
    </row>
    <row r="6054">
      <c r="A6054" s="2">
        <f>IFERROR(__xludf.DUMMYFUNCTION("""COMPUTED_VALUE"""),44585.66666666667)</f>
        <v>44585.66667</v>
      </c>
      <c r="B6054" s="1">
        <f>IFERROR(__xludf.DUMMYFUNCTION("""COMPUTED_VALUE"""),9246.84)</f>
        <v>9246.84</v>
      </c>
    </row>
    <row r="6055">
      <c r="A6055" s="2">
        <f>IFERROR(__xludf.DUMMYFUNCTION("""COMPUTED_VALUE"""),44586.66666666667)</f>
        <v>44586.66667</v>
      </c>
      <c r="B6055" s="1">
        <f>IFERROR(__xludf.DUMMYFUNCTION("""COMPUTED_VALUE"""),9134.33)</f>
        <v>9134.33</v>
      </c>
    </row>
    <row r="6056">
      <c r="A6056" s="2">
        <f>IFERROR(__xludf.DUMMYFUNCTION("""COMPUTED_VALUE"""),44587.66666666667)</f>
        <v>44587.66667</v>
      </c>
      <c r="B6056" s="1">
        <f>IFERROR(__xludf.DUMMYFUNCTION("""COMPUTED_VALUE"""),9120.75)</f>
        <v>9120.75</v>
      </c>
    </row>
    <row r="6057">
      <c r="A6057" s="2">
        <f>IFERROR(__xludf.DUMMYFUNCTION("""COMPUTED_VALUE"""),44588.66666666667)</f>
        <v>44588.66667</v>
      </c>
      <c r="B6057" s="1">
        <f>IFERROR(__xludf.DUMMYFUNCTION("""COMPUTED_VALUE"""),9072.24)</f>
        <v>9072.24</v>
      </c>
    </row>
    <row r="6058">
      <c r="A6058" s="2">
        <f>IFERROR(__xludf.DUMMYFUNCTION("""COMPUTED_VALUE"""),44589.66666666667)</f>
        <v>44589.66667</v>
      </c>
      <c r="B6058" s="1">
        <f>IFERROR(__xludf.DUMMYFUNCTION("""COMPUTED_VALUE"""),9294.21)</f>
        <v>9294.21</v>
      </c>
    </row>
    <row r="6059">
      <c r="A6059" s="2">
        <f>IFERROR(__xludf.DUMMYFUNCTION("""COMPUTED_VALUE"""),44592.66666666667)</f>
        <v>44592.66667</v>
      </c>
      <c r="B6059" s="1">
        <f>IFERROR(__xludf.DUMMYFUNCTION("""COMPUTED_VALUE"""),9469.92)</f>
        <v>9469.92</v>
      </c>
    </row>
    <row r="6060">
      <c r="A6060" s="2">
        <f>IFERROR(__xludf.DUMMYFUNCTION("""COMPUTED_VALUE"""),44593.66666666667)</f>
        <v>44593.66667</v>
      </c>
      <c r="B6060" s="1">
        <f>IFERROR(__xludf.DUMMYFUNCTION("""COMPUTED_VALUE"""),9534.95)</f>
        <v>9534.95</v>
      </c>
    </row>
    <row r="6061">
      <c r="A6061" s="2">
        <f>IFERROR(__xludf.DUMMYFUNCTION("""COMPUTED_VALUE"""),44594.66666666667)</f>
        <v>44594.66667</v>
      </c>
      <c r="B6061" s="1">
        <f>IFERROR(__xludf.DUMMYFUNCTION("""COMPUTED_VALUE"""),9624.89)</f>
        <v>9624.89</v>
      </c>
    </row>
    <row r="6062">
      <c r="A6062" s="2">
        <f>IFERROR(__xludf.DUMMYFUNCTION("""COMPUTED_VALUE"""),44595.66666666667)</f>
        <v>44595.66667</v>
      </c>
      <c r="B6062" s="1">
        <f>IFERROR(__xludf.DUMMYFUNCTION("""COMPUTED_VALUE"""),9390.57)</f>
        <v>9390.57</v>
      </c>
    </row>
    <row r="6063">
      <c r="A6063" s="2">
        <f>IFERROR(__xludf.DUMMYFUNCTION("""COMPUTED_VALUE"""),44596.66666666667)</f>
        <v>44596.66667</v>
      </c>
      <c r="B6063" s="1">
        <f>IFERROR(__xludf.DUMMYFUNCTION("""COMPUTED_VALUE"""),9440.58)</f>
        <v>9440.58</v>
      </c>
    </row>
    <row r="6064">
      <c r="A6064" s="2">
        <f>IFERROR(__xludf.DUMMYFUNCTION("""COMPUTED_VALUE"""),44599.66666666667)</f>
        <v>44599.66667</v>
      </c>
      <c r="B6064" s="1">
        <f>IFERROR(__xludf.DUMMYFUNCTION("""COMPUTED_VALUE"""),9405.84)</f>
        <v>9405.84</v>
      </c>
    </row>
    <row r="6065">
      <c r="A6065" s="2">
        <f>IFERROR(__xludf.DUMMYFUNCTION("""COMPUTED_VALUE"""),44600.66666666667)</f>
        <v>44600.66667</v>
      </c>
      <c r="B6065" s="1">
        <f>IFERROR(__xludf.DUMMYFUNCTION("""COMPUTED_VALUE"""),9484.95)</f>
        <v>9484.95</v>
      </c>
    </row>
    <row r="6066">
      <c r="A6066" s="2">
        <f>IFERROR(__xludf.DUMMYFUNCTION("""COMPUTED_VALUE"""),44601.66666666667)</f>
        <v>44601.66667</v>
      </c>
      <c r="B6066" s="1">
        <f>IFERROR(__xludf.DUMMYFUNCTION("""COMPUTED_VALUE"""),9623.84)</f>
        <v>9623.84</v>
      </c>
    </row>
    <row r="6067">
      <c r="A6067" s="2">
        <f>IFERROR(__xludf.DUMMYFUNCTION("""COMPUTED_VALUE"""),44602.66666666667)</f>
        <v>44602.66667</v>
      </c>
      <c r="B6067" s="1">
        <f>IFERROR(__xludf.DUMMYFUNCTION("""COMPUTED_VALUE"""),9450.72)</f>
        <v>9450.72</v>
      </c>
    </row>
    <row r="6068">
      <c r="A6068" s="2">
        <f>IFERROR(__xludf.DUMMYFUNCTION("""COMPUTED_VALUE"""),44603.66666666667)</f>
        <v>44603.66667</v>
      </c>
      <c r="B6068" s="1">
        <f>IFERROR(__xludf.DUMMYFUNCTION("""COMPUTED_VALUE"""),9271.8)</f>
        <v>9271.8</v>
      </c>
    </row>
    <row r="6069">
      <c r="A6069" s="2">
        <f>IFERROR(__xludf.DUMMYFUNCTION("""COMPUTED_VALUE"""),44606.66666666667)</f>
        <v>44606.66667</v>
      </c>
      <c r="B6069" s="1">
        <f>IFERROR(__xludf.DUMMYFUNCTION("""COMPUTED_VALUE"""),9236.86)</f>
        <v>9236.86</v>
      </c>
    </row>
    <row r="6070">
      <c r="A6070" s="2">
        <f>IFERROR(__xludf.DUMMYFUNCTION("""COMPUTED_VALUE"""),44607.66666666667)</f>
        <v>44607.66667</v>
      </c>
      <c r="B6070" s="1">
        <f>IFERROR(__xludf.DUMMYFUNCTION("""COMPUTED_VALUE"""),9383.57)</f>
        <v>9383.57</v>
      </c>
    </row>
    <row r="6071">
      <c r="A6071" s="2">
        <f>IFERROR(__xludf.DUMMYFUNCTION("""COMPUTED_VALUE"""),44608.66666666667)</f>
        <v>44608.66667</v>
      </c>
      <c r="B6071" s="1">
        <f>IFERROR(__xludf.DUMMYFUNCTION("""COMPUTED_VALUE"""),9393.09)</f>
        <v>9393.09</v>
      </c>
    </row>
    <row r="6072">
      <c r="A6072" s="2">
        <f>IFERROR(__xludf.DUMMYFUNCTION("""COMPUTED_VALUE"""),44609.66666666667)</f>
        <v>44609.66667</v>
      </c>
      <c r="B6072" s="1">
        <f>IFERROR(__xludf.DUMMYFUNCTION("""COMPUTED_VALUE"""),9195.35)</f>
        <v>9195.35</v>
      </c>
    </row>
    <row r="6073">
      <c r="A6073" s="2">
        <f>IFERROR(__xludf.DUMMYFUNCTION("""COMPUTED_VALUE"""),44610.66666666667)</f>
        <v>44610.66667</v>
      </c>
      <c r="B6073" s="1">
        <f>IFERROR(__xludf.DUMMYFUNCTION("""COMPUTED_VALUE"""),9130.81)</f>
        <v>9130.81</v>
      </c>
    </row>
    <row r="6074">
      <c r="A6074" s="2">
        <f>IFERROR(__xludf.DUMMYFUNCTION("""COMPUTED_VALUE"""),44614.66666666667)</f>
        <v>44614.66667</v>
      </c>
      <c r="B6074" s="1">
        <f>IFERROR(__xludf.DUMMYFUNCTION("""COMPUTED_VALUE"""),9038.32)</f>
        <v>9038.32</v>
      </c>
    </row>
    <row r="6075">
      <c r="A6075" s="2">
        <f>IFERROR(__xludf.DUMMYFUNCTION("""COMPUTED_VALUE"""),44615.66666666667)</f>
        <v>44615.66667</v>
      </c>
      <c r="B6075" s="1">
        <f>IFERROR(__xludf.DUMMYFUNCTION("""COMPUTED_VALUE"""),8871.95)</f>
        <v>8871.95</v>
      </c>
    </row>
    <row r="6076">
      <c r="A6076" s="2">
        <f>IFERROR(__xludf.DUMMYFUNCTION("""COMPUTED_VALUE"""),44616.66666666667)</f>
        <v>44616.66667</v>
      </c>
      <c r="B6076" s="1">
        <f>IFERROR(__xludf.DUMMYFUNCTION("""COMPUTED_VALUE"""),9005.37)</f>
        <v>9005.37</v>
      </c>
    </row>
    <row r="6077">
      <c r="A6077" s="2">
        <f>IFERROR(__xludf.DUMMYFUNCTION("""COMPUTED_VALUE"""),44617.66666666667)</f>
        <v>44617.66667</v>
      </c>
      <c r="B6077" s="1">
        <f>IFERROR(__xludf.DUMMYFUNCTION("""COMPUTED_VALUE"""),9207.85)</f>
        <v>9207.85</v>
      </c>
    </row>
    <row r="6078">
      <c r="A6078" s="2">
        <f>IFERROR(__xludf.DUMMYFUNCTION("""COMPUTED_VALUE"""),44620.66666666667)</f>
        <v>44620.66667</v>
      </c>
      <c r="B6078" s="1">
        <f>IFERROR(__xludf.DUMMYFUNCTION("""COMPUTED_VALUE"""),9186.37)</f>
        <v>9186.37</v>
      </c>
    </row>
    <row r="6079">
      <c r="A6079" s="2">
        <f>IFERROR(__xludf.DUMMYFUNCTION("""COMPUTED_VALUE"""),44621.66666666667)</f>
        <v>44621.66667</v>
      </c>
      <c r="B6079" s="1">
        <f>IFERROR(__xludf.DUMMYFUNCTION("""COMPUTED_VALUE"""),9044.47)</f>
        <v>9044.47</v>
      </c>
    </row>
    <row r="6080">
      <c r="A6080" s="2">
        <f>IFERROR(__xludf.DUMMYFUNCTION("""COMPUTED_VALUE"""),44622.66666666667)</f>
        <v>44622.66667</v>
      </c>
      <c r="B6080" s="1">
        <f>IFERROR(__xludf.DUMMYFUNCTION("""COMPUTED_VALUE"""),9213.39)</f>
        <v>9213.39</v>
      </c>
    </row>
    <row r="6081">
      <c r="A6081" s="2">
        <f>IFERROR(__xludf.DUMMYFUNCTION("""COMPUTED_VALUE"""),44623.66666666667)</f>
        <v>44623.66667</v>
      </c>
      <c r="B6081" s="1">
        <f>IFERROR(__xludf.DUMMYFUNCTION("""COMPUTED_VALUE"""),9166.13)</f>
        <v>9166.13</v>
      </c>
    </row>
    <row r="6082">
      <c r="A6082" s="2">
        <f>IFERROR(__xludf.DUMMYFUNCTION("""COMPUTED_VALUE"""),44624.66666666667)</f>
        <v>44624.66667</v>
      </c>
      <c r="B6082" s="1">
        <f>IFERROR(__xludf.DUMMYFUNCTION("""COMPUTED_VALUE"""),9094.04)</f>
        <v>9094.04</v>
      </c>
    </row>
    <row r="6083">
      <c r="A6083" s="2">
        <f>IFERROR(__xludf.DUMMYFUNCTION("""COMPUTED_VALUE"""),44627.66666666667)</f>
        <v>44627.66667</v>
      </c>
      <c r="B6083" s="1">
        <f>IFERROR(__xludf.DUMMYFUNCTION("""COMPUTED_VALUE"""),8825.72)</f>
        <v>8825.72</v>
      </c>
    </row>
    <row r="6084">
      <c r="A6084" s="2">
        <f>IFERROR(__xludf.DUMMYFUNCTION("""COMPUTED_VALUE"""),44628.66666666667)</f>
        <v>44628.66667</v>
      </c>
      <c r="B6084" s="1">
        <f>IFERROR(__xludf.DUMMYFUNCTION("""COMPUTED_VALUE"""),8762.11)</f>
        <v>8762.11</v>
      </c>
    </row>
    <row r="6085">
      <c r="A6085" s="2">
        <f>IFERROR(__xludf.DUMMYFUNCTION("""COMPUTED_VALUE"""),44629.66666666667)</f>
        <v>44629.66667</v>
      </c>
      <c r="B6085" s="1">
        <f>IFERROR(__xludf.DUMMYFUNCTION("""COMPUTED_VALUE"""),8988.65)</f>
        <v>8988.65</v>
      </c>
    </row>
    <row r="6086">
      <c r="A6086" s="2">
        <f>IFERROR(__xludf.DUMMYFUNCTION("""COMPUTED_VALUE"""),44630.66666666667)</f>
        <v>44630.66667</v>
      </c>
      <c r="B6086" s="1">
        <f>IFERROR(__xludf.DUMMYFUNCTION("""COMPUTED_VALUE"""),8950.9)</f>
        <v>8950.9</v>
      </c>
    </row>
    <row r="6087">
      <c r="A6087" s="2">
        <f>IFERROR(__xludf.DUMMYFUNCTION("""COMPUTED_VALUE"""),44631.66666666667)</f>
        <v>44631.66667</v>
      </c>
      <c r="B6087" s="1">
        <f>IFERROR(__xludf.DUMMYFUNCTION("""COMPUTED_VALUE"""),8835.4)</f>
        <v>8835.4</v>
      </c>
    </row>
    <row r="6088">
      <c r="A6088" s="2">
        <f>IFERROR(__xludf.DUMMYFUNCTION("""COMPUTED_VALUE"""),44634.66666666667)</f>
        <v>44634.66667</v>
      </c>
      <c r="B6088" s="1">
        <f>IFERROR(__xludf.DUMMYFUNCTION("""COMPUTED_VALUE"""),8771.75)</f>
        <v>8771.75</v>
      </c>
    </row>
    <row r="6089">
      <c r="A6089" s="2">
        <f>IFERROR(__xludf.DUMMYFUNCTION("""COMPUTED_VALUE"""),44635.66666666667)</f>
        <v>44635.66667</v>
      </c>
      <c r="B6089" s="1">
        <f>IFERROR(__xludf.DUMMYFUNCTION("""COMPUTED_VALUE"""),8959.74)</f>
        <v>8959.74</v>
      </c>
    </row>
    <row r="6090">
      <c r="A6090" s="2">
        <f>IFERROR(__xludf.DUMMYFUNCTION("""COMPUTED_VALUE"""),44636.66666666667)</f>
        <v>44636.66667</v>
      </c>
      <c r="B6090" s="1">
        <f>IFERROR(__xludf.DUMMYFUNCTION("""COMPUTED_VALUE"""),9160.51)</f>
        <v>9160.51</v>
      </c>
    </row>
    <row r="6091">
      <c r="A6091" s="2">
        <f>IFERROR(__xludf.DUMMYFUNCTION("""COMPUTED_VALUE"""),44637.66666666667)</f>
        <v>44637.66667</v>
      </c>
      <c r="B6091" s="1">
        <f>IFERROR(__xludf.DUMMYFUNCTION("""COMPUTED_VALUE"""),9274.17)</f>
        <v>9274.17</v>
      </c>
    </row>
    <row r="6092">
      <c r="A6092" s="2">
        <f>IFERROR(__xludf.DUMMYFUNCTION("""COMPUTED_VALUE"""),44638.66666666667)</f>
        <v>44638.66667</v>
      </c>
      <c r="B6092" s="1">
        <f>IFERROR(__xludf.DUMMYFUNCTION("""COMPUTED_VALUE"""),9382.43)</f>
        <v>9382.43</v>
      </c>
    </row>
    <row r="6093">
      <c r="A6093" s="2">
        <f>IFERROR(__xludf.DUMMYFUNCTION("""COMPUTED_VALUE"""),44641.66666666667)</f>
        <v>44641.66667</v>
      </c>
      <c r="B6093" s="1">
        <f>IFERROR(__xludf.DUMMYFUNCTION("""COMPUTED_VALUE"""),9378.84)</f>
        <v>9378.84</v>
      </c>
    </row>
    <row r="6094">
      <c r="A6094" s="2">
        <f>IFERROR(__xludf.DUMMYFUNCTION("""COMPUTED_VALUE"""),44642.66666666667)</f>
        <v>44642.66667</v>
      </c>
      <c r="B6094" s="1">
        <f>IFERROR(__xludf.DUMMYFUNCTION("""COMPUTED_VALUE"""),9484.86)</f>
        <v>9484.86</v>
      </c>
    </row>
    <row r="6095">
      <c r="A6095" s="2">
        <f>IFERROR(__xludf.DUMMYFUNCTION("""COMPUTED_VALUE"""),44643.66666666667)</f>
        <v>44643.66667</v>
      </c>
      <c r="B6095" s="1">
        <f>IFERROR(__xludf.DUMMYFUNCTION("""COMPUTED_VALUE"""),9368.98)</f>
        <v>9368.98</v>
      </c>
    </row>
    <row r="6096">
      <c r="A6096" s="2">
        <f>IFERROR(__xludf.DUMMYFUNCTION("""COMPUTED_VALUE"""),44644.66666666667)</f>
        <v>44644.66667</v>
      </c>
      <c r="B6096" s="1">
        <f>IFERROR(__xludf.DUMMYFUNCTION("""COMPUTED_VALUE"""),9504.19)</f>
        <v>9504.19</v>
      </c>
    </row>
    <row r="6097">
      <c r="A6097" s="2">
        <f>IFERROR(__xludf.DUMMYFUNCTION("""COMPUTED_VALUE"""),44645.66666666667)</f>
        <v>44645.66667</v>
      </c>
      <c r="B6097" s="1">
        <f>IFERROR(__xludf.DUMMYFUNCTION("""COMPUTED_VALUE"""),9552.4)</f>
        <v>9552.4</v>
      </c>
    </row>
    <row r="6098">
      <c r="A6098" s="2">
        <f>IFERROR(__xludf.DUMMYFUNCTION("""COMPUTED_VALUE"""),44648.66666666667)</f>
        <v>44648.66667</v>
      </c>
      <c r="B6098" s="1">
        <f>IFERROR(__xludf.DUMMYFUNCTION("""COMPUTED_VALUE"""),9620.66)</f>
        <v>9620.66</v>
      </c>
    </row>
    <row r="6099">
      <c r="A6099" s="2">
        <f>IFERROR(__xludf.DUMMYFUNCTION("""COMPUTED_VALUE"""),44649.66666666667)</f>
        <v>44649.66667</v>
      </c>
      <c r="B6099" s="1">
        <f>IFERROR(__xludf.DUMMYFUNCTION("""COMPUTED_VALUE"""),9738.6)</f>
        <v>9738.6</v>
      </c>
    </row>
    <row r="6100">
      <c r="A6100" s="2">
        <f>IFERROR(__xludf.DUMMYFUNCTION("""COMPUTED_VALUE"""),44650.66666666667)</f>
        <v>44650.66667</v>
      </c>
      <c r="B6100" s="1">
        <f>IFERROR(__xludf.DUMMYFUNCTION("""COMPUTED_VALUE"""),9678.3)</f>
        <v>9678.3</v>
      </c>
    </row>
    <row r="6101">
      <c r="A6101" s="2">
        <f>IFERROR(__xludf.DUMMYFUNCTION("""COMPUTED_VALUE"""),44651.66666666667)</f>
        <v>44651.66667</v>
      </c>
      <c r="B6101" s="1">
        <f>IFERROR(__xludf.DUMMYFUNCTION("""COMPUTED_VALUE"""),9527.46)</f>
        <v>9527.46</v>
      </c>
    </row>
    <row r="6102">
      <c r="A6102" s="2">
        <f>IFERROR(__xludf.DUMMYFUNCTION("""COMPUTED_VALUE"""),44652.66666666667)</f>
        <v>44652.66667</v>
      </c>
      <c r="B6102" s="1">
        <f>IFERROR(__xludf.DUMMYFUNCTION("""COMPUTED_VALUE"""),9559.95)</f>
        <v>9559.95</v>
      </c>
    </row>
    <row r="6103">
      <c r="A6103" s="2">
        <f>IFERROR(__xludf.DUMMYFUNCTION("""COMPUTED_VALUE"""),44655.66666666667)</f>
        <v>44655.66667</v>
      </c>
      <c r="B6103" s="1">
        <f>IFERROR(__xludf.DUMMYFUNCTION("""COMPUTED_VALUE"""),9637.37)</f>
        <v>9637.37</v>
      </c>
    </row>
    <row r="6104">
      <c r="A6104" s="2">
        <f>IFERROR(__xludf.DUMMYFUNCTION("""COMPUTED_VALUE"""),44656.66666666667)</f>
        <v>44656.66667</v>
      </c>
      <c r="B6104" s="1">
        <f>IFERROR(__xludf.DUMMYFUNCTION("""COMPUTED_VALUE"""),9517.94)</f>
        <v>9517.94</v>
      </c>
    </row>
    <row r="6105">
      <c r="A6105" s="2">
        <f>IFERROR(__xludf.DUMMYFUNCTION("""COMPUTED_VALUE"""),44657.66666666667)</f>
        <v>44657.66667</v>
      </c>
      <c r="B6105" s="1">
        <f>IFERROR(__xludf.DUMMYFUNCTION("""COMPUTED_VALUE"""),9425.49)</f>
        <v>9425.49</v>
      </c>
    </row>
    <row r="6106">
      <c r="A6106" s="2">
        <f>IFERROR(__xludf.DUMMYFUNCTION("""COMPUTED_VALUE"""),44658.66666666667)</f>
        <v>44658.66667</v>
      </c>
      <c r="B6106" s="1">
        <f>IFERROR(__xludf.DUMMYFUNCTION("""COMPUTED_VALUE"""),9466.76)</f>
        <v>9466.76</v>
      </c>
    </row>
    <row r="6107">
      <c r="A6107" s="2">
        <f>IFERROR(__xludf.DUMMYFUNCTION("""COMPUTED_VALUE"""),44659.66666666667)</f>
        <v>44659.66667</v>
      </c>
      <c r="B6107" s="1">
        <f>IFERROR(__xludf.DUMMYFUNCTION("""COMPUTED_VALUE"""),9441.84)</f>
        <v>9441.84</v>
      </c>
    </row>
    <row r="6108">
      <c r="A6108" s="2">
        <f>IFERROR(__xludf.DUMMYFUNCTION("""COMPUTED_VALUE"""),44662.66666666667)</f>
        <v>44662.66667</v>
      </c>
      <c r="B6108" s="1">
        <f>IFERROR(__xludf.DUMMYFUNCTION("""COMPUTED_VALUE"""),9282.48)</f>
        <v>9282.48</v>
      </c>
    </row>
    <row r="6109">
      <c r="A6109" s="2">
        <f>IFERROR(__xludf.DUMMYFUNCTION("""COMPUTED_VALUE"""),44663.66666666667)</f>
        <v>44663.66667</v>
      </c>
      <c r="B6109" s="1">
        <f>IFERROR(__xludf.DUMMYFUNCTION("""COMPUTED_VALUE"""),9251.07)</f>
        <v>9251.07</v>
      </c>
    </row>
    <row r="6110">
      <c r="A6110" s="2">
        <f>IFERROR(__xludf.DUMMYFUNCTION("""COMPUTED_VALUE"""),44664.66666666667)</f>
        <v>44664.66667</v>
      </c>
      <c r="B6110" s="1">
        <f>IFERROR(__xludf.DUMMYFUNCTION("""COMPUTED_VALUE"""),9356.21)</f>
        <v>9356.21</v>
      </c>
    </row>
    <row r="6111">
      <c r="A6111" s="2">
        <f>IFERROR(__xludf.DUMMYFUNCTION("""COMPUTED_VALUE"""),44665.66666666667)</f>
        <v>44665.66667</v>
      </c>
      <c r="B6111" s="1">
        <f>IFERROR(__xludf.DUMMYFUNCTION("""COMPUTED_VALUE"""),9242.58)</f>
        <v>9242.58</v>
      </c>
    </row>
    <row r="6112">
      <c r="A6112" s="2">
        <f>IFERROR(__xludf.DUMMYFUNCTION("""COMPUTED_VALUE"""),44669.66666666667)</f>
        <v>44669.66667</v>
      </c>
      <c r="B6112" s="1">
        <f>IFERROR(__xludf.DUMMYFUNCTION("""COMPUTED_VALUE"""),9240.69)</f>
        <v>9240.69</v>
      </c>
    </row>
    <row r="6113">
      <c r="A6113" s="2">
        <f>IFERROR(__xludf.DUMMYFUNCTION("""COMPUTED_VALUE"""),44670.66666666667)</f>
        <v>44670.66667</v>
      </c>
      <c r="B6113" s="1">
        <f>IFERROR(__xludf.DUMMYFUNCTION("""COMPUTED_VALUE"""),9389.21)</f>
        <v>9389.21</v>
      </c>
    </row>
    <row r="6114">
      <c r="A6114" s="2">
        <f>IFERROR(__xludf.DUMMYFUNCTION("""COMPUTED_VALUE"""),44671.66666666667)</f>
        <v>44671.66667</v>
      </c>
      <c r="B6114" s="1">
        <f>IFERROR(__xludf.DUMMYFUNCTION("""COMPUTED_VALUE"""),9383.54)</f>
        <v>9383.54</v>
      </c>
    </row>
    <row r="6115">
      <c r="A6115" s="2">
        <f>IFERROR(__xludf.DUMMYFUNCTION("""COMPUTED_VALUE"""),44672.66666666667)</f>
        <v>44672.66667</v>
      </c>
      <c r="B6115" s="1">
        <f>IFERROR(__xludf.DUMMYFUNCTION("""COMPUTED_VALUE"""),9245.86)</f>
        <v>9245.86</v>
      </c>
    </row>
    <row r="6116">
      <c r="A6116" s="2">
        <f>IFERROR(__xludf.DUMMYFUNCTION("""COMPUTED_VALUE"""),44673.66666666667)</f>
        <v>44673.66667</v>
      </c>
      <c r="B6116" s="1">
        <f>IFERROR(__xludf.DUMMYFUNCTION("""COMPUTED_VALUE"""),8989.51)</f>
        <v>8989.51</v>
      </c>
    </row>
    <row r="6117">
      <c r="A6117" s="2">
        <f>IFERROR(__xludf.DUMMYFUNCTION("""COMPUTED_VALUE"""),44676.66666666667)</f>
        <v>44676.66667</v>
      </c>
      <c r="B6117" s="1">
        <f>IFERROR(__xludf.DUMMYFUNCTION("""COMPUTED_VALUE"""),9040.86)</f>
        <v>9040.86</v>
      </c>
    </row>
    <row r="6118">
      <c r="A6118" s="2">
        <f>IFERROR(__xludf.DUMMYFUNCTION("""COMPUTED_VALUE"""),44677.66666666667)</f>
        <v>44677.66667</v>
      </c>
      <c r="B6118" s="1">
        <f>IFERROR(__xludf.DUMMYFUNCTION("""COMPUTED_VALUE"""),8786.47)</f>
        <v>8786.47</v>
      </c>
    </row>
    <row r="6119">
      <c r="A6119" s="2">
        <f>IFERROR(__xludf.DUMMYFUNCTION("""COMPUTED_VALUE"""),44678.66666666667)</f>
        <v>44678.66667</v>
      </c>
      <c r="B6119" s="1">
        <f>IFERROR(__xludf.DUMMYFUNCTION("""COMPUTED_VALUE"""),8805.0)</f>
        <v>8805</v>
      </c>
    </row>
    <row r="6120">
      <c r="A6120" s="2">
        <f>IFERROR(__xludf.DUMMYFUNCTION("""COMPUTED_VALUE"""),44679.66666666667)</f>
        <v>44679.66667</v>
      </c>
      <c r="B6120" s="1">
        <f>IFERROR(__xludf.DUMMYFUNCTION("""COMPUTED_VALUE"""),9023.42)</f>
        <v>9023.42</v>
      </c>
    </row>
    <row r="6121">
      <c r="A6121" s="2">
        <f>IFERROR(__xludf.DUMMYFUNCTION("""COMPUTED_VALUE"""),44680.66666666667)</f>
        <v>44680.66667</v>
      </c>
      <c r="B6121" s="1">
        <f>IFERROR(__xludf.DUMMYFUNCTION("""COMPUTED_VALUE"""),8696.65)</f>
        <v>8696.65</v>
      </c>
    </row>
    <row r="6122">
      <c r="A6122" s="2">
        <f>IFERROR(__xludf.DUMMYFUNCTION("""COMPUTED_VALUE"""),44683.66666666667)</f>
        <v>44683.66667</v>
      </c>
      <c r="B6122" s="1">
        <f>IFERROR(__xludf.DUMMYFUNCTION("""COMPUTED_VALUE"""),8746.05)</f>
        <v>8746.05</v>
      </c>
    </row>
    <row r="6123">
      <c r="A6123" s="2">
        <f>IFERROR(__xludf.DUMMYFUNCTION("""COMPUTED_VALUE"""),44684.66666666667)</f>
        <v>44684.66667</v>
      </c>
      <c r="B6123" s="1">
        <f>IFERROR(__xludf.DUMMYFUNCTION("""COMPUTED_VALUE"""),8788.36)</f>
        <v>8788.36</v>
      </c>
    </row>
    <row r="6124">
      <c r="A6124" s="2">
        <f>IFERROR(__xludf.DUMMYFUNCTION("""COMPUTED_VALUE"""),44685.66666666667)</f>
        <v>44685.66667</v>
      </c>
      <c r="B6124" s="1">
        <f>IFERROR(__xludf.DUMMYFUNCTION("""COMPUTED_VALUE"""),9050.9)</f>
        <v>9050.9</v>
      </c>
    </row>
    <row r="6125">
      <c r="A6125" s="2">
        <f>IFERROR(__xludf.DUMMYFUNCTION("""COMPUTED_VALUE"""),44686.66666666667)</f>
        <v>44686.66667</v>
      </c>
      <c r="B6125" s="1">
        <f>IFERROR(__xludf.DUMMYFUNCTION("""COMPUTED_VALUE"""),8729.21)</f>
        <v>8729.21</v>
      </c>
    </row>
    <row r="6126">
      <c r="A6126" s="2">
        <f>IFERROR(__xludf.DUMMYFUNCTION("""COMPUTED_VALUE"""),44687.66666666667)</f>
        <v>44687.66667</v>
      </c>
      <c r="B6126" s="1">
        <f>IFERROR(__xludf.DUMMYFUNCTION("""COMPUTED_VALUE"""),8680.97)</f>
        <v>8680.97</v>
      </c>
    </row>
    <row r="6127">
      <c r="A6127" s="2">
        <f>IFERROR(__xludf.DUMMYFUNCTION("""COMPUTED_VALUE"""),44690.66666666667)</f>
        <v>44690.66667</v>
      </c>
      <c r="B6127" s="1">
        <f>IFERROR(__xludf.DUMMYFUNCTION("""COMPUTED_VALUE"""),8403.5)</f>
        <v>8403.5</v>
      </c>
    </row>
    <row r="6128">
      <c r="A6128" s="2">
        <f>IFERROR(__xludf.DUMMYFUNCTION("""COMPUTED_VALUE"""),44691.66666666667)</f>
        <v>44691.66667</v>
      </c>
      <c r="B6128" s="1">
        <f>IFERROR(__xludf.DUMMYFUNCTION("""COMPUTED_VALUE"""),8424.2)</f>
        <v>8424.2</v>
      </c>
    </row>
    <row r="6129">
      <c r="A6129" s="2">
        <f>IFERROR(__xludf.DUMMYFUNCTION("""COMPUTED_VALUE"""),44692.66666666667)</f>
        <v>44692.66667</v>
      </c>
      <c r="B6129" s="1">
        <f>IFERROR(__xludf.DUMMYFUNCTION("""COMPUTED_VALUE"""),8285.82)</f>
        <v>8285.82</v>
      </c>
    </row>
    <row r="6130">
      <c r="A6130" s="2">
        <f>IFERROR(__xludf.DUMMYFUNCTION("""COMPUTED_VALUE"""),44693.66666666667)</f>
        <v>44693.66667</v>
      </c>
      <c r="B6130" s="1">
        <f>IFERROR(__xludf.DUMMYFUNCTION("""COMPUTED_VALUE"""),8278.04)</f>
        <v>8278.04</v>
      </c>
    </row>
    <row r="6131">
      <c r="A6131" s="2">
        <f>IFERROR(__xludf.DUMMYFUNCTION("""COMPUTED_VALUE"""),44694.66666666667)</f>
        <v>44694.66667</v>
      </c>
      <c r="B6131" s="1">
        <f>IFERROR(__xludf.DUMMYFUNCTION("""COMPUTED_VALUE"""),8476.57)</f>
        <v>8476.57</v>
      </c>
    </row>
    <row r="6132">
      <c r="A6132" s="2">
        <f>IFERROR(__xludf.DUMMYFUNCTION("""COMPUTED_VALUE"""),44697.66666666667)</f>
        <v>44697.66667</v>
      </c>
      <c r="B6132" s="1">
        <f>IFERROR(__xludf.DUMMYFUNCTION("""COMPUTED_VALUE"""),8443.55)</f>
        <v>8443.55</v>
      </c>
    </row>
    <row r="6133">
      <c r="A6133" s="2">
        <f>IFERROR(__xludf.DUMMYFUNCTION("""COMPUTED_VALUE"""),44698.66666666667)</f>
        <v>44698.66667</v>
      </c>
      <c r="B6133" s="1">
        <f>IFERROR(__xludf.DUMMYFUNCTION("""COMPUTED_VALUE"""),8614.31)</f>
        <v>8614.31</v>
      </c>
    </row>
    <row r="6134">
      <c r="A6134" s="2">
        <f>IFERROR(__xludf.DUMMYFUNCTION("""COMPUTED_VALUE"""),44699.66666666667)</f>
        <v>44699.66667</v>
      </c>
      <c r="B6134" s="1">
        <f>IFERROR(__xludf.DUMMYFUNCTION("""COMPUTED_VALUE"""),8268.32)</f>
        <v>8268.32</v>
      </c>
    </row>
    <row r="6135">
      <c r="A6135" s="2">
        <f>IFERROR(__xludf.DUMMYFUNCTION("""COMPUTED_VALUE"""),44700.66666666667)</f>
        <v>44700.66667</v>
      </c>
      <c r="B6135" s="1">
        <f>IFERROR(__xludf.DUMMYFUNCTION("""COMPUTED_VALUE"""),8220.97)</f>
        <v>8220.97</v>
      </c>
    </row>
    <row r="6136">
      <c r="A6136" s="2">
        <f>IFERROR(__xludf.DUMMYFUNCTION("""COMPUTED_VALUE"""),44701.66666666667)</f>
        <v>44701.66667</v>
      </c>
      <c r="B6136" s="1">
        <f>IFERROR(__xludf.DUMMYFUNCTION("""COMPUTED_VALUE"""),8222.31)</f>
        <v>8222.31</v>
      </c>
    </row>
    <row r="6137">
      <c r="A6137" s="2">
        <f>IFERROR(__xludf.DUMMYFUNCTION("""COMPUTED_VALUE"""),44704.66666666667)</f>
        <v>44704.66667</v>
      </c>
      <c r="B6137" s="1">
        <f>IFERROR(__xludf.DUMMYFUNCTION("""COMPUTED_VALUE"""),8375.87)</f>
        <v>8375.87</v>
      </c>
    </row>
    <row r="6138">
      <c r="A6138" s="2">
        <f>IFERROR(__xludf.DUMMYFUNCTION("""COMPUTED_VALUE"""),44705.66666666667)</f>
        <v>44705.66667</v>
      </c>
      <c r="B6138" s="1">
        <f>IFERROR(__xludf.DUMMYFUNCTION("""COMPUTED_VALUE"""),8307.97)</f>
        <v>8307.97</v>
      </c>
    </row>
    <row r="6139">
      <c r="A6139" s="2">
        <f>IFERROR(__xludf.DUMMYFUNCTION("""COMPUTED_VALUE"""),44706.66666666667)</f>
        <v>44706.66667</v>
      </c>
      <c r="B6139" s="1">
        <f>IFERROR(__xludf.DUMMYFUNCTION("""COMPUTED_VALUE"""),8386.62)</f>
        <v>8386.62</v>
      </c>
    </row>
    <row r="6140">
      <c r="A6140" s="2">
        <f>IFERROR(__xludf.DUMMYFUNCTION("""COMPUTED_VALUE"""),44707.66666666667)</f>
        <v>44707.66667</v>
      </c>
      <c r="B6140" s="1">
        <f>IFERROR(__xludf.DUMMYFUNCTION("""COMPUTED_VALUE"""),8553.68)</f>
        <v>8553.68</v>
      </c>
    </row>
    <row r="6141">
      <c r="A6141" s="2">
        <f>IFERROR(__xludf.DUMMYFUNCTION("""COMPUTED_VALUE"""),44708.66666666667)</f>
        <v>44708.66667</v>
      </c>
      <c r="B6141" s="1">
        <f>IFERROR(__xludf.DUMMYFUNCTION("""COMPUTED_VALUE"""),8766.83)</f>
        <v>8766.83</v>
      </c>
    </row>
    <row r="6142">
      <c r="A6142" s="2">
        <f>IFERROR(__xludf.DUMMYFUNCTION("""COMPUTED_VALUE"""),44712.66666666667)</f>
        <v>44712.66667</v>
      </c>
      <c r="B6142" s="1">
        <f>IFERROR(__xludf.DUMMYFUNCTION("""COMPUTED_VALUE"""),8712.6)</f>
        <v>8712.6</v>
      </c>
    </row>
    <row r="6143">
      <c r="A6143" s="2">
        <f>IFERROR(__xludf.DUMMYFUNCTION("""COMPUTED_VALUE"""),44713.66666666667)</f>
        <v>44713.66667</v>
      </c>
      <c r="B6143" s="1">
        <f>IFERROR(__xludf.DUMMYFUNCTION("""COMPUTED_VALUE"""),8648.28)</f>
        <v>8648.28</v>
      </c>
    </row>
    <row r="6144">
      <c r="A6144" s="2">
        <f>IFERROR(__xludf.DUMMYFUNCTION("""COMPUTED_VALUE"""),44714.66666666667)</f>
        <v>44714.66667</v>
      </c>
      <c r="B6144" s="1">
        <f>IFERROR(__xludf.DUMMYFUNCTION("""COMPUTED_VALUE"""),8809.18)</f>
        <v>8809.18</v>
      </c>
    </row>
    <row r="6145">
      <c r="A6145" s="2">
        <f>IFERROR(__xludf.DUMMYFUNCTION("""COMPUTED_VALUE"""),44715.66666666667)</f>
        <v>44715.66667</v>
      </c>
      <c r="B6145" s="1">
        <f>IFERROR(__xludf.DUMMYFUNCTION("""COMPUTED_VALUE"""),8665.8)</f>
        <v>8665.8</v>
      </c>
    </row>
    <row r="6146">
      <c r="A6146" s="2">
        <f>IFERROR(__xludf.DUMMYFUNCTION("""COMPUTED_VALUE"""),44718.66666666667)</f>
        <v>44718.66667</v>
      </c>
      <c r="B6146" s="1">
        <f>IFERROR(__xludf.DUMMYFUNCTION("""COMPUTED_VALUE"""),8693.06)</f>
        <v>8693.06</v>
      </c>
    </row>
    <row r="6147">
      <c r="A6147" s="2">
        <f>IFERROR(__xludf.DUMMYFUNCTION("""COMPUTED_VALUE"""),44719.66666666667)</f>
        <v>44719.66667</v>
      </c>
      <c r="B6147" s="1">
        <f>IFERROR(__xludf.DUMMYFUNCTION("""COMPUTED_VALUE"""),8776.09)</f>
        <v>8776.09</v>
      </c>
    </row>
    <row r="6148">
      <c r="A6148" s="2">
        <f>IFERROR(__xludf.DUMMYFUNCTION("""COMPUTED_VALUE"""),44720.66666666667)</f>
        <v>44720.66667</v>
      </c>
      <c r="B6148" s="1">
        <f>IFERROR(__xludf.DUMMYFUNCTION("""COMPUTED_VALUE"""),8681.68)</f>
        <v>8681.68</v>
      </c>
    </row>
    <row r="6149">
      <c r="A6149" s="2">
        <f>IFERROR(__xludf.DUMMYFUNCTION("""COMPUTED_VALUE"""),44721.66666666667)</f>
        <v>44721.66667</v>
      </c>
      <c r="B6149" s="1">
        <f>IFERROR(__xludf.DUMMYFUNCTION("""COMPUTED_VALUE"""),8475.91)</f>
        <v>8475.91</v>
      </c>
    </row>
    <row r="6150">
      <c r="A6150" s="2">
        <f>IFERROR(__xludf.DUMMYFUNCTION("""COMPUTED_VALUE"""),44722.66666666667)</f>
        <v>44722.66667</v>
      </c>
      <c r="B6150" s="1">
        <f>IFERROR(__xludf.DUMMYFUNCTION("""COMPUTED_VALUE"""),8229.43)</f>
        <v>8229.43</v>
      </c>
    </row>
    <row r="6151">
      <c r="A6151" s="2">
        <f>IFERROR(__xludf.DUMMYFUNCTION("""COMPUTED_VALUE"""),44725.66666666667)</f>
        <v>44725.66667</v>
      </c>
      <c r="B6151" s="1">
        <f>IFERROR(__xludf.DUMMYFUNCTION("""COMPUTED_VALUE"""),7910.43)</f>
        <v>7910.43</v>
      </c>
    </row>
    <row r="6152">
      <c r="A6152" s="2">
        <f>IFERROR(__xludf.DUMMYFUNCTION("""COMPUTED_VALUE"""),44726.66666666667)</f>
        <v>44726.66667</v>
      </c>
      <c r="B6152" s="1">
        <f>IFERROR(__xludf.DUMMYFUNCTION("""COMPUTED_VALUE"""),7883.34)</f>
        <v>7883.34</v>
      </c>
    </row>
    <row r="6153">
      <c r="A6153" s="2">
        <f>IFERROR(__xludf.DUMMYFUNCTION("""COMPUTED_VALUE"""),44727.66666666667)</f>
        <v>44727.66667</v>
      </c>
      <c r="B6153" s="1">
        <f>IFERROR(__xludf.DUMMYFUNCTION("""COMPUTED_VALUE"""),7998.62)</f>
        <v>7998.62</v>
      </c>
    </row>
    <row r="6154">
      <c r="A6154" s="2">
        <f>IFERROR(__xludf.DUMMYFUNCTION("""COMPUTED_VALUE"""),44728.66666666667)</f>
        <v>44728.66667</v>
      </c>
      <c r="B6154" s="1">
        <f>IFERROR(__xludf.DUMMYFUNCTION("""COMPUTED_VALUE"""),7739.39)</f>
        <v>7739.39</v>
      </c>
    </row>
    <row r="6155">
      <c r="A6155" s="2">
        <f>IFERROR(__xludf.DUMMYFUNCTION("""COMPUTED_VALUE"""),44729.66666666667)</f>
        <v>44729.66667</v>
      </c>
      <c r="B6155" s="1">
        <f>IFERROR(__xludf.DUMMYFUNCTION("""COMPUTED_VALUE"""),7756.59)</f>
        <v>7756.59</v>
      </c>
    </row>
    <row r="6156">
      <c r="A6156" s="2">
        <f>IFERROR(__xludf.DUMMYFUNCTION("""COMPUTED_VALUE"""),44733.66666666667)</f>
        <v>44733.66667</v>
      </c>
      <c r="B6156" s="1">
        <f>IFERROR(__xludf.DUMMYFUNCTION("""COMPUTED_VALUE"""),7946.89)</f>
        <v>7946.89</v>
      </c>
    </row>
    <row r="6157">
      <c r="A6157" s="2">
        <f>IFERROR(__xludf.DUMMYFUNCTION("""COMPUTED_VALUE"""),44734.66666666667)</f>
        <v>44734.66667</v>
      </c>
      <c r="B6157" s="1">
        <f>IFERROR(__xludf.DUMMYFUNCTION("""COMPUTED_VALUE"""),7936.67)</f>
        <v>7936.67</v>
      </c>
    </row>
    <row r="6158">
      <c r="A6158" s="2">
        <f>IFERROR(__xludf.DUMMYFUNCTION("""COMPUTED_VALUE"""),44735.66666666667)</f>
        <v>44735.66667</v>
      </c>
      <c r="B6158" s="1">
        <f>IFERROR(__xludf.DUMMYFUNCTION("""COMPUTED_VALUE"""),8012.68)</f>
        <v>8012.68</v>
      </c>
    </row>
    <row r="6159">
      <c r="A6159" s="2">
        <f>IFERROR(__xludf.DUMMYFUNCTION("""COMPUTED_VALUE"""),44736.66666666667)</f>
        <v>44736.66667</v>
      </c>
      <c r="B6159" s="1">
        <f>IFERROR(__xludf.DUMMYFUNCTION("""COMPUTED_VALUE"""),8257.72)</f>
        <v>8257.72</v>
      </c>
    </row>
    <row r="6160">
      <c r="A6160" s="2">
        <f>IFERROR(__xludf.DUMMYFUNCTION("""COMPUTED_VALUE"""),44739.66666666667)</f>
        <v>44739.66667</v>
      </c>
      <c r="B6160" s="1">
        <f>IFERROR(__xludf.DUMMYFUNCTION("""COMPUTED_VALUE"""),8233.42)</f>
        <v>8233.42</v>
      </c>
    </row>
    <row r="6161">
      <c r="A6161" s="2">
        <f>IFERROR(__xludf.DUMMYFUNCTION("""COMPUTED_VALUE"""),44740.66666666667)</f>
        <v>44740.66667</v>
      </c>
      <c r="B6161" s="1">
        <f>IFERROR(__xludf.DUMMYFUNCTION("""COMPUTED_VALUE"""),8067.56)</f>
        <v>8067.56</v>
      </c>
    </row>
    <row r="6162">
      <c r="A6162" s="2">
        <f>IFERROR(__xludf.DUMMYFUNCTION("""COMPUTED_VALUE"""),44741.66666666667)</f>
        <v>44741.66667</v>
      </c>
      <c r="B6162" s="1">
        <f>IFERROR(__xludf.DUMMYFUNCTION("""COMPUTED_VALUE"""),8062.72)</f>
        <v>8062.72</v>
      </c>
    </row>
    <row r="6163">
      <c r="A6163" s="2">
        <f>IFERROR(__xludf.DUMMYFUNCTION("""COMPUTED_VALUE"""),44742.66666666667)</f>
        <v>44742.66667</v>
      </c>
      <c r="B6163" s="1">
        <f>IFERROR(__xludf.DUMMYFUNCTION("""COMPUTED_VALUE"""),7993.43)</f>
        <v>7993.43</v>
      </c>
    </row>
    <row r="6164">
      <c r="A6164" s="2">
        <f>IFERROR(__xludf.DUMMYFUNCTION("""COMPUTED_VALUE"""),44743.66666666667)</f>
        <v>44743.66667</v>
      </c>
      <c r="B6164" s="1">
        <f>IFERROR(__xludf.DUMMYFUNCTION("""COMPUTED_VALUE"""),8077.89)</f>
        <v>8077.89</v>
      </c>
    </row>
    <row r="6165">
      <c r="A6165" s="2">
        <f>IFERROR(__xludf.DUMMYFUNCTION("""COMPUTED_VALUE"""),44747.66666666667)</f>
        <v>44747.66667</v>
      </c>
      <c r="B6165" s="1">
        <f>IFERROR(__xludf.DUMMYFUNCTION("""COMPUTED_VALUE"""),8092.15)</f>
        <v>8092.15</v>
      </c>
    </row>
    <row r="6166">
      <c r="A6166" s="2">
        <f>IFERROR(__xludf.DUMMYFUNCTION("""COMPUTED_VALUE"""),44748.66666666667)</f>
        <v>44748.66667</v>
      </c>
      <c r="B6166" s="1">
        <f>IFERROR(__xludf.DUMMYFUNCTION("""COMPUTED_VALUE"""),8121.21)</f>
        <v>8121.21</v>
      </c>
    </row>
    <row r="6167">
      <c r="A6167" s="2">
        <f>IFERROR(__xludf.DUMMYFUNCTION("""COMPUTED_VALUE"""),44749.66666666667)</f>
        <v>44749.66667</v>
      </c>
      <c r="B6167" s="1">
        <f>IFERROR(__xludf.DUMMYFUNCTION("""COMPUTED_VALUE"""),8243.69)</f>
        <v>8243.69</v>
      </c>
    </row>
    <row r="6168">
      <c r="A6168" s="2">
        <f>IFERROR(__xludf.DUMMYFUNCTION("""COMPUTED_VALUE"""),44750.66666666667)</f>
        <v>44750.66667</v>
      </c>
      <c r="B6168" s="1">
        <f>IFERROR(__xludf.DUMMYFUNCTION("""COMPUTED_VALUE"""),8237.5)</f>
        <v>8237.5</v>
      </c>
    </row>
    <row r="6169">
      <c r="A6169" s="2">
        <f>IFERROR(__xludf.DUMMYFUNCTION("""COMPUTED_VALUE"""),44753.66666666667)</f>
        <v>44753.66667</v>
      </c>
      <c r="B6169" s="1">
        <f>IFERROR(__xludf.DUMMYFUNCTION("""COMPUTED_VALUE"""),8142.68)</f>
        <v>8142.68</v>
      </c>
    </row>
    <row r="6170">
      <c r="A6170" s="2">
        <f>IFERROR(__xludf.DUMMYFUNCTION("""COMPUTED_VALUE"""),44754.66666666667)</f>
        <v>44754.66667</v>
      </c>
      <c r="B6170" s="1">
        <f>IFERROR(__xludf.DUMMYFUNCTION("""COMPUTED_VALUE"""),8067.56)</f>
        <v>8067.56</v>
      </c>
    </row>
    <row r="6171">
      <c r="A6171" s="2">
        <f>IFERROR(__xludf.DUMMYFUNCTION("""COMPUTED_VALUE"""),44755.66666666667)</f>
        <v>44755.66667</v>
      </c>
      <c r="B6171" s="1">
        <f>IFERROR(__xludf.DUMMYFUNCTION("""COMPUTED_VALUE"""),8031.76)</f>
        <v>8031.76</v>
      </c>
    </row>
    <row r="6172">
      <c r="A6172" s="2">
        <f>IFERROR(__xludf.DUMMYFUNCTION("""COMPUTED_VALUE"""),44756.66666666667)</f>
        <v>44756.66667</v>
      </c>
      <c r="B6172" s="1">
        <f>IFERROR(__xludf.DUMMYFUNCTION("""COMPUTED_VALUE"""),8008.71)</f>
        <v>8008.71</v>
      </c>
    </row>
    <row r="6173">
      <c r="A6173" s="2">
        <f>IFERROR(__xludf.DUMMYFUNCTION("""COMPUTED_VALUE"""),44757.66666666667)</f>
        <v>44757.66667</v>
      </c>
      <c r="B6173" s="1">
        <f>IFERROR(__xludf.DUMMYFUNCTION("""COMPUTED_VALUE"""),8162.5)</f>
        <v>8162.5</v>
      </c>
    </row>
    <row r="6174">
      <c r="A6174" s="2">
        <f>IFERROR(__xludf.DUMMYFUNCTION("""COMPUTED_VALUE"""),44760.66666666667)</f>
        <v>44760.66667</v>
      </c>
      <c r="B6174" s="1">
        <f>IFERROR(__xludf.DUMMYFUNCTION("""COMPUTED_VALUE"""),8094.23)</f>
        <v>8094.23</v>
      </c>
    </row>
    <row r="6175">
      <c r="A6175" s="2">
        <f>IFERROR(__xludf.DUMMYFUNCTION("""COMPUTED_VALUE"""),44761.66666666667)</f>
        <v>44761.66667</v>
      </c>
      <c r="B6175" s="1">
        <f>IFERROR(__xludf.DUMMYFUNCTION("""COMPUTED_VALUE"""),8318.2)</f>
        <v>8318.2</v>
      </c>
    </row>
    <row r="6176">
      <c r="A6176" s="2">
        <f>IFERROR(__xludf.DUMMYFUNCTION("""COMPUTED_VALUE"""),44762.66666666667)</f>
        <v>44762.66667</v>
      </c>
      <c r="B6176" s="1">
        <f>IFERROR(__xludf.DUMMYFUNCTION("""COMPUTED_VALUE"""),8367.37)</f>
        <v>8367.37</v>
      </c>
    </row>
    <row r="6177">
      <c r="A6177" s="2">
        <f>IFERROR(__xludf.DUMMYFUNCTION("""COMPUTED_VALUE"""),44763.66666666667)</f>
        <v>44763.66667</v>
      </c>
      <c r="B6177" s="1">
        <f>IFERROR(__xludf.DUMMYFUNCTION("""COMPUTED_VALUE"""),8450.64)</f>
        <v>8450.64</v>
      </c>
    </row>
    <row r="6178">
      <c r="A6178" s="2">
        <f>IFERROR(__xludf.DUMMYFUNCTION("""COMPUTED_VALUE"""),44764.66666666667)</f>
        <v>44764.66667</v>
      </c>
      <c r="B6178" s="1">
        <f>IFERROR(__xludf.DUMMYFUNCTION("""COMPUTED_VALUE"""),8371.87)</f>
        <v>8371.87</v>
      </c>
    </row>
    <row r="6179">
      <c r="A6179" s="2">
        <f>IFERROR(__xludf.DUMMYFUNCTION("""COMPUTED_VALUE"""),44767.66666666667)</f>
        <v>44767.66667</v>
      </c>
      <c r="B6179" s="1">
        <f>IFERROR(__xludf.DUMMYFUNCTION("""COMPUTED_VALUE"""),8382.88)</f>
        <v>8382.88</v>
      </c>
    </row>
    <row r="6180">
      <c r="A6180" s="2">
        <f>IFERROR(__xludf.DUMMYFUNCTION("""COMPUTED_VALUE"""),44768.66666666667)</f>
        <v>44768.66667</v>
      </c>
      <c r="B6180" s="1">
        <f>IFERROR(__xludf.DUMMYFUNCTION("""COMPUTED_VALUE"""),8286.19)</f>
        <v>8286.19</v>
      </c>
    </row>
    <row r="6181">
      <c r="A6181" s="2">
        <f>IFERROR(__xludf.DUMMYFUNCTION("""COMPUTED_VALUE"""),44769.66666666667)</f>
        <v>44769.66667</v>
      </c>
      <c r="B6181" s="1">
        <f>IFERROR(__xludf.DUMMYFUNCTION("""COMPUTED_VALUE"""),8503.02)</f>
        <v>8503.02</v>
      </c>
    </row>
    <row r="6182">
      <c r="A6182" s="2">
        <f>IFERROR(__xludf.DUMMYFUNCTION("""COMPUTED_VALUE"""),44770.66666666667)</f>
        <v>44770.66667</v>
      </c>
      <c r="B6182" s="1">
        <f>IFERROR(__xludf.DUMMYFUNCTION("""COMPUTED_VALUE"""),8607.24)</f>
        <v>8607.24</v>
      </c>
    </row>
    <row r="6183">
      <c r="A6183" s="2">
        <f>IFERROR(__xludf.DUMMYFUNCTION("""COMPUTED_VALUE"""),44771.66666666667)</f>
        <v>44771.66667</v>
      </c>
      <c r="B6183" s="1">
        <f>IFERROR(__xludf.DUMMYFUNCTION("""COMPUTED_VALUE"""),8730.46)</f>
        <v>8730.46</v>
      </c>
    </row>
    <row r="6184">
      <c r="A6184" s="2">
        <f>IFERROR(__xludf.DUMMYFUNCTION("""COMPUTED_VALUE"""),44774.66666666667)</f>
        <v>44774.66667</v>
      </c>
      <c r="B6184" s="1">
        <f>IFERROR(__xludf.DUMMYFUNCTION("""COMPUTED_VALUE"""),8705.87)</f>
        <v>8705.87</v>
      </c>
    </row>
    <row r="6185">
      <c r="A6185" s="2">
        <f>IFERROR(__xludf.DUMMYFUNCTION("""COMPUTED_VALUE"""),44775.66666666667)</f>
        <v>44775.66667</v>
      </c>
      <c r="B6185" s="1">
        <f>IFERROR(__xludf.DUMMYFUNCTION("""COMPUTED_VALUE"""),8647.91)</f>
        <v>8647.91</v>
      </c>
    </row>
    <row r="6186">
      <c r="A6186" s="2">
        <f>IFERROR(__xludf.DUMMYFUNCTION("""COMPUTED_VALUE"""),44776.66666666667)</f>
        <v>44776.66667</v>
      </c>
      <c r="B6186" s="1">
        <f>IFERROR(__xludf.DUMMYFUNCTION("""COMPUTED_VALUE"""),8783.28)</f>
        <v>8783.28</v>
      </c>
    </row>
    <row r="6187">
      <c r="A6187" s="2">
        <f>IFERROR(__xludf.DUMMYFUNCTION("""COMPUTED_VALUE"""),44777.66666666667)</f>
        <v>44777.66667</v>
      </c>
      <c r="B6187" s="1">
        <f>IFERROR(__xludf.DUMMYFUNCTION("""COMPUTED_VALUE"""),8777.23)</f>
        <v>8777.23</v>
      </c>
    </row>
    <row r="6188">
      <c r="A6188" s="2">
        <f>IFERROR(__xludf.DUMMYFUNCTION("""COMPUTED_VALUE"""),44778.66666666667)</f>
        <v>44778.66667</v>
      </c>
      <c r="B6188" s="1">
        <f>IFERROR(__xludf.DUMMYFUNCTION("""COMPUTED_VALUE"""),8764.08)</f>
        <v>8764.08</v>
      </c>
    </row>
    <row r="6189">
      <c r="A6189" s="2">
        <f>IFERROR(__xludf.DUMMYFUNCTION("""COMPUTED_VALUE"""),44781.66666666667)</f>
        <v>44781.66667</v>
      </c>
      <c r="B6189" s="1">
        <f>IFERROR(__xludf.DUMMYFUNCTION("""COMPUTED_VALUE"""),8753.39)</f>
        <v>8753.39</v>
      </c>
    </row>
    <row r="6190">
      <c r="A6190" s="2">
        <f>IFERROR(__xludf.DUMMYFUNCTION("""COMPUTED_VALUE"""),44782.66666666667)</f>
        <v>44782.66667</v>
      </c>
      <c r="B6190" s="1">
        <f>IFERROR(__xludf.DUMMYFUNCTION("""COMPUTED_VALUE"""),8716.75)</f>
        <v>8716.75</v>
      </c>
    </row>
    <row r="6191">
      <c r="A6191" s="2">
        <f>IFERROR(__xludf.DUMMYFUNCTION("""COMPUTED_VALUE"""),44783.66666666667)</f>
        <v>44783.66667</v>
      </c>
      <c r="B6191" s="1">
        <f>IFERROR(__xludf.DUMMYFUNCTION("""COMPUTED_VALUE"""),8902.72)</f>
        <v>8902.72</v>
      </c>
    </row>
    <row r="6192">
      <c r="A6192" s="2">
        <f>IFERROR(__xludf.DUMMYFUNCTION("""COMPUTED_VALUE"""),44784.66666666667)</f>
        <v>44784.66667</v>
      </c>
      <c r="B6192" s="1">
        <f>IFERROR(__xludf.DUMMYFUNCTION("""COMPUTED_VALUE"""),8898.84)</f>
        <v>8898.84</v>
      </c>
    </row>
    <row r="6193">
      <c r="A6193" s="2">
        <f>IFERROR(__xludf.DUMMYFUNCTION("""COMPUTED_VALUE"""),44785.66666666667)</f>
        <v>44785.66667</v>
      </c>
      <c r="B6193" s="1">
        <f>IFERROR(__xludf.DUMMYFUNCTION("""COMPUTED_VALUE"""),9054.14)</f>
        <v>9054.14</v>
      </c>
    </row>
    <row r="6194">
      <c r="A6194" s="2">
        <f>IFERROR(__xludf.DUMMYFUNCTION("""COMPUTED_VALUE"""),44788.66666666667)</f>
        <v>44788.66667</v>
      </c>
      <c r="B6194" s="1">
        <f>IFERROR(__xludf.DUMMYFUNCTION("""COMPUTED_VALUE"""),9090.36)</f>
        <v>9090.36</v>
      </c>
    </row>
    <row r="6195">
      <c r="A6195" s="2">
        <f>IFERROR(__xludf.DUMMYFUNCTION("""COMPUTED_VALUE"""),44789.66666666667)</f>
        <v>44789.66667</v>
      </c>
      <c r="B6195" s="1">
        <f>IFERROR(__xludf.DUMMYFUNCTION("""COMPUTED_VALUE"""),9107.87)</f>
        <v>9107.87</v>
      </c>
    </row>
    <row r="6196">
      <c r="A6196" s="2">
        <f>IFERROR(__xludf.DUMMYFUNCTION("""COMPUTED_VALUE"""),44790.66666666667)</f>
        <v>44790.66667</v>
      </c>
      <c r="B6196" s="1">
        <f>IFERROR(__xludf.DUMMYFUNCTION("""COMPUTED_VALUE"""),9043.59)</f>
        <v>9043.59</v>
      </c>
    </row>
    <row r="6197">
      <c r="A6197" s="2">
        <f>IFERROR(__xludf.DUMMYFUNCTION("""COMPUTED_VALUE"""),44791.66666666667)</f>
        <v>44791.66667</v>
      </c>
      <c r="B6197" s="1">
        <f>IFERROR(__xludf.DUMMYFUNCTION("""COMPUTED_VALUE"""),9065.49)</f>
        <v>9065.49</v>
      </c>
    </row>
    <row r="6198">
      <c r="A6198" s="2">
        <f>IFERROR(__xludf.DUMMYFUNCTION("""COMPUTED_VALUE"""),44792.66666666667)</f>
        <v>44792.66667</v>
      </c>
      <c r="B6198" s="1">
        <f>IFERROR(__xludf.DUMMYFUNCTION("""COMPUTED_VALUE"""),8948.82)</f>
        <v>8948.82</v>
      </c>
    </row>
    <row r="6199">
      <c r="A6199" s="2">
        <f>IFERROR(__xludf.DUMMYFUNCTION("""COMPUTED_VALUE"""),44795.66666666667)</f>
        <v>44795.66667</v>
      </c>
      <c r="B6199" s="1">
        <f>IFERROR(__xludf.DUMMYFUNCTION("""COMPUTED_VALUE"""),8758.24)</f>
        <v>8758.24</v>
      </c>
    </row>
    <row r="6200">
      <c r="A6200" s="2">
        <f>IFERROR(__xludf.DUMMYFUNCTION("""COMPUTED_VALUE"""),44796.66666666667)</f>
        <v>44796.66667</v>
      </c>
      <c r="B6200" s="1">
        <f>IFERROR(__xludf.DUMMYFUNCTION("""COMPUTED_VALUE"""),8738.76)</f>
        <v>8738.76</v>
      </c>
    </row>
    <row r="6201">
      <c r="A6201" s="2">
        <f>IFERROR(__xludf.DUMMYFUNCTION("""COMPUTED_VALUE"""),44797.66666666667)</f>
        <v>44797.66667</v>
      </c>
      <c r="B6201" s="1">
        <f>IFERROR(__xludf.DUMMYFUNCTION("""COMPUTED_VALUE"""),8764.42)</f>
        <v>8764.42</v>
      </c>
    </row>
    <row r="6202">
      <c r="A6202" s="2">
        <f>IFERROR(__xludf.DUMMYFUNCTION("""COMPUTED_VALUE"""),44798.66666666667)</f>
        <v>44798.66667</v>
      </c>
      <c r="B6202" s="1">
        <f>IFERROR(__xludf.DUMMYFUNCTION("""COMPUTED_VALUE"""),8888.13)</f>
        <v>8888.13</v>
      </c>
    </row>
    <row r="6203">
      <c r="A6203" s="2">
        <f>IFERROR(__xludf.DUMMYFUNCTION("""COMPUTED_VALUE"""),44799.66666666667)</f>
        <v>44799.66667</v>
      </c>
      <c r="B6203" s="1">
        <f>IFERROR(__xludf.DUMMYFUNCTION("""COMPUTED_VALUE"""),8588.95)</f>
        <v>8588.95</v>
      </c>
    </row>
    <row r="6204">
      <c r="A6204" s="2">
        <f>IFERROR(__xludf.DUMMYFUNCTION("""COMPUTED_VALUE"""),44802.66666666667)</f>
        <v>44802.66667</v>
      </c>
      <c r="B6204" s="1">
        <f>IFERROR(__xludf.DUMMYFUNCTION("""COMPUTED_VALUE"""),8532.1)</f>
        <v>8532.1</v>
      </c>
    </row>
    <row r="6205">
      <c r="A6205" s="2">
        <f>IFERROR(__xludf.DUMMYFUNCTION("""COMPUTED_VALUE"""),44803.66666666667)</f>
        <v>44803.66667</v>
      </c>
      <c r="B6205" s="1">
        <f>IFERROR(__xludf.DUMMYFUNCTION("""COMPUTED_VALUE"""),8438.69)</f>
        <v>8438.69</v>
      </c>
    </row>
    <row r="6206">
      <c r="A6206" s="2">
        <f>IFERROR(__xludf.DUMMYFUNCTION("""COMPUTED_VALUE"""),44804.66666666667)</f>
        <v>44804.66667</v>
      </c>
      <c r="B6206" s="1">
        <f>IFERROR(__xludf.DUMMYFUNCTION("""COMPUTED_VALUE"""),8374.42)</f>
        <v>8374.42</v>
      </c>
    </row>
    <row r="6207">
      <c r="A6207" s="2">
        <f>IFERROR(__xludf.DUMMYFUNCTION("""COMPUTED_VALUE"""),44805.66666666667)</f>
        <v>44805.66667</v>
      </c>
      <c r="B6207" s="1">
        <f>IFERROR(__xludf.DUMMYFUNCTION("""COMPUTED_VALUE"""),8400.96)</f>
        <v>8400.96</v>
      </c>
    </row>
    <row r="6208">
      <c r="A6208" s="2">
        <f>IFERROR(__xludf.DUMMYFUNCTION("""COMPUTED_VALUE"""),44806.66666666667)</f>
        <v>44806.66667</v>
      </c>
      <c r="B6208" s="1">
        <f>IFERROR(__xludf.DUMMYFUNCTION("""COMPUTED_VALUE"""),8311.42)</f>
        <v>8311.42</v>
      </c>
    </row>
    <row r="6209">
      <c r="A6209" s="2">
        <f>IFERROR(__xludf.DUMMYFUNCTION("""COMPUTED_VALUE"""),44810.66666666667)</f>
        <v>44810.66667</v>
      </c>
      <c r="B6209" s="1">
        <f>IFERROR(__xludf.DUMMYFUNCTION("""COMPUTED_VALUE"""),8277.81)</f>
        <v>8277.81</v>
      </c>
    </row>
    <row r="6210">
      <c r="A6210" s="2">
        <f>IFERROR(__xludf.DUMMYFUNCTION("""COMPUTED_VALUE"""),44811.66666666667)</f>
        <v>44811.66667</v>
      </c>
      <c r="B6210" s="1">
        <f>IFERROR(__xludf.DUMMYFUNCTION("""COMPUTED_VALUE"""),8429.87)</f>
        <v>8429.87</v>
      </c>
    </row>
    <row r="6211">
      <c r="A6211" s="2">
        <f>IFERROR(__xludf.DUMMYFUNCTION("""COMPUTED_VALUE"""),44812.66666666667)</f>
        <v>44812.66667</v>
      </c>
      <c r="B6211" s="1">
        <f>IFERROR(__xludf.DUMMYFUNCTION("""COMPUTED_VALUE"""),8486.63)</f>
        <v>8486.63</v>
      </c>
    </row>
    <row r="6212">
      <c r="A6212" s="2">
        <f>IFERROR(__xludf.DUMMYFUNCTION("""COMPUTED_VALUE"""),44813.66666666667)</f>
        <v>44813.66667</v>
      </c>
      <c r="B6212" s="1">
        <f>IFERROR(__xludf.DUMMYFUNCTION("""COMPUTED_VALUE"""),8616.98)</f>
        <v>8616.98</v>
      </c>
    </row>
    <row r="6213">
      <c r="A6213" s="2">
        <f>IFERROR(__xludf.DUMMYFUNCTION("""COMPUTED_VALUE"""),44816.66666666667)</f>
        <v>44816.66667</v>
      </c>
      <c r="B6213" s="1">
        <f>IFERROR(__xludf.DUMMYFUNCTION("""COMPUTED_VALUE"""),8708.17)</f>
        <v>8708.17</v>
      </c>
    </row>
    <row r="6214">
      <c r="A6214" s="2">
        <f>IFERROR(__xludf.DUMMYFUNCTION("""COMPUTED_VALUE"""),44817.66666666667)</f>
        <v>44817.66667</v>
      </c>
      <c r="B6214" s="1">
        <f>IFERROR(__xludf.DUMMYFUNCTION("""COMPUTED_VALUE"""),8331.9)</f>
        <v>8331.9</v>
      </c>
    </row>
    <row r="6215">
      <c r="A6215" s="2">
        <f>IFERROR(__xludf.DUMMYFUNCTION("""COMPUTED_VALUE"""),44818.66666666667)</f>
        <v>44818.66667</v>
      </c>
      <c r="B6215" s="1">
        <f>IFERROR(__xludf.DUMMYFUNCTION("""COMPUTED_VALUE"""),8362.4)</f>
        <v>8362.4</v>
      </c>
    </row>
    <row r="6216">
      <c r="A6216" s="2">
        <f>IFERROR(__xludf.DUMMYFUNCTION("""COMPUTED_VALUE"""),44819.66666666667)</f>
        <v>44819.66667</v>
      </c>
      <c r="B6216" s="1">
        <f>IFERROR(__xludf.DUMMYFUNCTION("""COMPUTED_VALUE"""),8268.6)</f>
        <v>8268.6</v>
      </c>
    </row>
    <row r="6217">
      <c r="A6217" s="2">
        <f>IFERROR(__xludf.DUMMYFUNCTION("""COMPUTED_VALUE"""),44820.66666666667)</f>
        <v>44820.66667</v>
      </c>
      <c r="B6217" s="1">
        <f>IFERROR(__xludf.DUMMYFUNCTION("""COMPUTED_VALUE"""),8209.35)</f>
        <v>8209.35</v>
      </c>
    </row>
    <row r="6218">
      <c r="A6218" s="2">
        <f>IFERROR(__xludf.DUMMYFUNCTION("""COMPUTED_VALUE"""),44823.66666666667)</f>
        <v>44823.66667</v>
      </c>
      <c r="B6218" s="1">
        <f>IFERROR(__xludf.DUMMYFUNCTION("""COMPUTED_VALUE"""),8265.73)</f>
        <v>8265.73</v>
      </c>
    </row>
    <row r="6219">
      <c r="A6219" s="2">
        <f>IFERROR(__xludf.DUMMYFUNCTION("""COMPUTED_VALUE"""),44824.66666666667)</f>
        <v>44824.66667</v>
      </c>
      <c r="B6219" s="1">
        <f>IFERROR(__xludf.DUMMYFUNCTION("""COMPUTED_VALUE"""),8172.64)</f>
        <v>8172.64</v>
      </c>
    </row>
    <row r="6220">
      <c r="A6220" s="2">
        <f>IFERROR(__xludf.DUMMYFUNCTION("""COMPUTED_VALUE"""),44825.66666666667)</f>
        <v>44825.66667</v>
      </c>
      <c r="B6220" s="1">
        <f>IFERROR(__xludf.DUMMYFUNCTION("""COMPUTED_VALUE"""),8033.29)</f>
        <v>8033.29</v>
      </c>
    </row>
    <row r="6221">
      <c r="A6221" s="2">
        <f>IFERROR(__xludf.DUMMYFUNCTION("""COMPUTED_VALUE"""),44826.66666666667)</f>
        <v>44826.66667</v>
      </c>
      <c r="B6221" s="1">
        <f>IFERROR(__xludf.DUMMYFUNCTION("""COMPUTED_VALUE"""),7965.96)</f>
        <v>7965.96</v>
      </c>
    </row>
    <row r="6222">
      <c r="A6222" s="2">
        <f>IFERROR(__xludf.DUMMYFUNCTION("""COMPUTED_VALUE"""),44827.66666666667)</f>
        <v>44827.66667</v>
      </c>
      <c r="B6222" s="1">
        <f>IFERROR(__xludf.DUMMYFUNCTION("""COMPUTED_VALUE"""),7828.87)</f>
        <v>7828.87</v>
      </c>
    </row>
    <row r="6223">
      <c r="A6223" s="2">
        <f>IFERROR(__xludf.DUMMYFUNCTION("""COMPUTED_VALUE"""),44830.66666666667)</f>
        <v>44830.66667</v>
      </c>
      <c r="B6223" s="1">
        <f>IFERROR(__xludf.DUMMYFUNCTION("""COMPUTED_VALUE"""),7747.93)</f>
        <v>7747.93</v>
      </c>
    </row>
    <row r="6224">
      <c r="A6224" s="2">
        <f>IFERROR(__xludf.DUMMYFUNCTION("""COMPUTED_VALUE"""),44831.66666666667)</f>
        <v>44831.66667</v>
      </c>
      <c r="B6224" s="1">
        <f>IFERROR(__xludf.DUMMYFUNCTION("""COMPUTED_VALUE"""),7731.99)</f>
        <v>7731.99</v>
      </c>
    </row>
    <row r="6225">
      <c r="A6225" s="2">
        <f>IFERROR(__xludf.DUMMYFUNCTION("""COMPUTED_VALUE"""),44832.66666666667)</f>
        <v>44832.66667</v>
      </c>
      <c r="B6225" s="1">
        <f>IFERROR(__xludf.DUMMYFUNCTION("""COMPUTED_VALUE"""),7884.55)</f>
        <v>7884.55</v>
      </c>
    </row>
    <row r="6226">
      <c r="A6226" s="2">
        <f>IFERROR(__xludf.DUMMYFUNCTION("""COMPUTED_VALUE"""),44833.66666666667)</f>
        <v>44833.66667</v>
      </c>
      <c r="B6226" s="1">
        <f>IFERROR(__xludf.DUMMYFUNCTION("""COMPUTED_VALUE"""),7719.09)</f>
        <v>7719.09</v>
      </c>
    </row>
    <row r="6227">
      <c r="A6227" s="2">
        <f>IFERROR(__xludf.DUMMYFUNCTION("""COMPUTED_VALUE"""),44834.66666666667)</f>
        <v>44834.66667</v>
      </c>
      <c r="B6227" s="1">
        <f>IFERROR(__xludf.DUMMYFUNCTION("""COMPUTED_VALUE"""),7603.14)</f>
        <v>7603.14</v>
      </c>
    </row>
    <row r="6228">
      <c r="A6228" s="2">
        <f>IFERROR(__xludf.DUMMYFUNCTION("""COMPUTED_VALUE"""),44837.66666666667)</f>
        <v>44837.66667</v>
      </c>
      <c r="B6228" s="1">
        <f>IFERROR(__xludf.DUMMYFUNCTION("""COMPUTED_VALUE"""),7800.0)</f>
        <v>7800</v>
      </c>
    </row>
    <row r="6229">
      <c r="A6229" s="2">
        <f>IFERROR(__xludf.DUMMYFUNCTION("""COMPUTED_VALUE"""),44838.66666666667)</f>
        <v>44838.66667</v>
      </c>
      <c r="B6229" s="1">
        <f>IFERROR(__xludf.DUMMYFUNCTION("""COMPUTED_VALUE"""),8039.25)</f>
        <v>8039.25</v>
      </c>
    </row>
    <row r="6230">
      <c r="A6230" s="2">
        <f>IFERROR(__xludf.DUMMYFUNCTION("""COMPUTED_VALUE"""),44839.66666666667)</f>
        <v>44839.66667</v>
      </c>
      <c r="B6230" s="1">
        <f>IFERROR(__xludf.DUMMYFUNCTION("""COMPUTED_VALUE"""),8023.81)</f>
        <v>8023.81</v>
      </c>
    </row>
    <row r="6231">
      <c r="A6231" s="2">
        <f>IFERROR(__xludf.DUMMYFUNCTION("""COMPUTED_VALUE"""),44840.66666666667)</f>
        <v>44840.66667</v>
      </c>
      <c r="B6231" s="1">
        <f>IFERROR(__xludf.DUMMYFUNCTION("""COMPUTED_VALUE"""),7943.63)</f>
        <v>7943.63</v>
      </c>
    </row>
    <row r="6232">
      <c r="A6232" s="2">
        <f>IFERROR(__xludf.DUMMYFUNCTION("""COMPUTED_VALUE"""),44841.66666666667)</f>
        <v>44841.66667</v>
      </c>
      <c r="B6232" s="1">
        <f>IFERROR(__xludf.DUMMYFUNCTION("""COMPUTED_VALUE"""),7721.44)</f>
        <v>7721.44</v>
      </c>
    </row>
    <row r="6233">
      <c r="A6233" s="2">
        <f>IFERROR(__xludf.DUMMYFUNCTION("""COMPUTED_VALUE"""),44844.66666666667)</f>
        <v>44844.66667</v>
      </c>
      <c r="B6233" s="1">
        <f>IFERROR(__xludf.DUMMYFUNCTION("""COMPUTED_VALUE"""),7663.58)</f>
        <v>7663.58</v>
      </c>
    </row>
    <row r="6234">
      <c r="A6234" s="2">
        <f>IFERROR(__xludf.DUMMYFUNCTION("""COMPUTED_VALUE"""),44845.66666666667)</f>
        <v>44845.66667</v>
      </c>
      <c r="B6234" s="1">
        <f>IFERROR(__xludf.DUMMYFUNCTION("""COMPUTED_VALUE"""),7613.75)</f>
        <v>7613.75</v>
      </c>
    </row>
    <row r="6235">
      <c r="A6235" s="2">
        <f>IFERROR(__xludf.DUMMYFUNCTION("""COMPUTED_VALUE"""),44846.66666666667)</f>
        <v>44846.66667</v>
      </c>
      <c r="B6235" s="1">
        <f>IFERROR(__xludf.DUMMYFUNCTION("""COMPUTED_VALUE"""),7588.9)</f>
        <v>7588.9</v>
      </c>
    </row>
    <row r="6236">
      <c r="A6236" s="2">
        <f>IFERROR(__xludf.DUMMYFUNCTION("""COMPUTED_VALUE"""),44847.66666666667)</f>
        <v>44847.66667</v>
      </c>
      <c r="B6236" s="1">
        <f>IFERROR(__xludf.DUMMYFUNCTION("""COMPUTED_VALUE"""),7786.96)</f>
        <v>7786.96</v>
      </c>
    </row>
    <row r="6237">
      <c r="A6237" s="2">
        <f>IFERROR(__xludf.DUMMYFUNCTION("""COMPUTED_VALUE"""),44848.66666666667)</f>
        <v>44848.66667</v>
      </c>
      <c r="B6237" s="1">
        <f>IFERROR(__xludf.DUMMYFUNCTION("""COMPUTED_VALUE"""),7602.99)</f>
        <v>7602.99</v>
      </c>
    </row>
    <row r="6238">
      <c r="A6238" s="2">
        <f>IFERROR(__xludf.DUMMYFUNCTION("""COMPUTED_VALUE"""),44851.66666666667)</f>
        <v>44851.66667</v>
      </c>
      <c r="B6238" s="1">
        <f>IFERROR(__xludf.DUMMYFUNCTION("""COMPUTED_VALUE"""),7804.33)</f>
        <v>7804.33</v>
      </c>
    </row>
    <row r="6239">
      <c r="A6239" s="2">
        <f>IFERROR(__xludf.DUMMYFUNCTION("""COMPUTED_VALUE"""),44852.66666666667)</f>
        <v>44852.66667</v>
      </c>
      <c r="B6239" s="1">
        <f>IFERROR(__xludf.DUMMYFUNCTION("""COMPUTED_VALUE"""),7893.68)</f>
        <v>7893.68</v>
      </c>
    </row>
    <row r="6240">
      <c r="A6240" s="2">
        <f>IFERROR(__xludf.DUMMYFUNCTION("""COMPUTED_VALUE"""),44853.66666666667)</f>
        <v>44853.66667</v>
      </c>
      <c r="B6240" s="1">
        <f>IFERROR(__xludf.DUMMYFUNCTION("""COMPUTED_VALUE"""),7840.99)</f>
        <v>7840.99</v>
      </c>
    </row>
    <row r="6241">
      <c r="A6241" s="2">
        <f>IFERROR(__xludf.DUMMYFUNCTION("""COMPUTED_VALUE"""),44854.66666666667)</f>
        <v>44854.66667</v>
      </c>
      <c r="B6241" s="1">
        <f>IFERROR(__xludf.DUMMYFUNCTION("""COMPUTED_VALUE"""),7779.53)</f>
        <v>7779.53</v>
      </c>
    </row>
    <row r="6242">
      <c r="A6242" s="2">
        <f>IFERROR(__xludf.DUMMYFUNCTION("""COMPUTED_VALUE"""),44855.66666666667)</f>
        <v>44855.66667</v>
      </c>
      <c r="B6242" s="1">
        <f>IFERROR(__xludf.DUMMYFUNCTION("""COMPUTED_VALUE"""),7964.25)</f>
        <v>7964.25</v>
      </c>
    </row>
    <row r="6243">
      <c r="A6243" s="2">
        <f>IFERROR(__xludf.DUMMYFUNCTION("""COMPUTED_VALUE"""),44858.66666666667)</f>
        <v>44858.66667</v>
      </c>
      <c r="B6243" s="1">
        <f>IFERROR(__xludf.DUMMYFUNCTION("""COMPUTED_VALUE"""),8058.88)</f>
        <v>8058.88</v>
      </c>
    </row>
    <row r="6244">
      <c r="A6244" s="2">
        <f>IFERROR(__xludf.DUMMYFUNCTION("""COMPUTED_VALUE"""),44859.66666666667)</f>
        <v>44859.66667</v>
      </c>
      <c r="B6244" s="1">
        <f>IFERROR(__xludf.DUMMYFUNCTION("""COMPUTED_VALUE"""),8190.02)</f>
        <v>8190.02</v>
      </c>
    </row>
    <row r="6245">
      <c r="A6245" s="2">
        <f>IFERROR(__xludf.DUMMYFUNCTION("""COMPUTED_VALUE"""),44860.66666666667)</f>
        <v>44860.66667</v>
      </c>
      <c r="B6245" s="1">
        <f>IFERROR(__xludf.DUMMYFUNCTION("""COMPUTED_VALUE"""),8129.62)</f>
        <v>8129.62</v>
      </c>
    </row>
    <row r="6246">
      <c r="A6246" s="2">
        <f>IFERROR(__xludf.DUMMYFUNCTION("""COMPUTED_VALUE"""),44861.66666666667)</f>
        <v>44861.66667</v>
      </c>
      <c r="B6246" s="1">
        <f>IFERROR(__xludf.DUMMYFUNCTION("""COMPUTED_VALUE"""),8080.32)</f>
        <v>8080.32</v>
      </c>
    </row>
    <row r="6247">
      <c r="A6247" s="2">
        <f>IFERROR(__xludf.DUMMYFUNCTION("""COMPUTED_VALUE"""),44862.66666666667)</f>
        <v>44862.66667</v>
      </c>
      <c r="B6247" s="1">
        <f>IFERROR(__xludf.DUMMYFUNCTION("""COMPUTED_VALUE"""),8280.11)</f>
        <v>8280.11</v>
      </c>
    </row>
    <row r="6248">
      <c r="A6248" s="2">
        <f>IFERROR(__xludf.DUMMYFUNCTION("""COMPUTED_VALUE"""),44865.66666666667)</f>
        <v>44865.66667</v>
      </c>
      <c r="B6248" s="1">
        <f>IFERROR(__xludf.DUMMYFUNCTION("""COMPUTED_VALUE"""),8218.7)</f>
        <v>8218.7</v>
      </c>
    </row>
    <row r="6249">
      <c r="A6249" s="2">
        <f>IFERROR(__xludf.DUMMYFUNCTION("""COMPUTED_VALUE"""),44866.66666666667)</f>
        <v>44866.66667</v>
      </c>
      <c r="B6249" s="1">
        <f>IFERROR(__xludf.DUMMYFUNCTION("""COMPUTED_VALUE"""),8185.07)</f>
        <v>8185.07</v>
      </c>
    </row>
    <row r="6250">
      <c r="A6250" s="2">
        <f>IFERROR(__xludf.DUMMYFUNCTION("""COMPUTED_VALUE"""),44867.66666666667)</f>
        <v>44867.66667</v>
      </c>
      <c r="B6250" s="1">
        <f>IFERROR(__xludf.DUMMYFUNCTION("""COMPUTED_VALUE"""),7980.47)</f>
        <v>7980.47</v>
      </c>
    </row>
    <row r="6251">
      <c r="A6251" s="2">
        <f>IFERROR(__xludf.DUMMYFUNCTION("""COMPUTED_VALUE"""),44868.66666666667)</f>
        <v>44868.66667</v>
      </c>
      <c r="B6251" s="1">
        <f>IFERROR(__xludf.DUMMYFUNCTION("""COMPUTED_VALUE"""),7897.01)</f>
        <v>7897.01</v>
      </c>
    </row>
    <row r="6252">
      <c r="A6252" s="2">
        <f>IFERROR(__xludf.DUMMYFUNCTION("""COMPUTED_VALUE"""),44869.66666666667)</f>
        <v>44869.66667</v>
      </c>
      <c r="B6252" s="1">
        <f>IFERROR(__xludf.DUMMYFUNCTION("""COMPUTED_VALUE"""),8006.24)</f>
        <v>8006.24</v>
      </c>
    </row>
    <row r="6253">
      <c r="A6253" s="2">
        <f>IFERROR(__xludf.DUMMYFUNCTION("""COMPUTED_VALUE"""),44872.66666666667)</f>
        <v>44872.66667</v>
      </c>
      <c r="B6253" s="1">
        <f>IFERROR(__xludf.DUMMYFUNCTION("""COMPUTED_VALUE"""),8083.38)</f>
        <v>8083.38</v>
      </c>
    </row>
    <row r="6254">
      <c r="A6254" s="2">
        <f>IFERROR(__xludf.DUMMYFUNCTION("""COMPUTED_VALUE"""),44873.66666666667)</f>
        <v>44873.66667</v>
      </c>
      <c r="B6254" s="1">
        <f>IFERROR(__xludf.DUMMYFUNCTION("""COMPUTED_VALUE"""),8128.7)</f>
        <v>8128.7</v>
      </c>
    </row>
    <row r="6255">
      <c r="A6255" s="2">
        <f>IFERROR(__xludf.DUMMYFUNCTION("""COMPUTED_VALUE"""),44874.66666666667)</f>
        <v>44874.66667</v>
      </c>
      <c r="B6255" s="1">
        <f>IFERROR(__xludf.DUMMYFUNCTION("""COMPUTED_VALUE"""),7961.52)</f>
        <v>7961.52</v>
      </c>
    </row>
    <row r="6256">
      <c r="A6256" s="2">
        <f>IFERROR(__xludf.DUMMYFUNCTION("""COMPUTED_VALUE"""),44875.66666666667)</f>
        <v>44875.66667</v>
      </c>
      <c r="B6256" s="1">
        <f>IFERROR(__xludf.DUMMYFUNCTION("""COMPUTED_VALUE"""),8403.48)</f>
        <v>8403.48</v>
      </c>
    </row>
    <row r="6257">
      <c r="A6257" s="2">
        <f>IFERROR(__xludf.DUMMYFUNCTION("""COMPUTED_VALUE"""),44876.66666666667)</f>
        <v>44876.66667</v>
      </c>
      <c r="B6257" s="1">
        <f>IFERROR(__xludf.DUMMYFUNCTION("""COMPUTED_VALUE"""),8481.13)</f>
        <v>8481.13</v>
      </c>
    </row>
    <row r="6258">
      <c r="A6258" s="2">
        <f>IFERROR(__xludf.DUMMYFUNCTION("""COMPUTED_VALUE"""),44879.66666666667)</f>
        <v>44879.66667</v>
      </c>
      <c r="B6258" s="1">
        <f>IFERROR(__xludf.DUMMYFUNCTION("""COMPUTED_VALUE"""),8407.25)</f>
        <v>8407.25</v>
      </c>
    </row>
    <row r="6259">
      <c r="A6259" s="2">
        <f>IFERROR(__xludf.DUMMYFUNCTION("""COMPUTED_VALUE"""),44880.66666666667)</f>
        <v>44880.66667</v>
      </c>
      <c r="B6259" s="1">
        <f>IFERROR(__xludf.DUMMYFUNCTION("""COMPUTED_VALUE"""),8481.14)</f>
        <v>8481.14</v>
      </c>
    </row>
    <row r="6260">
      <c r="A6260" s="2">
        <f>IFERROR(__xludf.DUMMYFUNCTION("""COMPUTED_VALUE"""),44881.66666666667)</f>
        <v>44881.66667</v>
      </c>
      <c r="B6260" s="1">
        <f>IFERROR(__xludf.DUMMYFUNCTION("""COMPUTED_VALUE"""),8413.09)</f>
        <v>8413.09</v>
      </c>
    </row>
    <row r="6261">
      <c r="A6261" s="2">
        <f>IFERROR(__xludf.DUMMYFUNCTION("""COMPUTED_VALUE"""),44882.66666666667)</f>
        <v>44882.66667</v>
      </c>
      <c r="B6261" s="1">
        <f>IFERROR(__xludf.DUMMYFUNCTION("""COMPUTED_VALUE"""),8388.84)</f>
        <v>8388.84</v>
      </c>
    </row>
    <row r="6262">
      <c r="A6262" s="2">
        <f>IFERROR(__xludf.DUMMYFUNCTION("""COMPUTED_VALUE"""),44883.66666666667)</f>
        <v>44883.66667</v>
      </c>
      <c r="B6262" s="1">
        <f>IFERROR(__xludf.DUMMYFUNCTION("""COMPUTED_VALUE"""),8429.01)</f>
        <v>8429.01</v>
      </c>
    </row>
    <row r="6263">
      <c r="A6263" s="2">
        <f>IFERROR(__xludf.DUMMYFUNCTION("""COMPUTED_VALUE"""),44886.66666666667)</f>
        <v>44886.66667</v>
      </c>
      <c r="B6263" s="1">
        <f>IFERROR(__xludf.DUMMYFUNCTION("""COMPUTED_VALUE"""),8397.23)</f>
        <v>8397.23</v>
      </c>
    </row>
    <row r="6264">
      <c r="A6264" s="2">
        <f>IFERROR(__xludf.DUMMYFUNCTION("""COMPUTED_VALUE"""),44887.66666666667)</f>
        <v>44887.66667</v>
      </c>
      <c r="B6264" s="1">
        <f>IFERROR(__xludf.DUMMYFUNCTION("""COMPUTED_VALUE"""),8511.48)</f>
        <v>8511.48</v>
      </c>
    </row>
    <row r="6265">
      <c r="A6265" s="2">
        <f>IFERROR(__xludf.DUMMYFUNCTION("""COMPUTED_VALUE"""),44888.66666666667)</f>
        <v>44888.66667</v>
      </c>
      <c r="B6265" s="1">
        <f>IFERROR(__xludf.DUMMYFUNCTION("""COMPUTED_VALUE"""),8562.27)</f>
        <v>8562.27</v>
      </c>
    </row>
    <row r="6266">
      <c r="A6266" s="2">
        <f>IFERROR(__xludf.DUMMYFUNCTION("""COMPUTED_VALUE"""),44890.54166666667)</f>
        <v>44890.54167</v>
      </c>
      <c r="B6266" s="1">
        <f>IFERROR(__xludf.DUMMYFUNCTION("""COMPUTED_VALUE"""),8560.09)</f>
        <v>8560.09</v>
      </c>
    </row>
    <row r="6267">
      <c r="A6267" s="2">
        <f>IFERROR(__xludf.DUMMYFUNCTION("""COMPUTED_VALUE"""),44893.66666666667)</f>
        <v>44893.66667</v>
      </c>
      <c r="B6267" s="1">
        <f>IFERROR(__xludf.DUMMYFUNCTION("""COMPUTED_VALUE"""),8427.95)</f>
        <v>8427.95</v>
      </c>
    </row>
    <row r="6268">
      <c r="A6268" s="2">
        <f>IFERROR(__xludf.DUMMYFUNCTION("""COMPUTED_VALUE"""),44894.66666666667)</f>
        <v>44894.66667</v>
      </c>
      <c r="B6268" s="1">
        <f>IFERROR(__xludf.DUMMYFUNCTION("""COMPUTED_VALUE"""),8415.27)</f>
        <v>8415.27</v>
      </c>
    </row>
    <row r="6269">
      <c r="A6269" s="2">
        <f>IFERROR(__xludf.DUMMYFUNCTION("""COMPUTED_VALUE"""),44895.66666666667)</f>
        <v>44895.66667</v>
      </c>
      <c r="B6269" s="1">
        <f>IFERROR(__xludf.DUMMYFUNCTION("""COMPUTED_VALUE"""),8678.0)</f>
        <v>8678</v>
      </c>
    </row>
    <row r="6270">
      <c r="A6270" s="2">
        <f>IFERROR(__xludf.DUMMYFUNCTION("""COMPUTED_VALUE"""),44896.66666666667)</f>
        <v>44896.66667</v>
      </c>
      <c r="B6270" s="1">
        <f>IFERROR(__xludf.DUMMYFUNCTION("""COMPUTED_VALUE"""),8671.9)</f>
        <v>8671.9</v>
      </c>
    </row>
    <row r="6271">
      <c r="A6271" s="2">
        <f>IFERROR(__xludf.DUMMYFUNCTION("""COMPUTED_VALUE"""),44897.66666666667)</f>
        <v>44897.66667</v>
      </c>
      <c r="B6271" s="1">
        <f>IFERROR(__xludf.DUMMYFUNCTION("""COMPUTED_VALUE"""),8662.23)</f>
        <v>8662.23</v>
      </c>
    </row>
    <row r="6272">
      <c r="A6272" s="2">
        <f>IFERROR(__xludf.DUMMYFUNCTION("""COMPUTED_VALUE"""),44900.66666666667)</f>
        <v>44900.66667</v>
      </c>
      <c r="B6272" s="1">
        <f>IFERROR(__xludf.DUMMYFUNCTION("""COMPUTED_VALUE"""),8507.34)</f>
        <v>8507.34</v>
      </c>
    </row>
    <row r="6273">
      <c r="A6273" s="2">
        <f>IFERROR(__xludf.DUMMYFUNCTION("""COMPUTED_VALUE"""),44901.66666666667)</f>
        <v>44901.66667</v>
      </c>
      <c r="B6273" s="1">
        <f>IFERROR(__xludf.DUMMYFUNCTION("""COMPUTED_VALUE"""),8385.16)</f>
        <v>8385.16</v>
      </c>
    </row>
    <row r="6274">
      <c r="A6274" s="2">
        <f>IFERROR(__xludf.DUMMYFUNCTION("""COMPUTED_VALUE"""),44902.66666666667)</f>
        <v>44902.66667</v>
      </c>
      <c r="B6274" s="1">
        <f>IFERROR(__xludf.DUMMYFUNCTION("""COMPUTED_VALUE"""),8369.74)</f>
        <v>8369.74</v>
      </c>
    </row>
    <row r="6275">
      <c r="A6275" s="2">
        <f>IFERROR(__xludf.DUMMYFUNCTION("""COMPUTED_VALUE"""),44903.66666666667)</f>
        <v>44903.66667</v>
      </c>
      <c r="B6275" s="1">
        <f>IFERROR(__xludf.DUMMYFUNCTION("""COMPUTED_VALUE"""),8433.9)</f>
        <v>8433.9</v>
      </c>
    </row>
    <row r="6276">
      <c r="A6276" s="2">
        <f>IFERROR(__xludf.DUMMYFUNCTION("""COMPUTED_VALUE"""),44904.66666666667)</f>
        <v>44904.66667</v>
      </c>
      <c r="B6276" s="1">
        <f>IFERROR(__xludf.DUMMYFUNCTION("""COMPUTED_VALUE"""),8372.26)</f>
        <v>8372.26</v>
      </c>
    </row>
    <row r="6277">
      <c r="A6277" s="2">
        <f>IFERROR(__xludf.DUMMYFUNCTION("""COMPUTED_VALUE"""),44907.66666666667)</f>
        <v>44907.66667</v>
      </c>
      <c r="B6277" s="1">
        <f>IFERROR(__xludf.DUMMYFUNCTION("""COMPUTED_VALUE"""),8491.86)</f>
        <v>8491.86</v>
      </c>
    </row>
    <row r="6278">
      <c r="A6278" s="2">
        <f>IFERROR(__xludf.DUMMYFUNCTION("""COMPUTED_VALUE"""),44908.66666666667)</f>
        <v>44908.66667</v>
      </c>
      <c r="B6278" s="1">
        <f>IFERROR(__xludf.DUMMYFUNCTION("""COMPUTED_VALUE"""),8554.1)</f>
        <v>8554.1</v>
      </c>
    </row>
    <row r="6279">
      <c r="A6279" s="2">
        <f>IFERROR(__xludf.DUMMYFUNCTION("""COMPUTED_VALUE"""),44909.66666666667)</f>
        <v>44909.66667</v>
      </c>
      <c r="B6279" s="1">
        <f>IFERROR(__xludf.DUMMYFUNCTION("""COMPUTED_VALUE"""),8503.97)</f>
        <v>8503.97</v>
      </c>
    </row>
    <row r="6280">
      <c r="A6280" s="2">
        <f>IFERROR(__xludf.DUMMYFUNCTION("""COMPUTED_VALUE"""),44910.66666666667)</f>
        <v>44910.66667</v>
      </c>
      <c r="B6280" s="1">
        <f>IFERROR(__xludf.DUMMYFUNCTION("""COMPUTED_VALUE"""),8292.64)</f>
        <v>8292.64</v>
      </c>
    </row>
    <row r="6281">
      <c r="A6281" s="2">
        <f>IFERROR(__xludf.DUMMYFUNCTION("""COMPUTED_VALUE"""),44911.66666666667)</f>
        <v>44911.66667</v>
      </c>
      <c r="B6281" s="1">
        <f>IFERROR(__xludf.DUMMYFUNCTION("""COMPUTED_VALUE"""),8200.9)</f>
        <v>8200.9</v>
      </c>
    </row>
    <row r="6282">
      <c r="A6282" s="2">
        <f>IFERROR(__xludf.DUMMYFUNCTION("""COMPUTED_VALUE"""),44914.66666666667)</f>
        <v>44914.66667</v>
      </c>
      <c r="B6282" s="1">
        <f>IFERROR(__xludf.DUMMYFUNCTION("""COMPUTED_VALUE"""),8127.57)</f>
        <v>8127.57</v>
      </c>
    </row>
    <row r="6283">
      <c r="A6283" s="2">
        <f>IFERROR(__xludf.DUMMYFUNCTION("""COMPUTED_VALUE"""),44915.66666666667)</f>
        <v>44915.66667</v>
      </c>
      <c r="B6283" s="1">
        <f>IFERROR(__xludf.DUMMYFUNCTION("""COMPUTED_VALUE"""),8136.3)</f>
        <v>8136.3</v>
      </c>
    </row>
    <row r="6284">
      <c r="A6284" s="2">
        <f>IFERROR(__xludf.DUMMYFUNCTION("""COMPUTED_VALUE"""),44916.66666666667)</f>
        <v>44916.66667</v>
      </c>
      <c r="B6284" s="1">
        <f>IFERROR(__xludf.DUMMYFUNCTION("""COMPUTED_VALUE"""),8258.43)</f>
        <v>8258.43</v>
      </c>
    </row>
    <row r="6285">
      <c r="A6285" s="2">
        <f>IFERROR(__xludf.DUMMYFUNCTION("""COMPUTED_VALUE"""),44917.66666666667)</f>
        <v>44917.66667</v>
      </c>
      <c r="B6285" s="1">
        <f>IFERROR(__xludf.DUMMYFUNCTION("""COMPUTED_VALUE"""),8139.07)</f>
        <v>8139.07</v>
      </c>
    </row>
    <row r="6286">
      <c r="A6286" s="2">
        <f>IFERROR(__xludf.DUMMYFUNCTION("""COMPUTED_VALUE"""),44918.66666666667)</f>
        <v>44918.66667</v>
      </c>
      <c r="B6286" s="1">
        <f>IFERROR(__xludf.DUMMYFUNCTION("""COMPUTED_VALUE"""),8187.06)</f>
        <v>8187.06</v>
      </c>
    </row>
    <row r="6287">
      <c r="A6287" s="2">
        <f>IFERROR(__xludf.DUMMYFUNCTION("""COMPUTED_VALUE"""),44922.66666666667)</f>
        <v>44922.66667</v>
      </c>
      <c r="B6287" s="1">
        <f>IFERROR(__xludf.DUMMYFUNCTION("""COMPUTED_VALUE"""),8154.57)</f>
        <v>8154.57</v>
      </c>
    </row>
    <row r="6288">
      <c r="A6288" s="2">
        <f>IFERROR(__xludf.DUMMYFUNCTION("""COMPUTED_VALUE"""),44923.66666666667)</f>
        <v>44923.66667</v>
      </c>
      <c r="B6288" s="1">
        <f>IFERROR(__xludf.DUMMYFUNCTION("""COMPUTED_VALUE"""),8056.62)</f>
        <v>8056.62</v>
      </c>
    </row>
    <row r="6289">
      <c r="A6289" s="2">
        <f>IFERROR(__xludf.DUMMYFUNCTION("""COMPUTED_VALUE"""),44924.66666666667)</f>
        <v>44924.66667</v>
      </c>
      <c r="B6289" s="1">
        <f>IFERROR(__xludf.DUMMYFUNCTION("""COMPUTED_VALUE"""),8198.36)</f>
        <v>8198.36</v>
      </c>
    </row>
    <row r="6290">
      <c r="A6290" s="2">
        <f>IFERROR(__xludf.DUMMYFUNCTION("""COMPUTED_VALUE"""),44925.66666666667)</f>
        <v>44925.66667</v>
      </c>
      <c r="B6290" s="1">
        <f>IFERROR(__xludf.DUMMYFUNCTION("""COMPUTED_VALUE"""),8178.02)</f>
        <v>8178.02</v>
      </c>
    </row>
    <row r="6291">
      <c r="A6291" s="2">
        <f>IFERROR(__xludf.DUMMYFUNCTION("""COMPUTED_VALUE"""),44929.66666666667)</f>
        <v>44929.66667</v>
      </c>
      <c r="B6291" s="1">
        <f>IFERROR(__xludf.DUMMYFUNCTION("""COMPUTED_VALUE"""),8145.6)</f>
        <v>8145.6</v>
      </c>
    </row>
    <row r="6292">
      <c r="A6292" s="2">
        <f>IFERROR(__xludf.DUMMYFUNCTION("""COMPUTED_VALUE"""),44930.66666666667)</f>
        <v>44930.66667</v>
      </c>
      <c r="B6292" s="1">
        <f>IFERROR(__xludf.DUMMYFUNCTION("""COMPUTED_VALUE"""),8207.42)</f>
        <v>8207.42</v>
      </c>
    </row>
    <row r="6293">
      <c r="A6293" s="2">
        <f>IFERROR(__xludf.DUMMYFUNCTION("""COMPUTED_VALUE"""),44931.66666666667)</f>
        <v>44931.66667</v>
      </c>
      <c r="B6293" s="1">
        <f>IFERROR(__xludf.DUMMYFUNCTION("""COMPUTED_VALUE"""),8113.15)</f>
        <v>8113.15</v>
      </c>
    </row>
    <row r="6294">
      <c r="A6294" s="2">
        <f>IFERROR(__xludf.DUMMYFUNCTION("""COMPUTED_VALUE"""),44932.66666666667)</f>
        <v>44932.66667</v>
      </c>
      <c r="B6294" s="1">
        <f>IFERROR(__xludf.DUMMYFUNCTION("""COMPUTED_VALUE"""),8298.61)</f>
        <v>8298.61</v>
      </c>
    </row>
    <row r="6295">
      <c r="A6295" s="2">
        <f>IFERROR(__xludf.DUMMYFUNCTION("""COMPUTED_VALUE"""),44935.66666666667)</f>
        <v>44935.66667</v>
      </c>
      <c r="B6295" s="1">
        <f>IFERROR(__xludf.DUMMYFUNCTION("""COMPUTED_VALUE"""),8293.8)</f>
        <v>8293.8</v>
      </c>
    </row>
    <row r="6296">
      <c r="A6296" s="2">
        <f>IFERROR(__xludf.DUMMYFUNCTION("""COMPUTED_VALUE"""),44936.66666666667)</f>
        <v>44936.66667</v>
      </c>
      <c r="B6296" s="1">
        <f>IFERROR(__xludf.DUMMYFUNCTION("""COMPUTED_VALUE"""),8351.68)</f>
        <v>8351.68</v>
      </c>
    </row>
    <row r="6297">
      <c r="A6297" s="2">
        <f>IFERROR(__xludf.DUMMYFUNCTION("""COMPUTED_VALUE"""),44937.66666666667)</f>
        <v>44937.66667</v>
      </c>
      <c r="B6297" s="1">
        <f>IFERROR(__xludf.DUMMYFUNCTION("""COMPUTED_VALUE"""),8459.18)</f>
        <v>8459.18</v>
      </c>
    </row>
    <row r="6298">
      <c r="A6298" s="2">
        <f>IFERROR(__xludf.DUMMYFUNCTION("""COMPUTED_VALUE"""),44938.66666666667)</f>
        <v>44938.66667</v>
      </c>
      <c r="B6298" s="1">
        <f>IFERROR(__xludf.DUMMYFUNCTION("""COMPUTED_VALUE"""),8489.08)</f>
        <v>8489.08</v>
      </c>
    </row>
    <row r="6299">
      <c r="A6299" s="2">
        <f>IFERROR(__xludf.DUMMYFUNCTION("""COMPUTED_VALUE"""),44939.66666666667)</f>
        <v>44939.66667</v>
      </c>
      <c r="B6299" s="1">
        <f>IFERROR(__xludf.DUMMYFUNCTION("""COMPUTED_VALUE"""),8523.32)</f>
        <v>8523.32</v>
      </c>
    </row>
    <row r="6300">
      <c r="A6300" s="2">
        <f>IFERROR(__xludf.DUMMYFUNCTION("""COMPUTED_VALUE"""),44943.66666666667)</f>
        <v>44943.66667</v>
      </c>
      <c r="B6300" s="1">
        <f>IFERROR(__xludf.DUMMYFUNCTION("""COMPUTED_VALUE"""),8506.03)</f>
        <v>8506.03</v>
      </c>
    </row>
    <row r="6301">
      <c r="A6301" s="2">
        <f>IFERROR(__xludf.DUMMYFUNCTION("""COMPUTED_VALUE"""),44944.66666666667)</f>
        <v>44944.66667</v>
      </c>
      <c r="B6301" s="1">
        <f>IFERROR(__xludf.DUMMYFUNCTION("""COMPUTED_VALUE"""),8373.66)</f>
        <v>8373.66</v>
      </c>
    </row>
    <row r="6302">
      <c r="A6302" s="2">
        <f>IFERROR(__xludf.DUMMYFUNCTION("""COMPUTED_VALUE"""),44945.66666666667)</f>
        <v>44945.66667</v>
      </c>
      <c r="B6302" s="1">
        <f>IFERROR(__xludf.DUMMYFUNCTION("""COMPUTED_VALUE"""),8310.75)</f>
        <v>8310.75</v>
      </c>
    </row>
    <row r="6303">
      <c r="A6303" s="2">
        <f>IFERROR(__xludf.DUMMYFUNCTION("""COMPUTED_VALUE"""),44946.66666666667)</f>
        <v>44946.66667</v>
      </c>
      <c r="B6303" s="1">
        <f>IFERROR(__xludf.DUMMYFUNCTION("""COMPUTED_VALUE"""),8468.15)</f>
        <v>8468.15</v>
      </c>
    </row>
    <row r="6304">
      <c r="A6304" s="2">
        <f>IFERROR(__xludf.DUMMYFUNCTION("""COMPUTED_VALUE"""),44949.66666666667)</f>
        <v>44949.66667</v>
      </c>
      <c r="B6304" s="1">
        <f>IFERROR(__xludf.DUMMYFUNCTION("""COMPUTED_VALUE"""),8568.77)</f>
        <v>8568.77</v>
      </c>
    </row>
    <row r="6305">
      <c r="A6305" s="2">
        <f>IFERROR(__xludf.DUMMYFUNCTION("""COMPUTED_VALUE"""),44950.66666666667)</f>
        <v>44950.66667</v>
      </c>
      <c r="B6305" s="1">
        <f>IFERROR(__xludf.DUMMYFUNCTION("""COMPUTED_VALUE"""),8562.87)</f>
        <v>8562.87</v>
      </c>
    </row>
    <row r="6306">
      <c r="A6306" s="2">
        <f>IFERROR(__xludf.DUMMYFUNCTION("""COMPUTED_VALUE"""),44951.66666666667)</f>
        <v>44951.66667</v>
      </c>
      <c r="B6306" s="1">
        <f>IFERROR(__xludf.DUMMYFUNCTION("""COMPUTED_VALUE"""),8561.4)</f>
        <v>8561.4</v>
      </c>
    </row>
    <row r="6307">
      <c r="A6307" s="2">
        <f>IFERROR(__xludf.DUMMYFUNCTION("""COMPUTED_VALUE"""),44952.66666666667)</f>
        <v>44952.66667</v>
      </c>
      <c r="B6307" s="1">
        <f>IFERROR(__xludf.DUMMYFUNCTION("""COMPUTED_VALUE"""),8656.26)</f>
        <v>8656.26</v>
      </c>
    </row>
    <row r="6308">
      <c r="A6308" s="2">
        <f>IFERROR(__xludf.DUMMYFUNCTION("""COMPUTED_VALUE"""),44953.66666666667)</f>
        <v>44953.66667</v>
      </c>
      <c r="B6308" s="1">
        <f>IFERROR(__xludf.DUMMYFUNCTION("""COMPUTED_VALUE"""),8678.01)</f>
        <v>8678.01</v>
      </c>
    </row>
    <row r="6309">
      <c r="A6309" s="2">
        <f>IFERROR(__xludf.DUMMYFUNCTION("""COMPUTED_VALUE"""),44956.66666666667)</f>
        <v>44956.66667</v>
      </c>
      <c r="B6309" s="1">
        <f>IFERROR(__xludf.DUMMYFUNCTION("""COMPUTED_VALUE"""),8566.28)</f>
        <v>8566.28</v>
      </c>
    </row>
    <row r="6310">
      <c r="A6310" s="2">
        <f>IFERROR(__xludf.DUMMYFUNCTION("""COMPUTED_VALUE"""),44957.66666666667)</f>
        <v>44957.66667</v>
      </c>
      <c r="B6310" s="1">
        <f>IFERROR(__xludf.DUMMYFUNCTION("""COMPUTED_VALUE"""),8691.88)</f>
        <v>8691.88</v>
      </c>
    </row>
    <row r="6311">
      <c r="A6311" s="2">
        <f>IFERROR(__xludf.DUMMYFUNCTION("""COMPUTED_VALUE"""),44958.66666666667)</f>
        <v>44958.66667</v>
      </c>
      <c r="B6311" s="1">
        <f>IFERROR(__xludf.DUMMYFUNCTION("""COMPUTED_VALUE"""),8782.77)</f>
        <v>8782.77</v>
      </c>
    </row>
    <row r="6312">
      <c r="A6312" s="2">
        <f>IFERROR(__xludf.DUMMYFUNCTION("""COMPUTED_VALUE"""),44959.66666666667)</f>
        <v>44959.66667</v>
      </c>
      <c r="B6312" s="1">
        <f>IFERROR(__xludf.DUMMYFUNCTION("""COMPUTED_VALUE"""),8912.35)</f>
        <v>8912.35</v>
      </c>
    </row>
    <row r="6313">
      <c r="A6313" s="2">
        <f>IFERROR(__xludf.DUMMYFUNCTION("""COMPUTED_VALUE"""),44960.66666666667)</f>
        <v>44960.66667</v>
      </c>
      <c r="B6313" s="1">
        <f>IFERROR(__xludf.DUMMYFUNCTION("""COMPUTED_VALUE"""),8820.47)</f>
        <v>8820.47</v>
      </c>
    </row>
    <row r="6314">
      <c r="A6314" s="2">
        <f>IFERROR(__xludf.DUMMYFUNCTION("""COMPUTED_VALUE"""),44963.66666666667)</f>
        <v>44963.66667</v>
      </c>
      <c r="B6314" s="1">
        <f>IFERROR(__xludf.DUMMYFUNCTION("""COMPUTED_VALUE"""),8766.9)</f>
        <v>8766.9</v>
      </c>
    </row>
    <row r="6315">
      <c r="A6315" s="2">
        <f>IFERROR(__xludf.DUMMYFUNCTION("""COMPUTED_VALUE"""),44964.66666666667)</f>
        <v>44964.66667</v>
      </c>
      <c r="B6315" s="1">
        <f>IFERROR(__xludf.DUMMYFUNCTION("""COMPUTED_VALUE"""),8879.91)</f>
        <v>8879.91</v>
      </c>
    </row>
    <row r="6316">
      <c r="A6316" s="2">
        <f>IFERROR(__xludf.DUMMYFUNCTION("""COMPUTED_VALUE"""),44965.66666666667)</f>
        <v>44965.66667</v>
      </c>
      <c r="B6316" s="1">
        <f>IFERROR(__xludf.DUMMYFUNCTION("""COMPUTED_VALUE"""),8781.79)</f>
        <v>8781.79</v>
      </c>
    </row>
    <row r="6317">
      <c r="A6317" s="2">
        <f>IFERROR(__xludf.DUMMYFUNCTION("""COMPUTED_VALUE"""),44966.66666666667)</f>
        <v>44966.66667</v>
      </c>
      <c r="B6317" s="1">
        <f>IFERROR(__xludf.DUMMYFUNCTION("""COMPUTED_VALUE"""),8705.58)</f>
        <v>8705.58</v>
      </c>
    </row>
    <row r="6318">
      <c r="A6318" s="2">
        <f>IFERROR(__xludf.DUMMYFUNCTION("""COMPUTED_VALUE"""),44967.66666666667)</f>
        <v>44967.66667</v>
      </c>
      <c r="B6318" s="1">
        <f>IFERROR(__xludf.DUMMYFUNCTION("""COMPUTED_VALUE"""),8726.47)</f>
        <v>8726.47</v>
      </c>
    </row>
    <row r="6319">
      <c r="A6319" s="2">
        <f>IFERROR(__xludf.DUMMYFUNCTION("""COMPUTED_VALUE"""),44970.66666666667)</f>
        <v>44970.66667</v>
      </c>
      <c r="B6319" s="1">
        <f>IFERROR(__xludf.DUMMYFUNCTION("""COMPUTED_VALUE"""),8827.72)</f>
        <v>8827.72</v>
      </c>
    </row>
    <row r="6320">
      <c r="A6320" s="2">
        <f>IFERROR(__xludf.DUMMYFUNCTION("""COMPUTED_VALUE"""),44971.66666666667)</f>
        <v>44971.66667</v>
      </c>
      <c r="B6320" s="1">
        <f>IFERROR(__xludf.DUMMYFUNCTION("""COMPUTED_VALUE"""),8826.32)</f>
        <v>8826.32</v>
      </c>
    </row>
    <row r="6321">
      <c r="A6321" s="2">
        <f>IFERROR(__xludf.DUMMYFUNCTION("""COMPUTED_VALUE"""),44972.66666666667)</f>
        <v>44972.66667</v>
      </c>
      <c r="B6321" s="1">
        <f>IFERROR(__xludf.DUMMYFUNCTION("""COMPUTED_VALUE"""),8853.02)</f>
        <v>8853.02</v>
      </c>
    </row>
    <row r="6322">
      <c r="A6322" s="2">
        <f>IFERROR(__xludf.DUMMYFUNCTION("""COMPUTED_VALUE"""),44973.66666666667)</f>
        <v>44973.66667</v>
      </c>
      <c r="B6322" s="1">
        <f>IFERROR(__xludf.DUMMYFUNCTION("""COMPUTED_VALUE"""),8731.75)</f>
        <v>8731.75</v>
      </c>
    </row>
    <row r="6323">
      <c r="A6323" s="2">
        <f>IFERROR(__xludf.DUMMYFUNCTION("""COMPUTED_VALUE"""),44974.66666666667)</f>
        <v>44974.66667</v>
      </c>
      <c r="B6323" s="1">
        <f>IFERROR(__xludf.DUMMYFUNCTION("""COMPUTED_VALUE"""),8709.21)</f>
        <v>8709.21</v>
      </c>
    </row>
    <row r="6324">
      <c r="A6324" s="2">
        <f>IFERROR(__xludf.DUMMYFUNCTION("""COMPUTED_VALUE"""),44978.66666666667)</f>
        <v>44978.66667</v>
      </c>
      <c r="B6324" s="1">
        <f>IFERROR(__xludf.DUMMYFUNCTION("""COMPUTED_VALUE"""),8534.73)</f>
        <v>8534.73</v>
      </c>
    </row>
    <row r="6325">
      <c r="A6325" s="2">
        <f>IFERROR(__xludf.DUMMYFUNCTION("""COMPUTED_VALUE"""),44979.66666666667)</f>
        <v>44979.66667</v>
      </c>
      <c r="B6325" s="1">
        <f>IFERROR(__xludf.DUMMYFUNCTION("""COMPUTED_VALUE"""),8521.45)</f>
        <v>8521.45</v>
      </c>
    </row>
    <row r="6326">
      <c r="A6326" s="2">
        <f>IFERROR(__xludf.DUMMYFUNCTION("""COMPUTED_VALUE"""),44980.66666666667)</f>
        <v>44980.66667</v>
      </c>
      <c r="B6326" s="1">
        <f>IFERROR(__xludf.DUMMYFUNCTION("""COMPUTED_VALUE"""),8567.57)</f>
        <v>8567.57</v>
      </c>
    </row>
    <row r="6327">
      <c r="A6327" s="2">
        <f>IFERROR(__xludf.DUMMYFUNCTION("""COMPUTED_VALUE"""),44981.66666666667)</f>
        <v>44981.66667</v>
      </c>
      <c r="B6327" s="1">
        <f>IFERROR(__xludf.DUMMYFUNCTION("""COMPUTED_VALUE"""),8477.66)</f>
        <v>8477.66</v>
      </c>
    </row>
    <row r="6328">
      <c r="A6328" s="2">
        <f>IFERROR(__xludf.DUMMYFUNCTION("""COMPUTED_VALUE"""),44984.66666666667)</f>
        <v>44984.66667</v>
      </c>
      <c r="B6328" s="1">
        <f>IFERROR(__xludf.DUMMYFUNCTION("""COMPUTED_VALUE"""),8504.76)</f>
        <v>8504.76</v>
      </c>
    </row>
    <row r="6329">
      <c r="A6329" s="2">
        <f>IFERROR(__xludf.DUMMYFUNCTION("""COMPUTED_VALUE"""),44985.66666666667)</f>
        <v>44985.66667</v>
      </c>
      <c r="B6329" s="1">
        <f>IFERROR(__xludf.DUMMYFUNCTION("""COMPUTED_VALUE"""),8479.8)</f>
        <v>8479.8</v>
      </c>
    </row>
    <row r="6330">
      <c r="A6330" s="2">
        <f>IFERROR(__xludf.DUMMYFUNCTION("""COMPUTED_VALUE"""),44986.66666666667)</f>
        <v>44986.66667</v>
      </c>
      <c r="B6330" s="1">
        <f>IFERROR(__xludf.DUMMYFUNCTION("""COMPUTED_VALUE"""),8440.25)</f>
        <v>8440.25</v>
      </c>
    </row>
    <row r="6331">
      <c r="A6331" s="2">
        <f>IFERROR(__xludf.DUMMYFUNCTION("""COMPUTED_VALUE"""),44987.66666666667)</f>
        <v>44987.66667</v>
      </c>
      <c r="B6331" s="1">
        <f>IFERROR(__xludf.DUMMYFUNCTION("""COMPUTED_VALUE"""),8505.55)</f>
        <v>8505.55</v>
      </c>
    </row>
    <row r="6332">
      <c r="A6332" s="2">
        <f>IFERROR(__xludf.DUMMYFUNCTION("""COMPUTED_VALUE"""),44988.66666666667)</f>
        <v>44988.66667</v>
      </c>
      <c r="B6332" s="1">
        <f>IFERROR(__xludf.DUMMYFUNCTION("""COMPUTED_VALUE"""),8643.61)</f>
        <v>8643.61</v>
      </c>
    </row>
    <row r="6333">
      <c r="A6333" s="2">
        <f>IFERROR(__xludf.DUMMYFUNCTION("""COMPUTED_VALUE"""),44991.66666666667)</f>
        <v>44991.66667</v>
      </c>
      <c r="B6333" s="1">
        <f>IFERROR(__xludf.DUMMYFUNCTION("""COMPUTED_VALUE"""),8649.88)</f>
        <v>8649.88</v>
      </c>
    </row>
    <row r="6334">
      <c r="A6334" s="2">
        <f>IFERROR(__xludf.DUMMYFUNCTION("""COMPUTED_VALUE"""),44992.66666666667)</f>
        <v>44992.66667</v>
      </c>
      <c r="B6334" s="1">
        <f>IFERROR(__xludf.DUMMYFUNCTION("""COMPUTED_VALUE"""),8517.54)</f>
        <v>8517.54</v>
      </c>
    </row>
    <row r="6335">
      <c r="A6335" s="2">
        <f>IFERROR(__xludf.DUMMYFUNCTION("""COMPUTED_VALUE"""),44993.66666666667)</f>
        <v>44993.66667</v>
      </c>
      <c r="B6335" s="1">
        <f>IFERROR(__xludf.DUMMYFUNCTION("""COMPUTED_VALUE"""),8530.33)</f>
        <v>8530.33</v>
      </c>
    </row>
    <row r="6336">
      <c r="A6336" s="2">
        <f>IFERROR(__xludf.DUMMYFUNCTION("""COMPUTED_VALUE"""),44994.66666666667)</f>
        <v>44994.66667</v>
      </c>
      <c r="B6336" s="1">
        <f>IFERROR(__xludf.DUMMYFUNCTION("""COMPUTED_VALUE"""),8374.25)</f>
        <v>8374.25</v>
      </c>
    </row>
    <row r="6337">
      <c r="A6337" s="2">
        <f>IFERROR(__xludf.DUMMYFUNCTION("""COMPUTED_VALUE"""),44995.66666666667)</f>
        <v>44995.66667</v>
      </c>
      <c r="B6337" s="1">
        <f>IFERROR(__xludf.DUMMYFUNCTION("""COMPUTED_VALUE"""),8253.65)</f>
        <v>8253.65</v>
      </c>
    </row>
    <row r="6338">
      <c r="A6338" s="2">
        <f>IFERROR(__xludf.DUMMYFUNCTION("""COMPUTED_VALUE"""),44998.66666666667)</f>
        <v>44998.66667</v>
      </c>
      <c r="B6338" s="1">
        <f>IFERROR(__xludf.DUMMYFUNCTION("""COMPUTED_VALUE"""),8241.39)</f>
        <v>8241.39</v>
      </c>
    </row>
    <row r="6339">
      <c r="A6339" s="2">
        <f>IFERROR(__xludf.DUMMYFUNCTION("""COMPUTED_VALUE"""),44999.66666666667)</f>
        <v>44999.66667</v>
      </c>
      <c r="B6339" s="1">
        <f>IFERROR(__xludf.DUMMYFUNCTION("""COMPUTED_VALUE"""),8379.16)</f>
        <v>8379.16</v>
      </c>
    </row>
    <row r="6340">
      <c r="A6340" s="2">
        <f>IFERROR(__xludf.DUMMYFUNCTION("""COMPUTED_VALUE"""),45000.66666666667)</f>
        <v>45000.66667</v>
      </c>
      <c r="B6340" s="1">
        <f>IFERROR(__xludf.DUMMYFUNCTION("""COMPUTED_VALUE"""),8320.96)</f>
        <v>8320.96</v>
      </c>
    </row>
    <row r="6341">
      <c r="A6341" s="2">
        <f>IFERROR(__xludf.DUMMYFUNCTION("""COMPUTED_VALUE"""),45001.66666666667)</f>
        <v>45001.66667</v>
      </c>
      <c r="B6341" s="1">
        <f>IFERROR(__xludf.DUMMYFUNCTION("""COMPUTED_VALUE"""),8468.33)</f>
        <v>8468.33</v>
      </c>
    </row>
    <row r="6342">
      <c r="A6342" s="2">
        <f>IFERROR(__xludf.DUMMYFUNCTION("""COMPUTED_VALUE"""),45002.66666666667)</f>
        <v>45002.66667</v>
      </c>
      <c r="B6342" s="1">
        <f>IFERROR(__xludf.DUMMYFUNCTION("""COMPUTED_VALUE"""),8375.21)</f>
        <v>8375.21</v>
      </c>
    </row>
    <row r="6343">
      <c r="A6343" s="2">
        <f>IFERROR(__xludf.DUMMYFUNCTION("""COMPUTED_VALUE"""),45005.66666666667)</f>
        <v>45005.66667</v>
      </c>
      <c r="B6343" s="1">
        <f>IFERROR(__xludf.DUMMYFUNCTION("""COMPUTED_VALUE"""),8449.98)</f>
        <v>8449.98</v>
      </c>
    </row>
    <row r="6344">
      <c r="A6344" s="2">
        <f>IFERROR(__xludf.DUMMYFUNCTION("""COMPUTED_VALUE"""),45006.66666666667)</f>
        <v>45006.66667</v>
      </c>
      <c r="B6344" s="1">
        <f>IFERROR(__xludf.DUMMYFUNCTION("""COMPUTED_VALUE"""),8560.31)</f>
        <v>8560.31</v>
      </c>
    </row>
    <row r="6345">
      <c r="A6345" s="2">
        <f>IFERROR(__xludf.DUMMYFUNCTION("""COMPUTED_VALUE"""),45007.66666666667)</f>
        <v>45007.66667</v>
      </c>
      <c r="B6345" s="1">
        <f>IFERROR(__xludf.DUMMYFUNCTION("""COMPUTED_VALUE"""),8420.02)</f>
        <v>8420.02</v>
      </c>
    </row>
    <row r="6346">
      <c r="A6346" s="2">
        <f>IFERROR(__xludf.DUMMYFUNCTION("""COMPUTED_VALUE"""),45008.66666666667)</f>
        <v>45008.66667</v>
      </c>
      <c r="B6346" s="1">
        <f>IFERROR(__xludf.DUMMYFUNCTION("""COMPUTED_VALUE"""),8445.87)</f>
        <v>8445.87</v>
      </c>
    </row>
    <row r="6347">
      <c r="A6347" s="2">
        <f>IFERROR(__xludf.DUMMYFUNCTION("""COMPUTED_VALUE"""),45009.66666666667)</f>
        <v>45009.66667</v>
      </c>
      <c r="B6347" s="1">
        <f>IFERROR(__xludf.DUMMYFUNCTION("""COMPUTED_VALUE"""),8493.55)</f>
        <v>8493.55</v>
      </c>
    </row>
    <row r="6348">
      <c r="A6348" s="2">
        <f>IFERROR(__xludf.DUMMYFUNCTION("""COMPUTED_VALUE"""),45012.66666666667)</f>
        <v>45012.66667</v>
      </c>
      <c r="B6348" s="1">
        <f>IFERROR(__xludf.DUMMYFUNCTION("""COMPUTED_VALUE"""),8507.54)</f>
        <v>8507.54</v>
      </c>
    </row>
    <row r="6349">
      <c r="A6349" s="2">
        <f>IFERROR(__xludf.DUMMYFUNCTION("""COMPUTED_VALUE"""),45013.66666666667)</f>
        <v>45013.66667</v>
      </c>
      <c r="B6349" s="1">
        <f>IFERROR(__xludf.DUMMYFUNCTION("""COMPUTED_VALUE"""),8494.35)</f>
        <v>8494.35</v>
      </c>
    </row>
    <row r="6350">
      <c r="A6350" s="2">
        <f>IFERROR(__xludf.DUMMYFUNCTION("""COMPUTED_VALUE"""),45014.66666666667)</f>
        <v>45014.66667</v>
      </c>
      <c r="B6350" s="1">
        <f>IFERROR(__xludf.DUMMYFUNCTION("""COMPUTED_VALUE"""),8615.29)</f>
        <v>8615.29</v>
      </c>
    </row>
    <row r="6351">
      <c r="A6351" s="2">
        <f>IFERROR(__xludf.DUMMYFUNCTION("""COMPUTED_VALUE"""),45015.66666666667)</f>
        <v>45015.66667</v>
      </c>
      <c r="B6351" s="1">
        <f>IFERROR(__xludf.DUMMYFUNCTION("""COMPUTED_VALUE"""),8665.7)</f>
        <v>8665.7</v>
      </c>
    </row>
    <row r="6352">
      <c r="A6352" s="2">
        <f>IFERROR(__xludf.DUMMYFUNCTION("""COMPUTED_VALUE"""),45016.66666666667)</f>
        <v>45016.66667</v>
      </c>
      <c r="B6352" s="1">
        <f>IFERROR(__xludf.DUMMYFUNCTION("""COMPUTED_VALUE"""),8791.13)</f>
        <v>8791.13</v>
      </c>
    </row>
    <row r="6353">
      <c r="A6353" s="2">
        <f>IFERROR(__xludf.DUMMYFUNCTION("""COMPUTED_VALUE"""),45019.66666666667)</f>
        <v>45019.66667</v>
      </c>
      <c r="B6353" s="1">
        <f>IFERROR(__xludf.DUMMYFUNCTION("""COMPUTED_VALUE"""),8823.66)</f>
        <v>8823.66</v>
      </c>
    </row>
    <row r="6354">
      <c r="A6354" s="2">
        <f>IFERROR(__xludf.DUMMYFUNCTION("""COMPUTED_VALUE"""),45020.66666666667)</f>
        <v>45020.66667</v>
      </c>
      <c r="B6354" s="1">
        <f>IFERROR(__xludf.DUMMYFUNCTION("""COMPUTED_VALUE"""),8773.31)</f>
        <v>8773.31</v>
      </c>
    </row>
    <row r="6355">
      <c r="A6355" s="2">
        <f>IFERROR(__xludf.DUMMYFUNCTION("""COMPUTED_VALUE"""),45021.66666666667)</f>
        <v>45021.66667</v>
      </c>
      <c r="B6355" s="1">
        <f>IFERROR(__xludf.DUMMYFUNCTION("""COMPUTED_VALUE"""),8752.54)</f>
        <v>8752.54</v>
      </c>
    </row>
    <row r="6356">
      <c r="A6356" s="2">
        <f>IFERROR(__xludf.DUMMYFUNCTION("""COMPUTED_VALUE"""),45022.66666666667)</f>
        <v>45022.66667</v>
      </c>
      <c r="B6356" s="1">
        <f>IFERROR(__xludf.DUMMYFUNCTION("""COMPUTED_VALUE"""),8785.7)</f>
        <v>8785.7</v>
      </c>
    </row>
    <row r="6357">
      <c r="A6357" s="2">
        <f>IFERROR(__xludf.DUMMYFUNCTION("""COMPUTED_VALUE"""),45026.66666666667)</f>
        <v>45026.66667</v>
      </c>
      <c r="B6357" s="1">
        <f>IFERROR(__xludf.DUMMYFUNCTION("""COMPUTED_VALUE"""),8794.65)</f>
        <v>8794.65</v>
      </c>
    </row>
    <row r="6358">
      <c r="A6358" s="2">
        <f>IFERROR(__xludf.DUMMYFUNCTION("""COMPUTED_VALUE"""),45027.66666666667)</f>
        <v>45027.66667</v>
      </c>
      <c r="B6358" s="1">
        <f>IFERROR(__xludf.DUMMYFUNCTION("""COMPUTED_VALUE"""),8794.29)</f>
        <v>8794.29</v>
      </c>
    </row>
    <row r="6359">
      <c r="A6359" s="2">
        <f>IFERROR(__xludf.DUMMYFUNCTION("""COMPUTED_VALUE"""),45028.66666666667)</f>
        <v>45028.66667</v>
      </c>
      <c r="B6359" s="1">
        <f>IFERROR(__xludf.DUMMYFUNCTION("""COMPUTED_VALUE"""),8758.11)</f>
        <v>8758.11</v>
      </c>
    </row>
    <row r="6360">
      <c r="A6360" s="2">
        <f>IFERROR(__xludf.DUMMYFUNCTION("""COMPUTED_VALUE"""),45029.66666666667)</f>
        <v>45029.66667</v>
      </c>
      <c r="B6360" s="1">
        <f>IFERROR(__xludf.DUMMYFUNCTION("""COMPUTED_VALUE"""),8875.65)</f>
        <v>8875.65</v>
      </c>
    </row>
    <row r="6361">
      <c r="A6361" s="2">
        <f>IFERROR(__xludf.DUMMYFUNCTION("""COMPUTED_VALUE"""),45030.66666666667)</f>
        <v>45030.66667</v>
      </c>
      <c r="B6361" s="1">
        <f>IFERROR(__xludf.DUMMYFUNCTION("""COMPUTED_VALUE"""),8857.31)</f>
        <v>8857.31</v>
      </c>
    </row>
    <row r="6362">
      <c r="A6362" s="2">
        <f>IFERROR(__xludf.DUMMYFUNCTION("""COMPUTED_VALUE"""),45033.66666666667)</f>
        <v>45033.66667</v>
      </c>
      <c r="B6362" s="1">
        <f>IFERROR(__xludf.DUMMYFUNCTION("""COMPUTED_VALUE"""),8886.76)</f>
        <v>8886.76</v>
      </c>
    </row>
    <row r="6363">
      <c r="A6363" s="2">
        <f>IFERROR(__xludf.DUMMYFUNCTION("""COMPUTED_VALUE"""),45034.66666666667)</f>
        <v>45034.66667</v>
      </c>
      <c r="B6363" s="1">
        <f>IFERROR(__xludf.DUMMYFUNCTION("""COMPUTED_VALUE"""),8894.35)</f>
        <v>8894.35</v>
      </c>
    </row>
    <row r="6364">
      <c r="A6364" s="2">
        <f>IFERROR(__xludf.DUMMYFUNCTION("""COMPUTED_VALUE"""),45035.66666666667)</f>
        <v>45035.66667</v>
      </c>
      <c r="B6364" s="1">
        <f>IFERROR(__xludf.DUMMYFUNCTION("""COMPUTED_VALUE"""),8893.6)</f>
        <v>8893.6</v>
      </c>
    </row>
    <row r="6365">
      <c r="A6365" s="2">
        <f>IFERROR(__xludf.DUMMYFUNCTION("""COMPUTED_VALUE"""),45036.66666666667)</f>
        <v>45036.66667</v>
      </c>
      <c r="B6365" s="1">
        <f>IFERROR(__xludf.DUMMYFUNCTION("""COMPUTED_VALUE"""),8841.62)</f>
        <v>8841.62</v>
      </c>
    </row>
    <row r="6366">
      <c r="A6366" s="2">
        <f>IFERROR(__xludf.DUMMYFUNCTION("""COMPUTED_VALUE"""),45037.66666666667)</f>
        <v>45037.66667</v>
      </c>
      <c r="B6366" s="1">
        <f>IFERROR(__xludf.DUMMYFUNCTION("""COMPUTED_VALUE"""),8849.76)</f>
        <v>8849.76</v>
      </c>
    </row>
    <row r="6367">
      <c r="A6367" s="2">
        <f>IFERROR(__xludf.DUMMYFUNCTION("""COMPUTED_VALUE"""),45040.66666666667)</f>
        <v>45040.66667</v>
      </c>
      <c r="B6367" s="1">
        <f>IFERROR(__xludf.DUMMYFUNCTION("""COMPUTED_VALUE"""),8857.3)</f>
        <v>8857.3</v>
      </c>
    </row>
    <row r="6368">
      <c r="A6368" s="2">
        <f>IFERROR(__xludf.DUMMYFUNCTION("""COMPUTED_VALUE"""),45041.66666666667)</f>
        <v>45041.66667</v>
      </c>
      <c r="B6368" s="1">
        <f>IFERROR(__xludf.DUMMYFUNCTION("""COMPUTED_VALUE"""),8717.63)</f>
        <v>8717.63</v>
      </c>
    </row>
    <row r="6369">
      <c r="A6369" s="2">
        <f>IFERROR(__xludf.DUMMYFUNCTION("""COMPUTED_VALUE"""),45042.66666666667)</f>
        <v>45042.66667</v>
      </c>
      <c r="B6369" s="1">
        <f>IFERROR(__xludf.DUMMYFUNCTION("""COMPUTED_VALUE"""),8684.19)</f>
        <v>8684.19</v>
      </c>
    </row>
    <row r="6370">
      <c r="A6370" s="2">
        <f>IFERROR(__xludf.DUMMYFUNCTION("""COMPUTED_VALUE"""),45043.66666666667)</f>
        <v>45043.66667</v>
      </c>
      <c r="B6370" s="1">
        <f>IFERROR(__xludf.DUMMYFUNCTION("""COMPUTED_VALUE"""),8854.32)</f>
        <v>8854.32</v>
      </c>
    </row>
    <row r="6371">
      <c r="A6371" s="2">
        <f>IFERROR(__xludf.DUMMYFUNCTION("""COMPUTED_VALUE"""),45044.66666666667)</f>
        <v>45044.66667</v>
      </c>
      <c r="B6371" s="1">
        <f>IFERROR(__xludf.DUMMYFUNCTION("""COMPUTED_VALUE"""),8928.35)</f>
        <v>8928.35</v>
      </c>
    </row>
    <row r="6372">
      <c r="A6372" s="2">
        <f>IFERROR(__xludf.DUMMYFUNCTION("""COMPUTED_VALUE"""),45047.66666666667)</f>
        <v>45047.66667</v>
      </c>
      <c r="B6372" s="1">
        <f>IFERROR(__xludf.DUMMYFUNCTION("""COMPUTED_VALUE"""),8924.92)</f>
        <v>8924.92</v>
      </c>
    </row>
    <row r="6373">
      <c r="A6373" s="2">
        <f>IFERROR(__xludf.DUMMYFUNCTION("""COMPUTED_VALUE"""),45048.66666666667)</f>
        <v>45048.66667</v>
      </c>
      <c r="B6373" s="1">
        <f>IFERROR(__xludf.DUMMYFUNCTION("""COMPUTED_VALUE"""),8821.59)</f>
        <v>8821.59</v>
      </c>
    </row>
    <row r="6374">
      <c r="A6374" s="2">
        <f>IFERROR(__xludf.DUMMYFUNCTION("""COMPUTED_VALUE"""),45049.66666666667)</f>
        <v>45049.66667</v>
      </c>
      <c r="B6374" s="1">
        <f>IFERROR(__xludf.DUMMYFUNCTION("""COMPUTED_VALUE"""),8759.95)</f>
        <v>8759.95</v>
      </c>
    </row>
    <row r="6375">
      <c r="A6375" s="2">
        <f>IFERROR(__xludf.DUMMYFUNCTION("""COMPUTED_VALUE"""),45050.66666666667)</f>
        <v>45050.66667</v>
      </c>
      <c r="B6375" s="1">
        <f>IFERROR(__xludf.DUMMYFUNCTION("""COMPUTED_VALUE"""),8697.68)</f>
        <v>8697.68</v>
      </c>
    </row>
    <row r="6376">
      <c r="A6376" s="2">
        <f>IFERROR(__xludf.DUMMYFUNCTION("""COMPUTED_VALUE"""),45051.66666666667)</f>
        <v>45051.66667</v>
      </c>
      <c r="B6376" s="1">
        <f>IFERROR(__xludf.DUMMYFUNCTION("""COMPUTED_VALUE"""),8858.86)</f>
        <v>8858.86</v>
      </c>
    </row>
    <row r="6377">
      <c r="A6377" s="2">
        <f>IFERROR(__xludf.DUMMYFUNCTION("""COMPUTED_VALUE"""),45054.66666666667)</f>
        <v>45054.66667</v>
      </c>
      <c r="B6377" s="1">
        <f>IFERROR(__xludf.DUMMYFUNCTION("""COMPUTED_VALUE"""),8863.01)</f>
        <v>8863.01</v>
      </c>
    </row>
    <row r="6378">
      <c r="A6378" s="2">
        <f>IFERROR(__xludf.DUMMYFUNCTION("""COMPUTED_VALUE"""),45055.66666666667)</f>
        <v>45055.66667</v>
      </c>
      <c r="B6378" s="1">
        <f>IFERROR(__xludf.DUMMYFUNCTION("""COMPUTED_VALUE"""),8823.05)</f>
        <v>8823.05</v>
      </c>
    </row>
    <row r="6379">
      <c r="A6379" s="2">
        <f>IFERROR(__xludf.DUMMYFUNCTION("""COMPUTED_VALUE"""),45056.66666666667)</f>
        <v>45056.66667</v>
      </c>
      <c r="B6379" s="1">
        <f>IFERROR(__xludf.DUMMYFUNCTION("""COMPUTED_VALUE"""),8862.85)</f>
        <v>8862.85</v>
      </c>
    </row>
    <row r="6380">
      <c r="A6380" s="2">
        <f>IFERROR(__xludf.DUMMYFUNCTION("""COMPUTED_VALUE"""),45057.66666666667)</f>
        <v>45057.66667</v>
      </c>
      <c r="B6380" s="1">
        <f>IFERROR(__xludf.DUMMYFUNCTION("""COMPUTED_VALUE"""),8849.69)</f>
        <v>8849.69</v>
      </c>
    </row>
    <row r="6381">
      <c r="A6381" s="2">
        <f>IFERROR(__xludf.DUMMYFUNCTION("""COMPUTED_VALUE"""),45058.66666666667)</f>
        <v>45058.66667</v>
      </c>
      <c r="B6381" s="1">
        <f>IFERROR(__xludf.DUMMYFUNCTION("""COMPUTED_VALUE"""),8837.68)</f>
        <v>8837.68</v>
      </c>
    </row>
    <row r="6382">
      <c r="A6382" s="2">
        <f>IFERROR(__xludf.DUMMYFUNCTION("""COMPUTED_VALUE"""),45061.66666666667)</f>
        <v>45061.66667</v>
      </c>
      <c r="B6382" s="1">
        <f>IFERROR(__xludf.DUMMYFUNCTION("""COMPUTED_VALUE"""),8865.03)</f>
        <v>8865.03</v>
      </c>
    </row>
    <row r="6383">
      <c r="A6383" s="2">
        <f>IFERROR(__xludf.DUMMYFUNCTION("""COMPUTED_VALUE"""),45062.66666666667)</f>
        <v>45062.66667</v>
      </c>
      <c r="B6383" s="1">
        <f>IFERROR(__xludf.DUMMYFUNCTION("""COMPUTED_VALUE"""),8808.95)</f>
        <v>8808.95</v>
      </c>
    </row>
    <row r="6384">
      <c r="A6384" s="2">
        <f>IFERROR(__xludf.DUMMYFUNCTION("""COMPUTED_VALUE"""),45063.66666666667)</f>
        <v>45063.66667</v>
      </c>
      <c r="B6384" s="1">
        <f>IFERROR(__xludf.DUMMYFUNCTION("""COMPUTED_VALUE"""),8915.43)</f>
        <v>8915.43</v>
      </c>
    </row>
    <row r="6385">
      <c r="A6385" s="2">
        <f>IFERROR(__xludf.DUMMYFUNCTION("""COMPUTED_VALUE"""),45064.66666666667)</f>
        <v>45064.66667</v>
      </c>
      <c r="B6385" s="1">
        <f>IFERROR(__xludf.DUMMYFUNCTION("""COMPUTED_VALUE"""),9001.25)</f>
        <v>9001.25</v>
      </c>
    </row>
    <row r="6386">
      <c r="A6386" s="2">
        <f>IFERROR(__xludf.DUMMYFUNCTION("""COMPUTED_VALUE"""),45065.66666666667)</f>
        <v>45065.66667</v>
      </c>
      <c r="B6386" s="1">
        <f>IFERROR(__xludf.DUMMYFUNCTION("""COMPUTED_VALUE"""),8988.46)</f>
        <v>8988.46</v>
      </c>
    </row>
    <row r="6387">
      <c r="A6387" s="2">
        <f>IFERROR(__xludf.DUMMYFUNCTION("""COMPUTED_VALUE"""),45068.66666666667)</f>
        <v>45068.66667</v>
      </c>
      <c r="B6387" s="1">
        <f>IFERROR(__xludf.DUMMYFUNCTION("""COMPUTED_VALUE"""),8990.89)</f>
        <v>8990.89</v>
      </c>
    </row>
    <row r="6388">
      <c r="A6388" s="2">
        <f>IFERROR(__xludf.DUMMYFUNCTION("""COMPUTED_VALUE"""),45069.66666666667)</f>
        <v>45069.66667</v>
      </c>
      <c r="B6388" s="1">
        <f>IFERROR(__xludf.DUMMYFUNCTION("""COMPUTED_VALUE"""),8890.16)</f>
        <v>8890.16</v>
      </c>
    </row>
    <row r="6389">
      <c r="A6389" s="2">
        <f>IFERROR(__xludf.DUMMYFUNCTION("""COMPUTED_VALUE"""),45070.66666666667)</f>
        <v>45070.66667</v>
      </c>
      <c r="B6389" s="1">
        <f>IFERROR(__xludf.DUMMYFUNCTION("""COMPUTED_VALUE"""),8825.26)</f>
        <v>8825.26</v>
      </c>
    </row>
    <row r="6390">
      <c r="A6390" s="2">
        <f>IFERROR(__xludf.DUMMYFUNCTION("""COMPUTED_VALUE"""),45071.66666666667)</f>
        <v>45071.66667</v>
      </c>
      <c r="B6390" s="1">
        <f>IFERROR(__xludf.DUMMYFUNCTION("""COMPUTED_VALUE"""),8902.84)</f>
        <v>8902.84</v>
      </c>
    </row>
    <row r="6391">
      <c r="A6391" s="2">
        <f>IFERROR(__xludf.DUMMYFUNCTION("""COMPUTED_VALUE"""),45072.66666666667)</f>
        <v>45072.66667</v>
      </c>
      <c r="B6391" s="1">
        <f>IFERROR(__xludf.DUMMYFUNCTION("""COMPUTED_VALUE"""),9019.64)</f>
        <v>9019.64</v>
      </c>
    </row>
    <row r="6392">
      <c r="A6392" s="2">
        <f>IFERROR(__xludf.DUMMYFUNCTION("""COMPUTED_VALUE"""),45076.66666666667)</f>
        <v>45076.66667</v>
      </c>
      <c r="B6392" s="1">
        <f>IFERROR(__xludf.DUMMYFUNCTION("""COMPUTED_VALUE"""),9020.39)</f>
        <v>9020.39</v>
      </c>
    </row>
    <row r="6393">
      <c r="A6393" s="2">
        <f>IFERROR(__xludf.DUMMYFUNCTION("""COMPUTED_VALUE"""),45077.66666666667)</f>
        <v>45077.66667</v>
      </c>
      <c r="B6393" s="1">
        <f>IFERROR(__xludf.DUMMYFUNCTION("""COMPUTED_VALUE"""),8967.16)</f>
        <v>8967.16</v>
      </c>
    </row>
    <row r="6394">
      <c r="A6394" s="2">
        <f>IFERROR(__xludf.DUMMYFUNCTION("""COMPUTED_VALUE"""),45078.66666666667)</f>
        <v>45078.66667</v>
      </c>
      <c r="B6394" s="1">
        <f>IFERROR(__xludf.DUMMYFUNCTION("""COMPUTED_VALUE"""),9057.17)</f>
        <v>9057.17</v>
      </c>
    </row>
    <row r="6395">
      <c r="A6395" s="2">
        <f>IFERROR(__xludf.DUMMYFUNCTION("""COMPUTED_VALUE"""),45079.66666666667)</f>
        <v>45079.66667</v>
      </c>
      <c r="B6395" s="1">
        <f>IFERROR(__xludf.DUMMYFUNCTION("""COMPUTED_VALUE"""),9189.34)</f>
        <v>9189.34</v>
      </c>
    </row>
    <row r="6396">
      <c r="A6396" s="2">
        <f>IFERROR(__xludf.DUMMYFUNCTION("""COMPUTED_VALUE"""),45082.66666666667)</f>
        <v>45082.66667</v>
      </c>
      <c r="B6396" s="1">
        <f>IFERROR(__xludf.DUMMYFUNCTION("""COMPUTED_VALUE"""),9171.09)</f>
        <v>9171.09</v>
      </c>
    </row>
    <row r="6397">
      <c r="A6397" s="2">
        <f>IFERROR(__xludf.DUMMYFUNCTION("""COMPUTED_VALUE"""),45083.66666666667)</f>
        <v>45083.66667</v>
      </c>
      <c r="B6397" s="1">
        <f>IFERROR(__xludf.DUMMYFUNCTION("""COMPUTED_VALUE"""),9192.91)</f>
        <v>9192.91</v>
      </c>
    </row>
    <row r="6398">
      <c r="A6398" s="2">
        <f>IFERROR(__xludf.DUMMYFUNCTION("""COMPUTED_VALUE"""),45084.66666666667)</f>
        <v>45084.66667</v>
      </c>
      <c r="B6398" s="1">
        <f>IFERROR(__xludf.DUMMYFUNCTION("""COMPUTED_VALUE"""),9158.14)</f>
        <v>9158.14</v>
      </c>
    </row>
    <row r="6399">
      <c r="A6399" s="2">
        <f>IFERROR(__xludf.DUMMYFUNCTION("""COMPUTED_VALUE"""),45085.66666666667)</f>
        <v>45085.66667</v>
      </c>
      <c r="B6399" s="1">
        <f>IFERROR(__xludf.DUMMYFUNCTION("""COMPUTED_VALUE"""),9215.86)</f>
        <v>9215.86</v>
      </c>
    </row>
    <row r="6400">
      <c r="A6400" s="2">
        <f>IFERROR(__xludf.DUMMYFUNCTION("""COMPUTED_VALUE"""),45086.66666666667)</f>
        <v>45086.66667</v>
      </c>
      <c r="B6400" s="1">
        <f>IFERROR(__xludf.DUMMYFUNCTION("""COMPUTED_VALUE"""),9226.7)</f>
        <v>9226.7</v>
      </c>
    </row>
    <row r="6401">
      <c r="A6401" s="2">
        <f>IFERROR(__xludf.DUMMYFUNCTION("""COMPUTED_VALUE"""),45089.66666666667)</f>
        <v>45089.66667</v>
      </c>
      <c r="B6401" s="1">
        <f>IFERROR(__xludf.DUMMYFUNCTION("""COMPUTED_VALUE"""),9312.72)</f>
        <v>9312.72</v>
      </c>
    </row>
    <row r="6402">
      <c r="A6402" s="2">
        <f>IFERROR(__xludf.DUMMYFUNCTION("""COMPUTED_VALUE"""),45090.66666666667)</f>
        <v>45090.66667</v>
      </c>
      <c r="B6402" s="1">
        <f>IFERROR(__xludf.DUMMYFUNCTION("""COMPUTED_VALUE"""),9377.65)</f>
        <v>9377.65</v>
      </c>
    </row>
    <row r="6403">
      <c r="A6403" s="2">
        <f>IFERROR(__xludf.DUMMYFUNCTION("""COMPUTED_VALUE"""),45091.66666666667)</f>
        <v>45091.66667</v>
      </c>
      <c r="B6403" s="1">
        <f>IFERROR(__xludf.DUMMYFUNCTION("""COMPUTED_VALUE"""),9387.54)</f>
        <v>9387.54</v>
      </c>
    </row>
    <row r="6404">
      <c r="A6404" s="2">
        <f>IFERROR(__xludf.DUMMYFUNCTION("""COMPUTED_VALUE"""),45092.66666666667)</f>
        <v>45092.66667</v>
      </c>
      <c r="B6404" s="1">
        <f>IFERROR(__xludf.DUMMYFUNCTION("""COMPUTED_VALUE"""),9503.53)</f>
        <v>9503.53</v>
      </c>
    </row>
    <row r="6405">
      <c r="A6405" s="2">
        <f>IFERROR(__xludf.DUMMYFUNCTION("""COMPUTED_VALUE"""),45093.66666666667)</f>
        <v>45093.66667</v>
      </c>
      <c r="B6405" s="1">
        <f>IFERROR(__xludf.DUMMYFUNCTION("""COMPUTED_VALUE"""),9468.81)</f>
        <v>9468.81</v>
      </c>
    </row>
    <row r="6406">
      <c r="A6406" s="2">
        <f>IFERROR(__xludf.DUMMYFUNCTION("""COMPUTED_VALUE"""),45097.66666666667)</f>
        <v>45097.66667</v>
      </c>
      <c r="B6406" s="1">
        <f>IFERROR(__xludf.DUMMYFUNCTION("""COMPUTED_VALUE"""),9424.02)</f>
        <v>9424.02</v>
      </c>
    </row>
    <row r="6407">
      <c r="A6407" s="2">
        <f>IFERROR(__xludf.DUMMYFUNCTION("""COMPUTED_VALUE"""),45098.66666666667)</f>
        <v>45098.66667</v>
      </c>
      <c r="B6407" s="1">
        <f>IFERROR(__xludf.DUMMYFUNCTION("""COMPUTED_VALUE"""),9375.21)</f>
        <v>9375.21</v>
      </c>
    </row>
    <row r="6408">
      <c r="A6408" s="2">
        <f>IFERROR(__xludf.DUMMYFUNCTION("""COMPUTED_VALUE"""),45099.66666666667)</f>
        <v>45099.66667</v>
      </c>
      <c r="B6408" s="1">
        <f>IFERROR(__xludf.DUMMYFUNCTION("""COMPUTED_VALUE"""),9410.83)</f>
        <v>9410.83</v>
      </c>
    </row>
    <row r="6409">
      <c r="A6409" s="2">
        <f>IFERROR(__xludf.DUMMYFUNCTION("""COMPUTED_VALUE"""),45100.66666666667)</f>
        <v>45100.66667</v>
      </c>
      <c r="B6409" s="1">
        <f>IFERROR(__xludf.DUMMYFUNCTION("""COMPUTED_VALUE"""),9338.84)</f>
        <v>9338.84</v>
      </c>
    </row>
    <row r="6410">
      <c r="A6410" s="2">
        <f>IFERROR(__xludf.DUMMYFUNCTION("""COMPUTED_VALUE"""),45103.66666666667)</f>
        <v>45103.66667</v>
      </c>
      <c r="B6410" s="1">
        <f>IFERROR(__xludf.DUMMYFUNCTION("""COMPUTED_VALUE"""),9297.12)</f>
        <v>9297.12</v>
      </c>
    </row>
    <row r="6411">
      <c r="A6411" s="2">
        <f>IFERROR(__xludf.DUMMYFUNCTION("""COMPUTED_VALUE"""),45104.66666666667)</f>
        <v>45104.66667</v>
      </c>
      <c r="B6411" s="1">
        <f>IFERROR(__xludf.DUMMYFUNCTION("""COMPUTED_VALUE"""),9403.62)</f>
        <v>9403.62</v>
      </c>
    </row>
    <row r="6412">
      <c r="A6412" s="2">
        <f>IFERROR(__xludf.DUMMYFUNCTION("""COMPUTED_VALUE"""),45105.66666666667)</f>
        <v>45105.66667</v>
      </c>
      <c r="B6412" s="1">
        <f>IFERROR(__xludf.DUMMYFUNCTION("""COMPUTED_VALUE"""),9400.3)</f>
        <v>9400.3</v>
      </c>
    </row>
    <row r="6413">
      <c r="A6413" s="2">
        <f>IFERROR(__xludf.DUMMYFUNCTION("""COMPUTED_VALUE"""),45106.66666666667)</f>
        <v>45106.66667</v>
      </c>
      <c r="B6413" s="1">
        <f>IFERROR(__xludf.DUMMYFUNCTION("""COMPUTED_VALUE"""),9443.46)</f>
        <v>9443.46</v>
      </c>
    </row>
    <row r="6414">
      <c r="A6414" s="2">
        <f>IFERROR(__xludf.DUMMYFUNCTION("""COMPUTED_VALUE"""),45107.66666666667)</f>
        <v>45107.66667</v>
      </c>
      <c r="B6414" s="1">
        <f>IFERROR(__xludf.DUMMYFUNCTION("""COMPUTED_VALUE"""),9559.67)</f>
        <v>9559.67</v>
      </c>
    </row>
    <row r="6415">
      <c r="A6415" s="2">
        <f>IFERROR(__xludf.DUMMYFUNCTION("""COMPUTED_VALUE"""),45110.54166666667)</f>
        <v>45110.54167</v>
      </c>
      <c r="B6415" s="1">
        <f>IFERROR(__xludf.DUMMYFUNCTION("""COMPUTED_VALUE"""),9571.35)</f>
        <v>9571.35</v>
      </c>
    </row>
    <row r="6416">
      <c r="A6416" s="2">
        <f>IFERROR(__xludf.DUMMYFUNCTION("""COMPUTED_VALUE"""),45112.66666666667)</f>
        <v>45112.66667</v>
      </c>
      <c r="B6416" s="1">
        <f>IFERROR(__xludf.DUMMYFUNCTION("""COMPUTED_VALUE"""),9553.69)</f>
        <v>9553.69</v>
      </c>
    </row>
    <row r="6417">
      <c r="A6417" s="2">
        <f>IFERROR(__xludf.DUMMYFUNCTION("""COMPUTED_VALUE"""),45113.66666666667)</f>
        <v>45113.66667</v>
      </c>
      <c r="B6417" s="1">
        <f>IFERROR(__xludf.DUMMYFUNCTION("""COMPUTED_VALUE"""),9478.73)</f>
        <v>9478.73</v>
      </c>
    </row>
    <row r="6418">
      <c r="A6418" s="2">
        <f>IFERROR(__xludf.DUMMYFUNCTION("""COMPUTED_VALUE"""),45114.66666666667)</f>
        <v>45114.66667</v>
      </c>
      <c r="B6418" s="1">
        <f>IFERROR(__xludf.DUMMYFUNCTION("""COMPUTED_VALUE"""),9453.1)</f>
        <v>9453.1</v>
      </c>
    </row>
    <row r="6419">
      <c r="A6419" s="2">
        <f>IFERROR(__xludf.DUMMYFUNCTION("""COMPUTED_VALUE"""),45117.66666666667)</f>
        <v>45117.66667</v>
      </c>
      <c r="B6419" s="1">
        <f>IFERROR(__xludf.DUMMYFUNCTION("""COMPUTED_VALUE"""),9475.9)</f>
        <v>9475.9</v>
      </c>
    </row>
    <row r="6420">
      <c r="A6420" s="2">
        <f>IFERROR(__xludf.DUMMYFUNCTION("""COMPUTED_VALUE"""),45118.66666666667)</f>
        <v>45118.66667</v>
      </c>
      <c r="B6420" s="1">
        <f>IFERROR(__xludf.DUMMYFUNCTION("""COMPUTED_VALUE"""),9539.95)</f>
        <v>9539.95</v>
      </c>
    </row>
    <row r="6421">
      <c r="A6421" s="2">
        <f>IFERROR(__xludf.DUMMYFUNCTION("""COMPUTED_VALUE"""),45119.66666666667)</f>
        <v>45119.66667</v>
      </c>
      <c r="B6421" s="1">
        <f>IFERROR(__xludf.DUMMYFUNCTION("""COMPUTED_VALUE"""),9610.87)</f>
        <v>9610.87</v>
      </c>
    </row>
    <row r="6422">
      <c r="A6422" s="2">
        <f>IFERROR(__xludf.DUMMYFUNCTION("""COMPUTED_VALUE"""),45120.66666666667)</f>
        <v>45120.66667</v>
      </c>
      <c r="B6422" s="1">
        <f>IFERROR(__xludf.DUMMYFUNCTION("""COMPUTED_VALUE"""),9693.3)</f>
        <v>9693.3</v>
      </c>
    </row>
    <row r="6423">
      <c r="A6423" s="2">
        <f>IFERROR(__xludf.DUMMYFUNCTION("""COMPUTED_VALUE"""),45121.66666666667)</f>
        <v>45121.66667</v>
      </c>
      <c r="B6423" s="1">
        <f>IFERROR(__xludf.DUMMYFUNCTION("""COMPUTED_VALUE"""),9683.69)</f>
        <v>9683.69</v>
      </c>
    </row>
    <row r="6424">
      <c r="A6424" s="2">
        <f>IFERROR(__xludf.DUMMYFUNCTION("""COMPUTED_VALUE"""),45124.66666666667)</f>
        <v>45124.66667</v>
      </c>
      <c r="B6424" s="1">
        <f>IFERROR(__xludf.DUMMYFUNCTION("""COMPUTED_VALUE"""),9721.03)</f>
        <v>9721.03</v>
      </c>
    </row>
    <row r="6425">
      <c r="A6425" s="2">
        <f>IFERROR(__xludf.DUMMYFUNCTION("""COMPUTED_VALUE"""),45125.66666666667)</f>
        <v>45125.66667</v>
      </c>
      <c r="B6425" s="1">
        <f>IFERROR(__xludf.DUMMYFUNCTION("""COMPUTED_VALUE"""),9790.2)</f>
        <v>9790.2</v>
      </c>
    </row>
    <row r="6426">
      <c r="A6426" s="2">
        <f>IFERROR(__xludf.DUMMYFUNCTION("""COMPUTED_VALUE"""),45126.66666666667)</f>
        <v>45126.66667</v>
      </c>
      <c r="B6426" s="1">
        <f>IFERROR(__xludf.DUMMYFUNCTION("""COMPUTED_VALUE"""),9813.46)</f>
        <v>9813.46</v>
      </c>
    </row>
    <row r="6427">
      <c r="A6427" s="2">
        <f>IFERROR(__xludf.DUMMYFUNCTION("""COMPUTED_VALUE"""),45127.66666666667)</f>
        <v>45127.66667</v>
      </c>
      <c r="B6427" s="1">
        <f>IFERROR(__xludf.DUMMYFUNCTION("""COMPUTED_VALUE"""),9748.1)</f>
        <v>9748.1</v>
      </c>
    </row>
    <row r="6428">
      <c r="A6428" s="2">
        <f>IFERROR(__xludf.DUMMYFUNCTION("""COMPUTED_VALUE"""),45128.66666666667)</f>
        <v>45128.66667</v>
      </c>
      <c r="B6428" s="1">
        <f>IFERROR(__xludf.DUMMYFUNCTION("""COMPUTED_VALUE"""),9751.26)</f>
        <v>9751.26</v>
      </c>
    </row>
    <row r="6429">
      <c r="A6429" s="2">
        <f>IFERROR(__xludf.DUMMYFUNCTION("""COMPUTED_VALUE"""),45131.66666666667)</f>
        <v>45131.66667</v>
      </c>
      <c r="B6429" s="1">
        <f>IFERROR(__xludf.DUMMYFUNCTION("""COMPUTED_VALUE"""),9790.76)</f>
        <v>9790.76</v>
      </c>
    </row>
    <row r="6430">
      <c r="A6430" s="2">
        <f>IFERROR(__xludf.DUMMYFUNCTION("""COMPUTED_VALUE"""),45132.66666666667)</f>
        <v>45132.66667</v>
      </c>
      <c r="B6430" s="1">
        <f>IFERROR(__xludf.DUMMYFUNCTION("""COMPUTED_VALUE"""),9818.49)</f>
        <v>9818.49</v>
      </c>
    </row>
    <row r="6431">
      <c r="A6431" s="2">
        <f>IFERROR(__xludf.DUMMYFUNCTION("""COMPUTED_VALUE"""),45133.66666666667)</f>
        <v>45133.66667</v>
      </c>
      <c r="B6431" s="1">
        <f>IFERROR(__xludf.DUMMYFUNCTION("""COMPUTED_VALUE"""),9817.11)</f>
        <v>9817.11</v>
      </c>
    </row>
    <row r="6432">
      <c r="A6432" s="2">
        <f>IFERROR(__xludf.DUMMYFUNCTION("""COMPUTED_VALUE"""),45134.66666666667)</f>
        <v>45134.66667</v>
      </c>
      <c r="B6432" s="1">
        <f>IFERROR(__xludf.DUMMYFUNCTION("""COMPUTED_VALUE"""),9754.72)</f>
        <v>9754.72</v>
      </c>
    </row>
    <row r="6433">
      <c r="A6433" s="2">
        <f>IFERROR(__xludf.DUMMYFUNCTION("""COMPUTED_VALUE"""),45135.66666666667)</f>
        <v>45135.66667</v>
      </c>
      <c r="B6433" s="1">
        <f>IFERROR(__xludf.DUMMYFUNCTION("""COMPUTED_VALUE"""),9852.01)</f>
        <v>9852.01</v>
      </c>
    </row>
    <row r="6434">
      <c r="A6434" s="2">
        <f>IFERROR(__xludf.DUMMYFUNCTION("""COMPUTED_VALUE"""),45138.66666666667)</f>
        <v>45138.66667</v>
      </c>
      <c r="B6434" s="1">
        <f>IFERROR(__xludf.DUMMYFUNCTION("""COMPUTED_VALUE"""),9866.77)</f>
        <v>9866.77</v>
      </c>
    </row>
    <row r="6435">
      <c r="A6435" s="2">
        <f>IFERROR(__xludf.DUMMYFUNCTION("""COMPUTED_VALUE"""),45139.66666666667)</f>
        <v>45139.66667</v>
      </c>
      <c r="B6435" s="1">
        <f>IFERROR(__xludf.DUMMYFUNCTION("""COMPUTED_VALUE"""),9840.71)</f>
        <v>9840.71</v>
      </c>
    </row>
    <row r="6436">
      <c r="A6436" s="2">
        <f>IFERROR(__xludf.DUMMYFUNCTION("""COMPUTED_VALUE"""),45140.66666666667)</f>
        <v>45140.66667</v>
      </c>
      <c r="B6436" s="1">
        <f>IFERROR(__xludf.DUMMYFUNCTION("""COMPUTED_VALUE"""),9704.63)</f>
        <v>9704.63</v>
      </c>
    </row>
    <row r="6437">
      <c r="A6437" s="2">
        <f>IFERROR(__xludf.DUMMYFUNCTION("""COMPUTED_VALUE"""),45141.66666666667)</f>
        <v>45141.66667</v>
      </c>
      <c r="B6437" s="1">
        <f>IFERROR(__xludf.DUMMYFUNCTION("""COMPUTED_VALUE"""),9680.36)</f>
        <v>9680.36</v>
      </c>
    </row>
    <row r="6438">
      <c r="A6438" s="2">
        <f>IFERROR(__xludf.DUMMYFUNCTION("""COMPUTED_VALUE"""),45142.66666666667)</f>
        <v>45142.66667</v>
      </c>
      <c r="B6438" s="1">
        <f>IFERROR(__xludf.DUMMYFUNCTION("""COMPUTED_VALUE"""),9629.77)</f>
        <v>9629.77</v>
      </c>
    </row>
    <row r="6439">
      <c r="A6439" s="2">
        <f>IFERROR(__xludf.DUMMYFUNCTION("""COMPUTED_VALUE"""),45145.66666666667)</f>
        <v>45145.66667</v>
      </c>
      <c r="B6439" s="1">
        <f>IFERROR(__xludf.DUMMYFUNCTION("""COMPUTED_VALUE"""),9716.91)</f>
        <v>9716.91</v>
      </c>
    </row>
    <row r="6440">
      <c r="A6440" s="2">
        <f>IFERROR(__xludf.DUMMYFUNCTION("""COMPUTED_VALUE"""),45146.66666666667)</f>
        <v>45146.66667</v>
      </c>
      <c r="B6440" s="1">
        <f>IFERROR(__xludf.DUMMYFUNCTION("""COMPUTED_VALUE"""),9676.0)</f>
        <v>9676</v>
      </c>
    </row>
    <row r="6441">
      <c r="A6441" s="2">
        <f>IFERROR(__xludf.DUMMYFUNCTION("""COMPUTED_VALUE"""),45147.66666666667)</f>
        <v>45147.66667</v>
      </c>
      <c r="B6441" s="1">
        <f>IFERROR(__xludf.DUMMYFUNCTION("""COMPUTED_VALUE"""),9608.73)</f>
        <v>9608.73</v>
      </c>
    </row>
    <row r="6442">
      <c r="A6442" s="2">
        <f>IFERROR(__xludf.DUMMYFUNCTION("""COMPUTED_VALUE"""),45148.66666666667)</f>
        <v>45148.66667</v>
      </c>
      <c r="B6442" s="1">
        <f>IFERROR(__xludf.DUMMYFUNCTION("""COMPUTED_VALUE"""),9612.36)</f>
        <v>9612.36</v>
      </c>
    </row>
    <row r="6443">
      <c r="A6443" s="2">
        <f>IFERROR(__xludf.DUMMYFUNCTION("""COMPUTED_VALUE"""),45149.66666666667)</f>
        <v>45149.66667</v>
      </c>
      <c r="B6443" s="1">
        <f>IFERROR(__xludf.DUMMYFUNCTION("""COMPUTED_VALUE"""),9603.45)</f>
        <v>9603.45</v>
      </c>
    </row>
    <row r="6444">
      <c r="A6444" s="2">
        <f>IFERROR(__xludf.DUMMYFUNCTION("""COMPUTED_VALUE"""),45152.66666666667)</f>
        <v>45152.66667</v>
      </c>
      <c r="B6444" s="1">
        <f>IFERROR(__xludf.DUMMYFUNCTION("""COMPUTED_VALUE"""),9659.26)</f>
        <v>9659.26</v>
      </c>
    </row>
    <row r="6445">
      <c r="A6445" s="2">
        <f>IFERROR(__xludf.DUMMYFUNCTION("""COMPUTED_VALUE"""),45153.66666666667)</f>
        <v>45153.66667</v>
      </c>
      <c r="B6445" s="1">
        <f>IFERROR(__xludf.DUMMYFUNCTION("""COMPUTED_VALUE"""),9549.17)</f>
        <v>9549.17</v>
      </c>
    </row>
    <row r="6446">
      <c r="A6446" s="2">
        <f>IFERROR(__xludf.DUMMYFUNCTION("""COMPUTED_VALUE"""),45154.66666666667)</f>
        <v>45154.66667</v>
      </c>
      <c r="B6446" s="1">
        <f>IFERROR(__xludf.DUMMYFUNCTION("""COMPUTED_VALUE"""),9478.54)</f>
        <v>9478.54</v>
      </c>
    </row>
    <row r="6447">
      <c r="A6447" s="2">
        <f>IFERROR(__xludf.DUMMYFUNCTION("""COMPUTED_VALUE"""),45155.66666666667)</f>
        <v>45155.66667</v>
      </c>
      <c r="B6447" s="1">
        <f>IFERROR(__xludf.DUMMYFUNCTION("""COMPUTED_VALUE"""),9407.27)</f>
        <v>9407.27</v>
      </c>
    </row>
    <row r="6448">
      <c r="A6448" s="2">
        <f>IFERROR(__xludf.DUMMYFUNCTION("""COMPUTED_VALUE"""),45156.66666666667)</f>
        <v>45156.66667</v>
      </c>
      <c r="B6448" s="1">
        <f>IFERROR(__xludf.DUMMYFUNCTION("""COMPUTED_VALUE"""),9406.5)</f>
        <v>9406.5</v>
      </c>
    </row>
    <row r="6449">
      <c r="A6449" s="2">
        <f>IFERROR(__xludf.DUMMYFUNCTION("""COMPUTED_VALUE"""),45159.66666666667)</f>
        <v>45159.66667</v>
      </c>
      <c r="B6449" s="1">
        <f>IFERROR(__xludf.DUMMYFUNCTION("""COMPUTED_VALUE"""),9471.39)</f>
        <v>9471.39</v>
      </c>
    </row>
    <row r="6450">
      <c r="A6450" s="2">
        <f>IFERROR(__xludf.DUMMYFUNCTION("""COMPUTED_VALUE"""),45160.66666666667)</f>
        <v>45160.66667</v>
      </c>
      <c r="B6450" s="1">
        <f>IFERROR(__xludf.DUMMYFUNCTION("""COMPUTED_VALUE"""),9445.22)</f>
        <v>9445.22</v>
      </c>
    </row>
    <row r="6451">
      <c r="A6451" s="2">
        <f>IFERROR(__xludf.DUMMYFUNCTION("""COMPUTED_VALUE"""),45161.66666666667)</f>
        <v>45161.66667</v>
      </c>
      <c r="B6451" s="1">
        <f>IFERROR(__xludf.DUMMYFUNCTION("""COMPUTED_VALUE"""),9549.73)</f>
        <v>9549.73</v>
      </c>
    </row>
    <row r="6452">
      <c r="A6452" s="2">
        <f>IFERROR(__xludf.DUMMYFUNCTION("""COMPUTED_VALUE"""),45162.66666666667)</f>
        <v>45162.66667</v>
      </c>
      <c r="B6452" s="1">
        <f>IFERROR(__xludf.DUMMYFUNCTION("""COMPUTED_VALUE"""),9421.47)</f>
        <v>9421.47</v>
      </c>
    </row>
    <row r="6453">
      <c r="A6453" s="2">
        <f>IFERROR(__xludf.DUMMYFUNCTION("""COMPUTED_VALUE"""),45163.66666666667)</f>
        <v>45163.66667</v>
      </c>
      <c r="B6453" s="1">
        <f>IFERROR(__xludf.DUMMYFUNCTION("""COMPUTED_VALUE"""),9485.89)</f>
        <v>9485.89</v>
      </c>
    </row>
    <row r="6454">
      <c r="A6454" s="2">
        <f>IFERROR(__xludf.DUMMYFUNCTION("""COMPUTED_VALUE"""),45166.66666666667)</f>
        <v>45166.66667</v>
      </c>
      <c r="B6454" s="1">
        <f>IFERROR(__xludf.DUMMYFUNCTION("""COMPUTED_VALUE"""),9545.44)</f>
        <v>9545.44</v>
      </c>
    </row>
    <row r="6455">
      <c r="A6455" s="2">
        <f>IFERROR(__xludf.DUMMYFUNCTION("""COMPUTED_VALUE"""),45167.66666666667)</f>
        <v>45167.66667</v>
      </c>
      <c r="B6455" s="1">
        <f>IFERROR(__xludf.DUMMYFUNCTION("""COMPUTED_VALUE"""),9684.22)</f>
        <v>9684.22</v>
      </c>
    </row>
    <row r="6456">
      <c r="A6456" s="2">
        <f>IFERROR(__xludf.DUMMYFUNCTION("""COMPUTED_VALUE"""),45168.66666666667)</f>
        <v>45168.66667</v>
      </c>
      <c r="B6456" s="1">
        <f>IFERROR(__xludf.DUMMYFUNCTION("""COMPUTED_VALUE"""),9722.96)</f>
        <v>9722.96</v>
      </c>
    </row>
    <row r="6457">
      <c r="A6457" s="2">
        <f>IFERROR(__xludf.DUMMYFUNCTION("""COMPUTED_VALUE"""),45169.66666666667)</f>
        <v>45169.66667</v>
      </c>
      <c r="B6457" s="1">
        <f>IFERROR(__xludf.DUMMYFUNCTION("""COMPUTED_VALUE"""),9709.68)</f>
        <v>9709.68</v>
      </c>
    </row>
    <row r="6458">
      <c r="A6458" s="2">
        <f>IFERROR(__xludf.DUMMYFUNCTION("""COMPUTED_VALUE"""),45170.66666666667)</f>
        <v>45170.66667</v>
      </c>
      <c r="B6458" s="1">
        <f>IFERROR(__xludf.DUMMYFUNCTION("""COMPUTED_VALUE"""),9727.64)</f>
        <v>9727.64</v>
      </c>
    </row>
    <row r="6459">
      <c r="A6459" s="2">
        <f>IFERROR(__xludf.DUMMYFUNCTION("""COMPUTED_VALUE"""),45174.66666666667)</f>
        <v>45174.66667</v>
      </c>
      <c r="B6459" s="1">
        <f>IFERROR(__xludf.DUMMYFUNCTION("""COMPUTED_VALUE"""),9687.26)</f>
        <v>9687.26</v>
      </c>
    </row>
    <row r="6460">
      <c r="A6460" s="2">
        <f>IFERROR(__xludf.DUMMYFUNCTION("""COMPUTED_VALUE"""),45175.66666666667)</f>
        <v>45175.66667</v>
      </c>
      <c r="B6460" s="1">
        <f>IFERROR(__xludf.DUMMYFUNCTION("""COMPUTED_VALUE"""),9619.98)</f>
        <v>9619.98</v>
      </c>
    </row>
    <row r="6461">
      <c r="A6461" s="2">
        <f>IFERROR(__xludf.DUMMYFUNCTION("""COMPUTED_VALUE"""),45176.66666666667)</f>
        <v>45176.66667</v>
      </c>
      <c r="B6461" s="1">
        <f>IFERROR(__xludf.DUMMYFUNCTION("""COMPUTED_VALUE"""),9590.4)</f>
        <v>9590.4</v>
      </c>
    </row>
    <row r="6462">
      <c r="A6462" s="2">
        <f>IFERROR(__xludf.DUMMYFUNCTION("""COMPUTED_VALUE"""),45177.66666666667)</f>
        <v>45177.66667</v>
      </c>
      <c r="B6462" s="1">
        <f>IFERROR(__xludf.DUMMYFUNCTION("""COMPUTED_VALUE"""),9604.77)</f>
        <v>9604.77</v>
      </c>
    </row>
    <row r="6463">
      <c r="A6463" s="2">
        <f>IFERROR(__xludf.DUMMYFUNCTION("""COMPUTED_VALUE"""),45180.66666666667)</f>
        <v>45180.66667</v>
      </c>
      <c r="B6463" s="1">
        <f>IFERROR(__xludf.DUMMYFUNCTION("""COMPUTED_VALUE"""),9669.36)</f>
        <v>9669.36</v>
      </c>
    </row>
    <row r="6464">
      <c r="A6464" s="2">
        <f>IFERROR(__xludf.DUMMYFUNCTION("""COMPUTED_VALUE"""),45181.66666666667)</f>
        <v>45181.66667</v>
      </c>
      <c r="B6464" s="1">
        <f>IFERROR(__xludf.DUMMYFUNCTION("""COMPUTED_VALUE"""),9614.66)</f>
        <v>9614.66</v>
      </c>
    </row>
    <row r="6465">
      <c r="A6465" s="2">
        <f>IFERROR(__xludf.DUMMYFUNCTION("""COMPUTED_VALUE"""),45182.66666666667)</f>
        <v>45182.66667</v>
      </c>
      <c r="B6465" s="1">
        <f>IFERROR(__xludf.DUMMYFUNCTION("""COMPUTED_VALUE"""),9626.68)</f>
        <v>9626.68</v>
      </c>
    </row>
    <row r="6466">
      <c r="A6466" s="2">
        <f>IFERROR(__xludf.DUMMYFUNCTION("""COMPUTED_VALUE"""),45183.66666666667)</f>
        <v>45183.66667</v>
      </c>
      <c r="B6466" s="1">
        <f>IFERROR(__xludf.DUMMYFUNCTION("""COMPUTED_VALUE"""),9710.54)</f>
        <v>9710.54</v>
      </c>
    </row>
    <row r="6467">
      <c r="A6467" s="2">
        <f>IFERROR(__xludf.DUMMYFUNCTION("""COMPUTED_VALUE"""),45184.66666666667)</f>
        <v>45184.66667</v>
      </c>
      <c r="B6467" s="1">
        <f>IFERROR(__xludf.DUMMYFUNCTION("""COMPUTED_VALUE"""),9592.86)</f>
        <v>9592.86</v>
      </c>
    </row>
    <row r="6468">
      <c r="A6468" s="2">
        <f>IFERROR(__xludf.DUMMYFUNCTION("""COMPUTED_VALUE"""),45187.66666666667)</f>
        <v>45187.66667</v>
      </c>
      <c r="B6468" s="1">
        <f>IFERROR(__xludf.DUMMYFUNCTION("""COMPUTED_VALUE"""),9599.93)</f>
        <v>9599.93</v>
      </c>
    </row>
    <row r="6469">
      <c r="A6469" s="2">
        <f>IFERROR(__xludf.DUMMYFUNCTION("""COMPUTED_VALUE"""),45188.66666666667)</f>
        <v>45188.66667</v>
      </c>
      <c r="B6469" s="1">
        <f>IFERROR(__xludf.DUMMYFUNCTION("""COMPUTED_VALUE"""),9579.27)</f>
        <v>9579.27</v>
      </c>
    </row>
    <row r="6470">
      <c r="A6470" s="2">
        <f>IFERROR(__xludf.DUMMYFUNCTION("""COMPUTED_VALUE"""),45189.66666666667)</f>
        <v>45189.66667</v>
      </c>
      <c r="B6470" s="1">
        <f>IFERROR(__xludf.DUMMYFUNCTION("""COMPUTED_VALUE"""),9489.92)</f>
        <v>9489.92</v>
      </c>
    </row>
    <row r="6471">
      <c r="A6471" s="2">
        <f>IFERROR(__xludf.DUMMYFUNCTION("""COMPUTED_VALUE"""),45190.66666666667)</f>
        <v>45190.66667</v>
      </c>
      <c r="B6471" s="1">
        <f>IFERROR(__xludf.DUMMYFUNCTION("""COMPUTED_VALUE"""),9334.59)</f>
        <v>9334.59</v>
      </c>
    </row>
    <row r="6472">
      <c r="A6472" s="2">
        <f>IFERROR(__xludf.DUMMYFUNCTION("""COMPUTED_VALUE"""),45191.66666666667)</f>
        <v>45191.66667</v>
      </c>
      <c r="B6472" s="1">
        <f>IFERROR(__xludf.DUMMYFUNCTION("""COMPUTED_VALUE"""),9313.3)</f>
        <v>9313.3</v>
      </c>
    </row>
    <row r="6473">
      <c r="A6473" s="2">
        <f>IFERROR(__xludf.DUMMYFUNCTION("""COMPUTED_VALUE"""),45194.66666666667)</f>
        <v>45194.66667</v>
      </c>
      <c r="B6473" s="1">
        <f>IFERROR(__xludf.DUMMYFUNCTION("""COMPUTED_VALUE"""),9350.9)</f>
        <v>9350.9</v>
      </c>
    </row>
    <row r="6474">
      <c r="A6474" s="2">
        <f>IFERROR(__xludf.DUMMYFUNCTION("""COMPUTED_VALUE"""),45195.66666666667)</f>
        <v>45195.66667</v>
      </c>
      <c r="B6474" s="1">
        <f>IFERROR(__xludf.DUMMYFUNCTION("""COMPUTED_VALUE"""),9213.72)</f>
        <v>9213.72</v>
      </c>
    </row>
    <row r="6475">
      <c r="A6475" s="2">
        <f>IFERROR(__xludf.DUMMYFUNCTION("""COMPUTED_VALUE"""),45196.66666666667)</f>
        <v>45196.66667</v>
      </c>
      <c r="B6475" s="1">
        <f>IFERROR(__xludf.DUMMYFUNCTION("""COMPUTED_VALUE"""),9216.02)</f>
        <v>9216.02</v>
      </c>
    </row>
    <row r="6476">
      <c r="A6476" s="2">
        <f>IFERROR(__xludf.DUMMYFUNCTION("""COMPUTED_VALUE"""),45197.66666666667)</f>
        <v>45197.66667</v>
      </c>
      <c r="B6476" s="1">
        <f>IFERROR(__xludf.DUMMYFUNCTION("""COMPUTED_VALUE"""),9271.55)</f>
        <v>9271.55</v>
      </c>
    </row>
    <row r="6477">
      <c r="A6477" s="2">
        <f>IFERROR(__xludf.DUMMYFUNCTION("""COMPUTED_VALUE"""),45198.66666666667)</f>
        <v>45198.66667</v>
      </c>
      <c r="B6477" s="1">
        <f>IFERROR(__xludf.DUMMYFUNCTION("""COMPUTED_VALUE"""),9246.74)</f>
        <v>9246.74</v>
      </c>
    </row>
    <row r="6478">
      <c r="A6478" s="2">
        <f>IFERROR(__xludf.DUMMYFUNCTION("""COMPUTED_VALUE"""),45201.66666666667)</f>
        <v>45201.66667</v>
      </c>
      <c r="B6478" s="1">
        <f>IFERROR(__xludf.DUMMYFUNCTION("""COMPUTED_VALUE"""),9247.51)</f>
        <v>9247.51</v>
      </c>
    </row>
    <row r="6479">
      <c r="A6479" s="2">
        <f>IFERROR(__xludf.DUMMYFUNCTION("""COMPUTED_VALUE"""),45202.66666666667)</f>
        <v>45202.66667</v>
      </c>
      <c r="B6479" s="1">
        <f>IFERROR(__xludf.DUMMYFUNCTION("""COMPUTED_VALUE"""),9121.14)</f>
        <v>9121.14</v>
      </c>
    </row>
    <row r="6480">
      <c r="A6480" s="2">
        <f>IFERROR(__xludf.DUMMYFUNCTION("""COMPUTED_VALUE"""),45203.66666666667)</f>
        <v>45203.66667</v>
      </c>
      <c r="B6480" s="1">
        <f>IFERROR(__xludf.DUMMYFUNCTION("""COMPUTED_VALUE"""),9195.14)</f>
        <v>9195.14</v>
      </c>
    </row>
    <row r="6481">
      <c r="A6481" s="2">
        <f>IFERROR(__xludf.DUMMYFUNCTION("""COMPUTED_VALUE"""),45204.66666666667)</f>
        <v>45204.66667</v>
      </c>
      <c r="B6481" s="1">
        <f>IFERROR(__xludf.DUMMYFUNCTION("""COMPUTED_VALUE"""),9184.81)</f>
        <v>9184.81</v>
      </c>
    </row>
    <row r="6482">
      <c r="A6482" s="2">
        <f>IFERROR(__xludf.DUMMYFUNCTION("""COMPUTED_VALUE"""),45205.66666666667)</f>
        <v>45205.66667</v>
      </c>
      <c r="B6482" s="1">
        <f>IFERROR(__xludf.DUMMYFUNCTION("""COMPUTED_VALUE"""),9294.82)</f>
        <v>9294.82</v>
      </c>
    </row>
    <row r="6483">
      <c r="A6483" s="2">
        <f>IFERROR(__xludf.DUMMYFUNCTION("""COMPUTED_VALUE"""),45208.66666666667)</f>
        <v>45208.66667</v>
      </c>
      <c r="B6483" s="1">
        <f>IFERROR(__xludf.DUMMYFUNCTION("""COMPUTED_VALUE"""),9353.41)</f>
        <v>9353.41</v>
      </c>
    </row>
    <row r="6484">
      <c r="A6484" s="2">
        <f>IFERROR(__xludf.DUMMYFUNCTION("""COMPUTED_VALUE"""),45209.66666666667)</f>
        <v>45209.66667</v>
      </c>
      <c r="B6484" s="1">
        <f>IFERROR(__xludf.DUMMYFUNCTION("""COMPUTED_VALUE"""),9402.31)</f>
        <v>9402.31</v>
      </c>
    </row>
    <row r="6485">
      <c r="A6485" s="2">
        <f>IFERROR(__xludf.DUMMYFUNCTION("""COMPUTED_VALUE"""),45210.66666666667)</f>
        <v>45210.66667</v>
      </c>
      <c r="B6485" s="1">
        <f>IFERROR(__xludf.DUMMYFUNCTION("""COMPUTED_VALUE"""),9443.13)</f>
        <v>9443.13</v>
      </c>
    </row>
    <row r="6486">
      <c r="A6486" s="2">
        <f>IFERROR(__xludf.DUMMYFUNCTION("""COMPUTED_VALUE"""),45211.66666666667)</f>
        <v>45211.66667</v>
      </c>
      <c r="B6486" s="1">
        <f>IFERROR(__xludf.DUMMYFUNCTION("""COMPUTED_VALUE"""),9385.16)</f>
        <v>9385.16</v>
      </c>
    </row>
    <row r="6487">
      <c r="A6487" s="2">
        <f>IFERROR(__xludf.DUMMYFUNCTION("""COMPUTED_VALUE"""),45212.66666666667)</f>
        <v>45212.66667</v>
      </c>
      <c r="B6487" s="1">
        <f>IFERROR(__xludf.DUMMYFUNCTION("""COMPUTED_VALUE"""),9338.09)</f>
        <v>9338.09</v>
      </c>
    </row>
    <row r="6488">
      <c r="A6488" s="2">
        <f>IFERROR(__xludf.DUMMYFUNCTION("""COMPUTED_VALUE"""),45215.66666666667)</f>
        <v>45215.66667</v>
      </c>
      <c r="B6488" s="1">
        <f>IFERROR(__xludf.DUMMYFUNCTION("""COMPUTED_VALUE"""),9437.31)</f>
        <v>9437.31</v>
      </c>
    </row>
    <row r="6489">
      <c r="A6489" s="2">
        <f>IFERROR(__xludf.DUMMYFUNCTION("""COMPUTED_VALUE"""),45216.66666666667)</f>
        <v>45216.66667</v>
      </c>
      <c r="B6489" s="1">
        <f>IFERROR(__xludf.DUMMYFUNCTION("""COMPUTED_VALUE"""),9436.36)</f>
        <v>9436.36</v>
      </c>
    </row>
    <row r="6490">
      <c r="A6490" s="2">
        <f>IFERROR(__xludf.DUMMYFUNCTION("""COMPUTED_VALUE"""),45217.66666666667)</f>
        <v>45217.66667</v>
      </c>
      <c r="B6490" s="1">
        <f>IFERROR(__xludf.DUMMYFUNCTION("""COMPUTED_VALUE"""),9309.92)</f>
        <v>9309.92</v>
      </c>
    </row>
    <row r="6491">
      <c r="A6491" s="2">
        <f>IFERROR(__xludf.DUMMYFUNCTION("""COMPUTED_VALUE"""),45218.66666666667)</f>
        <v>45218.66667</v>
      </c>
      <c r="B6491" s="1">
        <f>IFERROR(__xludf.DUMMYFUNCTION("""COMPUTED_VALUE"""),9231.73)</f>
        <v>9231.73</v>
      </c>
    </row>
    <row r="6492">
      <c r="A6492" s="2">
        <f>IFERROR(__xludf.DUMMYFUNCTION("""COMPUTED_VALUE"""),45219.66666666667)</f>
        <v>45219.66667</v>
      </c>
      <c r="B6492" s="1">
        <f>IFERROR(__xludf.DUMMYFUNCTION("""COMPUTED_VALUE"""),9115.84)</f>
        <v>9115.84</v>
      </c>
    </row>
    <row r="6493">
      <c r="A6493" s="2">
        <f>IFERROR(__xludf.DUMMYFUNCTION("""COMPUTED_VALUE"""),45222.66666666667)</f>
        <v>45222.66667</v>
      </c>
      <c r="B6493" s="1">
        <f>IFERROR(__xludf.DUMMYFUNCTION("""COMPUTED_VALUE"""),9100.49)</f>
        <v>9100.49</v>
      </c>
    </row>
    <row r="6494">
      <c r="A6494" s="2">
        <f>IFERROR(__xludf.DUMMYFUNCTION("""COMPUTED_VALUE"""),45223.66666666667)</f>
        <v>45223.66667</v>
      </c>
      <c r="B6494" s="1">
        <f>IFERROR(__xludf.DUMMYFUNCTION("""COMPUTED_VALUE"""),9166.8)</f>
        <v>9166.8</v>
      </c>
    </row>
    <row r="6495">
      <c r="A6495" s="2">
        <f>IFERROR(__xludf.DUMMYFUNCTION("""COMPUTED_VALUE"""),45224.66666666667)</f>
        <v>45224.66667</v>
      </c>
      <c r="B6495" s="1">
        <f>IFERROR(__xludf.DUMMYFUNCTION("""COMPUTED_VALUE"""),9035.4)</f>
        <v>9035.4</v>
      </c>
    </row>
    <row r="6496">
      <c r="A6496" s="2">
        <f>IFERROR(__xludf.DUMMYFUNCTION("""COMPUTED_VALUE"""),45225.66666666667)</f>
        <v>45225.66667</v>
      </c>
      <c r="B6496" s="1">
        <f>IFERROR(__xludf.DUMMYFUNCTION("""COMPUTED_VALUE"""),8928.63)</f>
        <v>8928.63</v>
      </c>
    </row>
    <row r="6497">
      <c r="A6497" s="2">
        <f>IFERROR(__xludf.DUMMYFUNCTION("""COMPUTED_VALUE"""),45226.66666666667)</f>
        <v>45226.66667</v>
      </c>
      <c r="B6497" s="1">
        <f>IFERROR(__xludf.DUMMYFUNCTION("""COMPUTED_VALUE"""),8885.94)</f>
        <v>8885.94</v>
      </c>
    </row>
    <row r="6498">
      <c r="A6498" s="2">
        <f>IFERROR(__xludf.DUMMYFUNCTION("""COMPUTED_VALUE"""),45229.66666666667)</f>
        <v>45229.66667</v>
      </c>
      <c r="B6498" s="1">
        <f>IFERROR(__xludf.DUMMYFUNCTION("""COMPUTED_VALUE"""),8993.46)</f>
        <v>8993.46</v>
      </c>
    </row>
    <row r="6499">
      <c r="A6499" s="2">
        <f>IFERROR(__xludf.DUMMYFUNCTION("""COMPUTED_VALUE"""),45230.66666666667)</f>
        <v>45230.66667</v>
      </c>
      <c r="B6499" s="1">
        <f>IFERROR(__xludf.DUMMYFUNCTION("""COMPUTED_VALUE"""),9052.31)</f>
        <v>9052.31</v>
      </c>
    </row>
    <row r="6500">
      <c r="A6500" s="2">
        <f>IFERROR(__xludf.DUMMYFUNCTION("""COMPUTED_VALUE"""),45231.66666666667)</f>
        <v>45231.66667</v>
      </c>
      <c r="B6500" s="1">
        <f>IFERROR(__xludf.DUMMYFUNCTION("""COMPUTED_VALUE"""),9147.45)</f>
        <v>9147.45</v>
      </c>
    </row>
    <row r="6501">
      <c r="A6501" s="2">
        <f>IFERROR(__xludf.DUMMYFUNCTION("""COMPUTED_VALUE"""),45232.66666666667)</f>
        <v>45232.66667</v>
      </c>
      <c r="B6501" s="1">
        <f>IFERROR(__xludf.DUMMYFUNCTION("""COMPUTED_VALUE"""),9320.56)</f>
        <v>9320.56</v>
      </c>
    </row>
    <row r="6502">
      <c r="A6502" s="2">
        <f>IFERROR(__xludf.DUMMYFUNCTION("""COMPUTED_VALUE"""),45233.66666666667)</f>
        <v>45233.66667</v>
      </c>
      <c r="B6502" s="1">
        <f>IFERROR(__xludf.DUMMYFUNCTION("""COMPUTED_VALUE"""),9408.56)</f>
        <v>9408.56</v>
      </c>
    </row>
    <row r="6503">
      <c r="A6503" s="2">
        <f>IFERROR(__xludf.DUMMYFUNCTION("""COMPUTED_VALUE"""),45236.66666666667)</f>
        <v>45236.66667</v>
      </c>
      <c r="B6503" s="1">
        <f>IFERROR(__xludf.DUMMYFUNCTION("""COMPUTED_VALUE"""),9425.34)</f>
        <v>9425.34</v>
      </c>
    </row>
    <row r="6504">
      <c r="A6504" s="2">
        <f>IFERROR(__xludf.DUMMYFUNCTION("""COMPUTED_VALUE"""),45237.66666666667)</f>
        <v>45237.66667</v>
      </c>
      <c r="B6504" s="1">
        <f>IFERROR(__xludf.DUMMYFUNCTION("""COMPUTED_VALUE"""),9452.28)</f>
        <v>9452.28</v>
      </c>
    </row>
    <row r="6505">
      <c r="A6505" s="2">
        <f>IFERROR(__xludf.DUMMYFUNCTION("""COMPUTED_VALUE"""),45238.66666666667)</f>
        <v>45238.66667</v>
      </c>
      <c r="B6505" s="1">
        <f>IFERROR(__xludf.DUMMYFUNCTION("""COMPUTED_VALUE"""),9462.25)</f>
        <v>9462.25</v>
      </c>
    </row>
    <row r="6506">
      <c r="A6506" s="2">
        <f>IFERROR(__xludf.DUMMYFUNCTION("""COMPUTED_VALUE"""),45239.66666666667)</f>
        <v>45239.66667</v>
      </c>
      <c r="B6506" s="1">
        <f>IFERROR(__xludf.DUMMYFUNCTION("""COMPUTED_VALUE"""),9387.59)</f>
        <v>9387.59</v>
      </c>
    </row>
    <row r="6507">
      <c r="A6507" s="2">
        <f>IFERROR(__xludf.DUMMYFUNCTION("""COMPUTED_VALUE"""),45240.66666666667)</f>
        <v>45240.66667</v>
      </c>
      <c r="B6507" s="1">
        <f>IFERROR(__xludf.DUMMYFUNCTION("""COMPUTED_VALUE"""),9535.63)</f>
        <v>9535.63</v>
      </c>
    </row>
    <row r="6508">
      <c r="A6508" s="2">
        <f>IFERROR(__xludf.DUMMYFUNCTION("""COMPUTED_VALUE"""),45243.66666666667)</f>
        <v>45243.66667</v>
      </c>
      <c r="B6508" s="1">
        <f>IFERROR(__xludf.DUMMYFUNCTION("""COMPUTED_VALUE"""),9528.25)</f>
        <v>9528.25</v>
      </c>
    </row>
    <row r="6509">
      <c r="A6509" s="2">
        <f>IFERROR(__xludf.DUMMYFUNCTION("""COMPUTED_VALUE"""),45244.66666666667)</f>
        <v>45244.66667</v>
      </c>
      <c r="B6509" s="1">
        <f>IFERROR(__xludf.DUMMYFUNCTION("""COMPUTED_VALUE"""),9712.01)</f>
        <v>9712.01</v>
      </c>
    </row>
    <row r="6510">
      <c r="A6510" s="2">
        <f>IFERROR(__xludf.DUMMYFUNCTION("""COMPUTED_VALUE"""),45245.66666666667)</f>
        <v>45245.66667</v>
      </c>
      <c r="B6510" s="1">
        <f>IFERROR(__xludf.DUMMYFUNCTION("""COMPUTED_VALUE"""),9729.31)</f>
        <v>9729.31</v>
      </c>
    </row>
    <row r="6511">
      <c r="A6511" s="2">
        <f>IFERROR(__xludf.DUMMYFUNCTION("""COMPUTED_VALUE"""),45246.66666666667)</f>
        <v>45246.66667</v>
      </c>
      <c r="B6511" s="1">
        <f>IFERROR(__xludf.DUMMYFUNCTION("""COMPUTED_VALUE"""),9743.22)</f>
        <v>9743.22</v>
      </c>
    </row>
    <row r="6512">
      <c r="A6512" s="2">
        <f>IFERROR(__xludf.DUMMYFUNCTION("""COMPUTED_VALUE"""),45247.66666666667)</f>
        <v>45247.66667</v>
      </c>
      <c r="B6512" s="1">
        <f>IFERROR(__xludf.DUMMYFUNCTION("""COMPUTED_VALUE"""),9755.92)</f>
        <v>9755.92</v>
      </c>
    </row>
    <row r="6513">
      <c r="A6513" s="2">
        <f>IFERROR(__xludf.DUMMYFUNCTION("""COMPUTED_VALUE"""),45250.66666666667)</f>
        <v>45250.66667</v>
      </c>
      <c r="B6513" s="1">
        <f>IFERROR(__xludf.DUMMYFUNCTION("""COMPUTED_VALUE"""),9829.02)</f>
        <v>9829.02</v>
      </c>
    </row>
    <row r="6514">
      <c r="A6514" s="2">
        <f>IFERROR(__xludf.DUMMYFUNCTION("""COMPUTED_VALUE"""),45251.66666666667)</f>
        <v>45251.66667</v>
      </c>
      <c r="B6514" s="1">
        <f>IFERROR(__xludf.DUMMYFUNCTION("""COMPUTED_VALUE"""),9809.39)</f>
        <v>9809.39</v>
      </c>
    </row>
    <row r="6515">
      <c r="A6515" s="2">
        <f>IFERROR(__xludf.DUMMYFUNCTION("""COMPUTED_VALUE"""),45252.66666666667)</f>
        <v>45252.66667</v>
      </c>
      <c r="B6515" s="1">
        <f>IFERROR(__xludf.DUMMYFUNCTION("""COMPUTED_VALUE"""),9849.74)</f>
        <v>9849.74</v>
      </c>
    </row>
    <row r="6516">
      <c r="A6516" s="2">
        <f>IFERROR(__xludf.DUMMYFUNCTION("""COMPUTED_VALUE"""),45254.54166666667)</f>
        <v>45254.54167</v>
      </c>
      <c r="B6516" s="1">
        <f>IFERROR(__xludf.DUMMYFUNCTION("""COMPUTED_VALUE"""),9855.84)</f>
        <v>9855.84</v>
      </c>
    </row>
    <row r="6517">
      <c r="A6517" s="2">
        <f>IFERROR(__xludf.DUMMYFUNCTION("""COMPUTED_VALUE"""),45257.66666666667)</f>
        <v>45257.66667</v>
      </c>
      <c r="B6517" s="1">
        <f>IFERROR(__xludf.DUMMYFUNCTION("""COMPUTED_VALUE"""),9836.75)</f>
        <v>9836.75</v>
      </c>
    </row>
    <row r="6518">
      <c r="A6518" s="2">
        <f>IFERROR(__xludf.DUMMYFUNCTION("""COMPUTED_VALUE"""),45258.66666666667)</f>
        <v>45258.66667</v>
      </c>
      <c r="B6518" s="1">
        <f>IFERROR(__xludf.DUMMYFUNCTION("""COMPUTED_VALUE"""),9846.43)</f>
        <v>9846.43</v>
      </c>
    </row>
    <row r="6519">
      <c r="A6519" s="2">
        <f>IFERROR(__xludf.DUMMYFUNCTION("""COMPUTED_VALUE"""),45259.66666666667)</f>
        <v>45259.66667</v>
      </c>
      <c r="B6519" s="1">
        <f>IFERROR(__xludf.DUMMYFUNCTION("""COMPUTED_VALUE"""),9838.82)</f>
        <v>9838.82</v>
      </c>
    </row>
    <row r="6520">
      <c r="A6520" s="2">
        <f>IFERROR(__xludf.DUMMYFUNCTION("""COMPUTED_VALUE"""),45260.66666666667)</f>
        <v>45260.66667</v>
      </c>
      <c r="B6520" s="1">
        <f>IFERROR(__xludf.DUMMYFUNCTION("""COMPUTED_VALUE"""),9879.02)</f>
        <v>9879.02</v>
      </c>
    </row>
    <row r="6521">
      <c r="A6521" s="2">
        <f>IFERROR(__xludf.DUMMYFUNCTION("""COMPUTED_VALUE"""),45261.66666666667)</f>
        <v>45261.66667</v>
      </c>
      <c r="B6521" s="1">
        <f>IFERROR(__xludf.DUMMYFUNCTION("""COMPUTED_VALUE"""),9937.89)</f>
        <v>9937.89</v>
      </c>
    </row>
    <row r="6522">
      <c r="A6522" s="2">
        <f>IFERROR(__xludf.DUMMYFUNCTION("""COMPUTED_VALUE"""),45264.66666666667)</f>
        <v>45264.66667</v>
      </c>
      <c r="B6522" s="1">
        <f>IFERROR(__xludf.DUMMYFUNCTION("""COMPUTED_VALUE"""),9884.17)</f>
        <v>9884.17</v>
      </c>
    </row>
    <row r="6523">
      <c r="A6523" s="2">
        <f>IFERROR(__xludf.DUMMYFUNCTION("""COMPUTED_VALUE"""),45265.66666666667)</f>
        <v>45265.66667</v>
      </c>
      <c r="B6523" s="1">
        <f>IFERROR(__xludf.DUMMYFUNCTION("""COMPUTED_VALUE"""),9878.97)</f>
        <v>9878.97</v>
      </c>
    </row>
    <row r="6524">
      <c r="A6524" s="2">
        <f>IFERROR(__xludf.DUMMYFUNCTION("""COMPUTED_VALUE"""),45266.66666666667)</f>
        <v>45266.66667</v>
      </c>
      <c r="B6524" s="1">
        <f>IFERROR(__xludf.DUMMYFUNCTION("""COMPUTED_VALUE"""),9840.65)</f>
        <v>9840.65</v>
      </c>
    </row>
    <row r="6525">
      <c r="A6525" s="2">
        <f>IFERROR(__xludf.DUMMYFUNCTION("""COMPUTED_VALUE"""),45267.66666666667)</f>
        <v>45267.66667</v>
      </c>
      <c r="B6525" s="1">
        <f>IFERROR(__xludf.DUMMYFUNCTION("""COMPUTED_VALUE"""),9920.64)</f>
        <v>9920.64</v>
      </c>
    </row>
    <row r="6526">
      <c r="A6526" s="2">
        <f>IFERROR(__xludf.DUMMYFUNCTION("""COMPUTED_VALUE"""),45268.66666666667)</f>
        <v>45268.66667</v>
      </c>
      <c r="B6526" s="1">
        <f>IFERROR(__xludf.DUMMYFUNCTION("""COMPUTED_VALUE"""),9961.5)</f>
        <v>9961.5</v>
      </c>
    </row>
    <row r="6527">
      <c r="A6527" s="2">
        <f>IFERROR(__xludf.DUMMYFUNCTION("""COMPUTED_VALUE"""),45271.66666666667)</f>
        <v>45271.66667</v>
      </c>
      <c r="B6527" s="1">
        <f>IFERROR(__xludf.DUMMYFUNCTION("""COMPUTED_VALUE"""),10000.64)</f>
        <v>10000.64</v>
      </c>
    </row>
    <row r="6528">
      <c r="A6528" s="2">
        <f>IFERROR(__xludf.DUMMYFUNCTION("""COMPUTED_VALUE"""),45272.66666666667)</f>
        <v>45272.66667</v>
      </c>
      <c r="B6528" s="1">
        <f>IFERROR(__xludf.DUMMYFUNCTION("""COMPUTED_VALUE"""),10047.04)</f>
        <v>10047.04</v>
      </c>
    </row>
    <row r="6529">
      <c r="A6529" s="2">
        <f>IFERROR(__xludf.DUMMYFUNCTION("""COMPUTED_VALUE"""),45273.66666666667)</f>
        <v>45273.66667</v>
      </c>
      <c r="B6529" s="1">
        <f>IFERROR(__xludf.DUMMYFUNCTION("""COMPUTED_VALUE"""),10184.38)</f>
        <v>10184.38</v>
      </c>
    </row>
    <row r="6530">
      <c r="A6530" s="2">
        <f>IFERROR(__xludf.DUMMYFUNCTION("""COMPUTED_VALUE"""),45274.66666666667)</f>
        <v>45274.66667</v>
      </c>
      <c r="B6530" s="1">
        <f>IFERROR(__xludf.DUMMYFUNCTION("""COMPUTED_VALUE"""),10213.69)</f>
        <v>10213.69</v>
      </c>
    </row>
    <row r="6531">
      <c r="A6531" s="2">
        <f>IFERROR(__xludf.DUMMYFUNCTION("""COMPUTED_VALUE"""),45275.66666666667)</f>
        <v>45275.66667</v>
      </c>
      <c r="B6531" s="1">
        <f>IFERROR(__xludf.DUMMYFUNCTION("""COMPUTED_VALUE"""),10213.48)</f>
        <v>10213.48</v>
      </c>
    </row>
    <row r="6532">
      <c r="A6532" s="2">
        <f>IFERROR(__xludf.DUMMYFUNCTION("""COMPUTED_VALUE"""),45278.66666666667)</f>
        <v>45278.66667</v>
      </c>
      <c r="B6532" s="1">
        <f>IFERROR(__xludf.DUMMYFUNCTION("""COMPUTED_VALUE"""),10259.85)</f>
        <v>10259.85</v>
      </c>
    </row>
    <row r="6533">
      <c r="A6533" s="2">
        <f>IFERROR(__xludf.DUMMYFUNCTION("""COMPUTED_VALUE"""),45279.66666666667)</f>
        <v>45279.66667</v>
      </c>
      <c r="B6533" s="1">
        <f>IFERROR(__xludf.DUMMYFUNCTION("""COMPUTED_VALUE"""),10320.86)</f>
        <v>10320.86</v>
      </c>
    </row>
    <row r="6534">
      <c r="A6534" s="2">
        <f>IFERROR(__xludf.DUMMYFUNCTION("""COMPUTED_VALUE"""),45280.66666666667)</f>
        <v>45280.66667</v>
      </c>
      <c r="B6534" s="1">
        <f>IFERROR(__xludf.DUMMYFUNCTION("""COMPUTED_VALUE"""),10170.51)</f>
        <v>10170.51</v>
      </c>
    </row>
    <row r="6535">
      <c r="A6535" s="2">
        <f>IFERROR(__xludf.DUMMYFUNCTION("""COMPUTED_VALUE"""),45281.66666666667)</f>
        <v>45281.66667</v>
      </c>
      <c r="B6535" s="1">
        <f>IFERROR(__xludf.DUMMYFUNCTION("""COMPUTED_VALUE"""),10275.3)</f>
        <v>10275.3</v>
      </c>
    </row>
    <row r="6536">
      <c r="A6536" s="2">
        <f>IFERROR(__xludf.DUMMYFUNCTION("""COMPUTED_VALUE"""),45282.66666666667)</f>
        <v>45282.66667</v>
      </c>
      <c r="B6536" s="1">
        <f>IFERROR(__xludf.DUMMYFUNCTION("""COMPUTED_VALUE"""),10292.37)</f>
        <v>10292.37</v>
      </c>
    </row>
    <row r="6537">
      <c r="A6537" s="2">
        <f>IFERROR(__xludf.DUMMYFUNCTION("""COMPUTED_VALUE"""),45286.66666666667)</f>
        <v>45286.66667</v>
      </c>
      <c r="B6537" s="1">
        <f>IFERROR(__xludf.DUMMYFUNCTION("""COMPUTED_VALUE"""),10335.98)</f>
        <v>10335.98</v>
      </c>
    </row>
    <row r="6538">
      <c r="A6538" s="2">
        <f>IFERROR(__xludf.DUMMYFUNCTION("""COMPUTED_VALUE"""),45287.66666666667)</f>
        <v>45287.66667</v>
      </c>
      <c r="B6538" s="1">
        <f>IFERROR(__xludf.DUMMYFUNCTION("""COMPUTED_VALUE"""),10351.6)</f>
        <v>10351.6</v>
      </c>
    </row>
    <row r="6539">
      <c r="A6539" s="2">
        <f>IFERROR(__xludf.DUMMYFUNCTION("""COMPUTED_VALUE"""),45288.66666666667)</f>
        <v>45288.66667</v>
      </c>
      <c r="B6539" s="1">
        <f>IFERROR(__xludf.DUMMYFUNCTION("""COMPUTED_VALUE"""),10356.59)</f>
        <v>10356.59</v>
      </c>
    </row>
    <row r="6540">
      <c r="A6540" s="2">
        <f>IFERROR(__xludf.DUMMYFUNCTION("""COMPUTED_VALUE"""),45289.66666666667)</f>
        <v>45289.66667</v>
      </c>
      <c r="B6540" s="1">
        <f>IFERROR(__xludf.DUMMYFUNCTION("""COMPUTED_VALUE"""),10327.83)</f>
        <v>10327.83</v>
      </c>
    </row>
    <row r="6541">
      <c r="A6541" s="2">
        <f>IFERROR(__xludf.DUMMYFUNCTION("""COMPUTED_VALUE"""),45293.66666666667)</f>
        <v>45293.66667</v>
      </c>
      <c r="B6541" s="1">
        <f>IFERROR(__xludf.DUMMYFUNCTION("""COMPUTED_VALUE"""),10269.69)</f>
        <v>10269.69</v>
      </c>
    </row>
    <row r="6542">
      <c r="A6542" s="2">
        <f>IFERROR(__xludf.DUMMYFUNCTION("""COMPUTED_VALUE"""),45294.66666666667)</f>
        <v>45294.66667</v>
      </c>
      <c r="B6542" s="1">
        <f>IFERROR(__xludf.DUMMYFUNCTION("""COMPUTED_VALUE"""),10187.79)</f>
        <v>10187.79</v>
      </c>
    </row>
    <row r="6543">
      <c r="A6543" s="2">
        <f>IFERROR(__xludf.DUMMYFUNCTION("""COMPUTED_VALUE"""),45295.66666666667)</f>
        <v>45295.66667</v>
      </c>
      <c r="B6543" s="1">
        <f>IFERROR(__xludf.DUMMYFUNCTION("""COMPUTED_VALUE"""),10154.2)</f>
        <v>10154.2</v>
      </c>
    </row>
    <row r="6544">
      <c r="A6544" s="2">
        <f>IFERROR(__xludf.DUMMYFUNCTION("""COMPUTED_VALUE"""),45296.66666666667)</f>
        <v>45296.66667</v>
      </c>
      <c r="B6544" s="1">
        <f>IFERROR(__xludf.DUMMYFUNCTION("""COMPUTED_VALUE"""),10172.75)</f>
        <v>10172.75</v>
      </c>
    </row>
    <row r="6545">
      <c r="A6545" s="2">
        <f>IFERROR(__xludf.DUMMYFUNCTION("""COMPUTED_VALUE"""),45299.66666666667)</f>
        <v>45299.66667</v>
      </c>
      <c r="B6545" s="1">
        <f>IFERROR(__xludf.DUMMYFUNCTION("""COMPUTED_VALUE"""),10316.52)</f>
        <v>10316.52</v>
      </c>
    </row>
    <row r="6546">
      <c r="A6546" s="2">
        <f>IFERROR(__xludf.DUMMYFUNCTION("""COMPUTED_VALUE"""),45300.66666666667)</f>
        <v>45300.66667</v>
      </c>
      <c r="B6546" s="1">
        <f>IFERROR(__xludf.DUMMYFUNCTION("""COMPUTED_VALUE"""),10302.73)</f>
        <v>10302.73</v>
      </c>
    </row>
    <row r="6547">
      <c r="A6547" s="2">
        <f>IFERROR(__xludf.DUMMYFUNCTION("""COMPUTED_VALUE"""),45301.66666666667)</f>
        <v>45301.66667</v>
      </c>
      <c r="B6547" s="1">
        <f>IFERROR(__xludf.DUMMYFUNCTION("""COMPUTED_VALUE"""),10361.27)</f>
        <v>10361.27</v>
      </c>
    </row>
    <row r="6548">
      <c r="A6548" s="2">
        <f>IFERROR(__xludf.DUMMYFUNCTION("""COMPUTED_VALUE"""),45302.66666666667)</f>
        <v>45302.66667</v>
      </c>
      <c r="B6548" s="1">
        <f>IFERROR(__xludf.DUMMYFUNCTION("""COMPUTED_VALUE"""),10354.69)</f>
        <v>10354.69</v>
      </c>
    </row>
    <row r="6549">
      <c r="A6549" s="2">
        <f>IFERROR(__xludf.DUMMYFUNCTION("""COMPUTED_VALUE"""),45303.66666666667)</f>
        <v>45303.66667</v>
      </c>
      <c r="B6549" s="1">
        <f>IFERROR(__xludf.DUMMYFUNCTION("""COMPUTED_VALUE"""),10363.35)</f>
        <v>10363.35</v>
      </c>
    </row>
    <row r="6550">
      <c r="A6550" s="2">
        <f>IFERROR(__xludf.DUMMYFUNCTION("""COMPUTED_VALUE"""),45307.66666666667)</f>
        <v>45307.66667</v>
      </c>
      <c r="B6550" s="1">
        <f>IFERROR(__xludf.DUMMYFUNCTION("""COMPUTED_VALUE"""),10324.83)</f>
        <v>10324.83</v>
      </c>
    </row>
    <row r="6551">
      <c r="A6551" s="2">
        <f>IFERROR(__xludf.DUMMYFUNCTION("""COMPUTED_VALUE"""),45308.66666666667)</f>
        <v>45308.66667</v>
      </c>
      <c r="B6551" s="1">
        <f>IFERROR(__xludf.DUMMYFUNCTION("""COMPUTED_VALUE"""),10267.05)</f>
        <v>10267.05</v>
      </c>
    </row>
    <row r="6552">
      <c r="A6552" s="2">
        <f>IFERROR(__xludf.DUMMYFUNCTION("""COMPUTED_VALUE"""),45309.66666666667)</f>
        <v>45309.66667</v>
      </c>
      <c r="B6552" s="1">
        <f>IFERROR(__xludf.DUMMYFUNCTION("""COMPUTED_VALUE"""),10358.29)</f>
        <v>10358.29</v>
      </c>
    </row>
    <row r="6553">
      <c r="A6553" s="2">
        <f>IFERROR(__xludf.DUMMYFUNCTION("""COMPUTED_VALUE"""),45310.66666666667)</f>
        <v>45310.66667</v>
      </c>
      <c r="B6553" s="1">
        <f>IFERROR(__xludf.DUMMYFUNCTION("""COMPUTED_VALUE"""),10486.44)</f>
        <v>10486.44</v>
      </c>
    </row>
    <row r="6554">
      <c r="A6554" s="2">
        <f>IFERROR(__xludf.DUMMYFUNCTION("""COMPUTED_VALUE"""),45313.66666666667)</f>
        <v>45313.66667</v>
      </c>
      <c r="B6554" s="1">
        <f>IFERROR(__xludf.DUMMYFUNCTION("""COMPUTED_VALUE"""),10509.44)</f>
        <v>10509.44</v>
      </c>
    </row>
    <row r="6555">
      <c r="A6555" s="2">
        <f>IFERROR(__xludf.DUMMYFUNCTION("""COMPUTED_VALUE"""),45314.66666666667)</f>
        <v>45314.66667</v>
      </c>
      <c r="B6555" s="1">
        <f>IFERROR(__xludf.DUMMYFUNCTION("""COMPUTED_VALUE"""),10540.38)</f>
        <v>10540.38</v>
      </c>
    </row>
    <row r="6556">
      <c r="A6556" s="2">
        <f>IFERROR(__xludf.DUMMYFUNCTION("""COMPUTED_VALUE"""),45315.66666666667)</f>
        <v>45315.66667</v>
      </c>
      <c r="B6556" s="1">
        <f>IFERROR(__xludf.DUMMYFUNCTION("""COMPUTED_VALUE"""),10549.04)</f>
        <v>10549.04</v>
      </c>
    </row>
    <row r="6557">
      <c r="A6557" s="2">
        <f>IFERROR(__xludf.DUMMYFUNCTION("""COMPUTED_VALUE"""),45316.66666666667)</f>
        <v>45316.66667</v>
      </c>
      <c r="B6557" s="1">
        <f>IFERROR(__xludf.DUMMYFUNCTION("""COMPUTED_VALUE"""),10605.13)</f>
        <v>10605.13</v>
      </c>
    </row>
    <row r="6558">
      <c r="A6558" s="2">
        <f>IFERROR(__xludf.DUMMYFUNCTION("""COMPUTED_VALUE"""),45317.66666666667)</f>
        <v>45317.66667</v>
      </c>
      <c r="B6558" s="1">
        <f>IFERROR(__xludf.DUMMYFUNCTION("""COMPUTED_VALUE"""),10598.23)</f>
        <v>10598.23</v>
      </c>
    </row>
    <row r="6559">
      <c r="A6559" s="2">
        <f>IFERROR(__xludf.DUMMYFUNCTION("""COMPUTED_VALUE"""),45320.66666666667)</f>
        <v>45320.66667</v>
      </c>
      <c r="B6559" s="1">
        <f>IFERROR(__xludf.DUMMYFUNCTION("""COMPUTED_VALUE"""),10678.5)</f>
        <v>10678.5</v>
      </c>
    </row>
    <row r="6560">
      <c r="A6560" s="2">
        <f>IFERROR(__xludf.DUMMYFUNCTION("""COMPUTED_VALUE"""),45321.66666666667)</f>
        <v>45321.66667</v>
      </c>
      <c r="B6560" s="1">
        <f>IFERROR(__xludf.DUMMYFUNCTION("""COMPUTED_VALUE"""),10672.95)</f>
        <v>10672.95</v>
      </c>
    </row>
    <row r="6561">
      <c r="A6561" s="2">
        <f>IFERROR(__xludf.DUMMYFUNCTION("""COMPUTED_VALUE"""),45322.66666666667)</f>
        <v>45322.66667</v>
      </c>
      <c r="B6561" s="1">
        <f>IFERROR(__xludf.DUMMYFUNCTION("""COMPUTED_VALUE"""),10501.38)</f>
        <v>10501.38</v>
      </c>
    </row>
    <row r="6562">
      <c r="A6562" s="2">
        <f>IFERROR(__xludf.DUMMYFUNCTION("""COMPUTED_VALUE"""),45323.66666666667)</f>
        <v>45323.66667</v>
      </c>
      <c r="B6562" s="1">
        <f>IFERROR(__xludf.DUMMYFUNCTION("""COMPUTED_VALUE"""),10633.14)</f>
        <v>10633.14</v>
      </c>
    </row>
    <row r="6563">
      <c r="A6563" s="2">
        <f>IFERROR(__xludf.DUMMYFUNCTION("""COMPUTED_VALUE"""),45324.66666666667)</f>
        <v>45324.66667</v>
      </c>
      <c r="B6563" s="1">
        <f>IFERROR(__xludf.DUMMYFUNCTION("""COMPUTED_VALUE"""),10747.25)</f>
        <v>10747.25</v>
      </c>
    </row>
    <row r="6564">
      <c r="A6564" s="2">
        <f>IFERROR(__xludf.DUMMYFUNCTION("""COMPUTED_VALUE"""),45327.66666666667)</f>
        <v>45327.66667</v>
      </c>
      <c r="B6564" s="1">
        <f>IFERROR(__xludf.DUMMYFUNCTION("""COMPUTED_VALUE"""),10713.11)</f>
        <v>10713.11</v>
      </c>
    </row>
    <row r="6565">
      <c r="A6565" s="2">
        <f>IFERROR(__xludf.DUMMYFUNCTION("""COMPUTED_VALUE"""),45328.66666666667)</f>
        <v>45328.66667</v>
      </c>
      <c r="B6565" s="1">
        <f>IFERROR(__xludf.DUMMYFUNCTION("""COMPUTED_VALUE"""),10738.17)</f>
        <v>10738.17</v>
      </c>
    </row>
    <row r="6566">
      <c r="A6566" s="2">
        <f>IFERROR(__xludf.DUMMYFUNCTION("""COMPUTED_VALUE"""),45329.66666666667)</f>
        <v>45329.66667</v>
      </c>
      <c r="B6566" s="1">
        <f>IFERROR(__xludf.DUMMYFUNCTION("""COMPUTED_VALUE"""),10826.81)</f>
        <v>10826.81</v>
      </c>
    </row>
    <row r="6567">
      <c r="A6567" s="2">
        <f>IFERROR(__xludf.DUMMYFUNCTION("""COMPUTED_VALUE"""),45330.66666666667)</f>
        <v>45330.66667</v>
      </c>
      <c r="B6567" s="1">
        <f>IFERROR(__xludf.DUMMYFUNCTION("""COMPUTED_VALUE"""),10834.36)</f>
        <v>10834.36</v>
      </c>
    </row>
    <row r="6568">
      <c r="A6568" s="2">
        <f>IFERROR(__xludf.DUMMYFUNCTION("""COMPUTED_VALUE"""),45331.66666666667)</f>
        <v>45331.66667</v>
      </c>
      <c r="B6568" s="1">
        <f>IFERROR(__xludf.DUMMYFUNCTION("""COMPUTED_VALUE"""),10897.61)</f>
        <v>10897.61</v>
      </c>
    </row>
    <row r="6569">
      <c r="A6569" s="2">
        <f>IFERROR(__xludf.DUMMYFUNCTION("""COMPUTED_VALUE"""),45334.66666666667)</f>
        <v>45334.66667</v>
      </c>
      <c r="B6569" s="1">
        <f>IFERROR(__xludf.DUMMYFUNCTION("""COMPUTED_VALUE"""),10887.41)</f>
        <v>10887.41</v>
      </c>
    </row>
    <row r="6570">
      <c r="A6570" s="2">
        <f>IFERROR(__xludf.DUMMYFUNCTION("""COMPUTED_VALUE"""),45335.66666666667)</f>
        <v>45335.66667</v>
      </c>
      <c r="B6570" s="1">
        <f>IFERROR(__xludf.DUMMYFUNCTION("""COMPUTED_VALUE"""),10739.81)</f>
        <v>10739.81</v>
      </c>
    </row>
    <row r="6571">
      <c r="A6571" s="2">
        <f>IFERROR(__xludf.DUMMYFUNCTION("""COMPUTED_VALUE"""),45336.66666666667)</f>
        <v>45336.66667</v>
      </c>
      <c r="B6571" s="1">
        <f>IFERROR(__xludf.DUMMYFUNCTION("""COMPUTED_VALUE"""),10844.72)</f>
        <v>10844.72</v>
      </c>
    </row>
    <row r="6572">
      <c r="A6572" s="2">
        <f>IFERROR(__xludf.DUMMYFUNCTION("""COMPUTED_VALUE"""),45337.66666666667)</f>
        <v>45337.66667</v>
      </c>
      <c r="B6572" s="1">
        <f>IFERROR(__xludf.DUMMYFUNCTION("""COMPUTED_VALUE"""),10910.31)</f>
        <v>10910.31</v>
      </c>
    </row>
    <row r="6573">
      <c r="A6573" s="2">
        <f>IFERROR(__xludf.DUMMYFUNCTION("""COMPUTED_VALUE"""),45338.66666666667)</f>
        <v>45338.66667</v>
      </c>
      <c r="B6573" s="1">
        <f>IFERROR(__xludf.DUMMYFUNCTION("""COMPUTED_VALUE"""),10859.63)</f>
        <v>10859.63</v>
      </c>
    </row>
    <row r="6574">
      <c r="A6574" s="2">
        <f>IFERROR(__xludf.DUMMYFUNCTION("""COMPUTED_VALUE"""),45342.66666666667)</f>
        <v>45342.66667</v>
      </c>
      <c r="B6574" s="1">
        <f>IFERROR(__xludf.DUMMYFUNCTION("""COMPUTED_VALUE"""),10794.8)</f>
        <v>10794.8</v>
      </c>
    </row>
    <row r="6575">
      <c r="A6575" s="2">
        <f>IFERROR(__xludf.DUMMYFUNCTION("""COMPUTED_VALUE"""),45343.66666666667)</f>
        <v>45343.66667</v>
      </c>
      <c r="B6575" s="1">
        <f>IFERROR(__xludf.DUMMYFUNCTION("""COMPUTED_VALUE"""),10808.93)</f>
        <v>10808.93</v>
      </c>
    </row>
    <row r="6576">
      <c r="A6576" s="2">
        <f>IFERROR(__xludf.DUMMYFUNCTION("""COMPUTED_VALUE"""),45344.66666666667)</f>
        <v>45344.66667</v>
      </c>
      <c r="B6576" s="1">
        <f>IFERROR(__xludf.DUMMYFUNCTION("""COMPUTED_VALUE"""),11037.82)</f>
        <v>11037.82</v>
      </c>
    </row>
    <row r="6577">
      <c r="A6577" s="2">
        <f>IFERROR(__xludf.DUMMYFUNCTION("""COMPUTED_VALUE"""),45345.66666666667)</f>
        <v>45345.66667</v>
      </c>
      <c r="B6577" s="1">
        <f>IFERROR(__xludf.DUMMYFUNCTION("""COMPUTED_VALUE"""),11041.9)</f>
        <v>11041.9</v>
      </c>
    </row>
    <row r="6578">
      <c r="A6578" s="2">
        <f>IFERROR(__xludf.DUMMYFUNCTION("""COMPUTED_VALUE"""),45348.66666666667)</f>
        <v>45348.66667</v>
      </c>
      <c r="B6578" s="1">
        <f>IFERROR(__xludf.DUMMYFUNCTION("""COMPUTED_VALUE"""),11000.5)</f>
        <v>11000.5</v>
      </c>
    </row>
    <row r="6579">
      <c r="A6579" s="2">
        <f>IFERROR(__xludf.DUMMYFUNCTION("""COMPUTED_VALUE"""),45349.66666666667)</f>
        <v>45349.66667</v>
      </c>
      <c r="B6579" s="1">
        <f>IFERROR(__xludf.DUMMYFUNCTION("""COMPUTED_VALUE"""),11019.44)</f>
        <v>11019.44</v>
      </c>
    </row>
    <row r="6580">
      <c r="A6580" s="2">
        <f>IFERROR(__xludf.DUMMYFUNCTION("""COMPUTED_VALUE"""),45350.66666666667)</f>
        <v>45350.66667</v>
      </c>
      <c r="B6580" s="1">
        <f>IFERROR(__xludf.DUMMYFUNCTION("""COMPUTED_VALUE"""),11002.2)</f>
        <v>11002.2</v>
      </c>
    </row>
    <row r="6581">
      <c r="A6581" s="2">
        <f>IFERROR(__xludf.DUMMYFUNCTION("""COMPUTED_VALUE"""),45351.66666666667)</f>
        <v>45351.66667</v>
      </c>
      <c r="B6581" s="1">
        <f>IFERROR(__xludf.DUMMYFUNCTION("""COMPUTED_VALUE"""),11062.11)</f>
        <v>11062.11</v>
      </c>
    </row>
    <row r="6582">
      <c r="A6582" s="2">
        <f>IFERROR(__xludf.DUMMYFUNCTION("""COMPUTED_VALUE"""),45352.66666666667)</f>
        <v>45352.66667</v>
      </c>
      <c r="B6582" s="1">
        <f>IFERROR(__xludf.DUMMYFUNCTION("""COMPUTED_VALUE"""),11151.34)</f>
        <v>11151.34</v>
      </c>
    </row>
    <row r="6583">
      <c r="A6583" s="2">
        <f>IFERROR(__xludf.DUMMYFUNCTION("""COMPUTED_VALUE"""),45355.66666666667)</f>
        <v>45355.66667</v>
      </c>
      <c r="B6583" s="1">
        <f>IFERROR(__xludf.DUMMYFUNCTION("""COMPUTED_VALUE"""),11138.43)</f>
        <v>11138.43</v>
      </c>
    </row>
    <row r="6584">
      <c r="A6584" s="2">
        <f>IFERROR(__xludf.DUMMYFUNCTION("""COMPUTED_VALUE"""),45356.66666666667)</f>
        <v>45356.66667</v>
      </c>
      <c r="B6584" s="1">
        <f>IFERROR(__xludf.DUMMYFUNCTION("""COMPUTED_VALUE"""),11025.16)</f>
        <v>11025.16</v>
      </c>
    </row>
    <row r="6585">
      <c r="A6585" s="2">
        <f>IFERROR(__xludf.DUMMYFUNCTION("""COMPUTED_VALUE"""),45357.66666666667)</f>
        <v>45357.66667</v>
      </c>
      <c r="B6585" s="1">
        <f>IFERROR(__xludf.DUMMYFUNCTION("""COMPUTED_VALUE"""),11082.65)</f>
        <v>11082.65</v>
      </c>
    </row>
    <row r="6586">
      <c r="A6586" s="2">
        <f>IFERROR(__xludf.DUMMYFUNCTION("""COMPUTED_VALUE"""),45358.66666666667)</f>
        <v>45358.66667</v>
      </c>
      <c r="B6586" s="1">
        <f>IFERROR(__xludf.DUMMYFUNCTION("""COMPUTED_VALUE"""),11198.39)</f>
        <v>11198.39</v>
      </c>
    </row>
    <row r="6587">
      <c r="A6587" s="2">
        <f>IFERROR(__xludf.DUMMYFUNCTION("""COMPUTED_VALUE"""),45359.66666666667)</f>
        <v>45359.66667</v>
      </c>
      <c r="B6587" s="1">
        <f>IFERROR(__xludf.DUMMYFUNCTION("""COMPUTED_VALUE"""),11126.07)</f>
        <v>11126.07</v>
      </c>
    </row>
    <row r="6588">
      <c r="A6588" s="2">
        <f>IFERROR(__xludf.DUMMYFUNCTION("""COMPUTED_VALUE"""),45362.66666666667)</f>
        <v>45362.66667</v>
      </c>
      <c r="B6588" s="1">
        <f>IFERROR(__xludf.DUMMYFUNCTION("""COMPUTED_VALUE"""),11113.61)</f>
        <v>11113.61</v>
      </c>
    </row>
    <row r="6589">
      <c r="A6589" s="2">
        <f>IFERROR(__xludf.DUMMYFUNCTION("""COMPUTED_VALUE"""),45363.66666666667)</f>
        <v>45363.66667</v>
      </c>
      <c r="B6589" s="1">
        <f>IFERROR(__xludf.DUMMYFUNCTION("""COMPUTED_VALUE"""),11238.46)</f>
        <v>11238.46</v>
      </c>
    </row>
    <row r="6590">
      <c r="A6590" s="2">
        <f>IFERROR(__xludf.DUMMYFUNCTION("""COMPUTED_VALUE"""),45364.66666666667)</f>
        <v>45364.66667</v>
      </c>
      <c r="B6590" s="1">
        <f>IFERROR(__xludf.DUMMYFUNCTION("""COMPUTED_VALUE"""),11217.3)</f>
        <v>11217.3</v>
      </c>
    </row>
    <row r="6591">
      <c r="A6591" s="2">
        <f>IFERROR(__xludf.DUMMYFUNCTION("""COMPUTED_VALUE"""),45365.66666666667)</f>
        <v>45365.66667</v>
      </c>
      <c r="B6591" s="1">
        <f>IFERROR(__xludf.DUMMYFUNCTION("""COMPUTED_VALUE"""),11187.85)</f>
        <v>11187.85</v>
      </c>
    </row>
    <row r="6592">
      <c r="A6592" s="2">
        <f>IFERROR(__xludf.DUMMYFUNCTION("""COMPUTED_VALUE"""),45366.66666666667)</f>
        <v>45366.66667</v>
      </c>
      <c r="B6592" s="1">
        <f>IFERROR(__xludf.DUMMYFUNCTION("""COMPUTED_VALUE"""),11115.69)</f>
        <v>11115.69</v>
      </c>
    </row>
    <row r="6593">
      <c r="A6593" s="2">
        <f>IFERROR(__xludf.DUMMYFUNCTION("""COMPUTED_VALUE"""),45369.66666666667)</f>
        <v>45369.66667</v>
      </c>
      <c r="B6593" s="1">
        <f>IFERROR(__xludf.DUMMYFUNCTION("""COMPUTED_VALUE"""),11186.04)</f>
        <v>11186.04</v>
      </c>
    </row>
    <row r="6594">
      <c r="A6594" s="2">
        <f>IFERROR(__xludf.DUMMYFUNCTION("""COMPUTED_VALUE"""),45370.66666666667)</f>
        <v>45370.66667</v>
      </c>
      <c r="B6594" s="1">
        <f>IFERROR(__xludf.DUMMYFUNCTION("""COMPUTED_VALUE"""),11249.23)</f>
        <v>11249.23</v>
      </c>
    </row>
    <row r="6595">
      <c r="A6595" s="2">
        <f>IFERROR(__xludf.DUMMYFUNCTION("""COMPUTED_VALUE"""),45371.66666666667)</f>
        <v>45371.66667</v>
      </c>
      <c r="B6595" s="1">
        <f>IFERROR(__xludf.DUMMYFUNCTION("""COMPUTED_VALUE"""),11350.89)</f>
        <v>11350.89</v>
      </c>
    </row>
    <row r="6596">
      <c r="A6596" s="2">
        <f>IFERROR(__xludf.DUMMYFUNCTION("""COMPUTED_VALUE"""),45372.66666666667)</f>
        <v>45372.66667</v>
      </c>
      <c r="B6596" s="1">
        <f>IFERROR(__xludf.DUMMYFUNCTION("""COMPUTED_VALUE"""),11387.89)</f>
        <v>11387.89</v>
      </c>
    </row>
    <row r="6597">
      <c r="A6597" s="2">
        <f>IFERROR(__xludf.DUMMYFUNCTION("""COMPUTED_VALUE"""),45373.66666666667)</f>
        <v>45373.66667</v>
      </c>
      <c r="B6597" s="1">
        <f>IFERROR(__xludf.DUMMYFUNCTION("""COMPUTED_VALUE"""),11372.49)</f>
        <v>11372.49</v>
      </c>
    </row>
    <row r="6598">
      <c r="A6598" s="2">
        <f>IFERROR(__xludf.DUMMYFUNCTION("""COMPUTED_VALUE"""),45376.66666666667)</f>
        <v>45376.66667</v>
      </c>
      <c r="B6598" s="1">
        <f>IFERROR(__xludf.DUMMYFUNCTION("""COMPUTED_VALUE"""),11337.74)</f>
        <v>11337.74</v>
      </c>
    </row>
    <row r="6599">
      <c r="A6599" s="2">
        <f>IFERROR(__xludf.DUMMYFUNCTION("""COMPUTED_VALUE"""),45377.66666666667)</f>
        <v>45377.66667</v>
      </c>
      <c r="B6599" s="1">
        <f>IFERROR(__xludf.DUMMYFUNCTION("""COMPUTED_VALUE"""),11306.01)</f>
        <v>11306.01</v>
      </c>
    </row>
    <row r="6600">
      <c r="A6600" s="2">
        <f>IFERROR(__xludf.DUMMYFUNCTION("""COMPUTED_VALUE"""),45378.66666666667)</f>
        <v>45378.66667</v>
      </c>
      <c r="B6600" s="1">
        <f>IFERROR(__xludf.DUMMYFUNCTION("""COMPUTED_VALUE"""),11404.95)</f>
        <v>11404.95</v>
      </c>
    </row>
    <row r="6601">
      <c r="A6601" s="2">
        <f>IFERROR(__xludf.DUMMYFUNCTION("""COMPUTED_VALUE"""),45379.66666666667)</f>
        <v>45379.66667</v>
      </c>
      <c r="B6601" s="1">
        <f>IFERROR(__xludf.DUMMYFUNCTION("""COMPUTED_VALUE"""),11418.03)</f>
        <v>11418.03</v>
      </c>
    </row>
    <row r="6602">
      <c r="A6602" s="2">
        <f>IFERROR(__xludf.DUMMYFUNCTION("""COMPUTED_VALUE"""),45383.66666666667)</f>
        <v>45383.66667</v>
      </c>
      <c r="B6602" s="1">
        <f>IFERROR(__xludf.DUMMYFUNCTION("""COMPUTED_VALUE"""),11395.08)</f>
        <v>11395.08</v>
      </c>
    </row>
    <row r="6603">
      <c r="A6603" s="2">
        <f>IFERROR(__xludf.DUMMYFUNCTION("""COMPUTED_VALUE"""),45384.66666666667)</f>
        <v>45384.66667</v>
      </c>
      <c r="B6603" s="1">
        <f>IFERROR(__xludf.DUMMYFUNCTION("""COMPUTED_VALUE"""),11312.9)</f>
        <v>11312.9</v>
      </c>
    </row>
    <row r="6604">
      <c r="A6604" s="2">
        <f>IFERROR(__xludf.DUMMYFUNCTION("""COMPUTED_VALUE"""),45385.66666666667)</f>
        <v>45385.66667</v>
      </c>
      <c r="B6604" s="1">
        <f>IFERROR(__xludf.DUMMYFUNCTION("""COMPUTED_VALUE"""),11325.78)</f>
        <v>11325.78</v>
      </c>
    </row>
    <row r="6605">
      <c r="A6605" s="2">
        <f>IFERROR(__xludf.DUMMYFUNCTION("""COMPUTED_VALUE"""),45386.66666666667)</f>
        <v>45386.66667</v>
      </c>
      <c r="B6605" s="1">
        <f>IFERROR(__xludf.DUMMYFUNCTION("""COMPUTED_VALUE"""),11187.49)</f>
        <v>11187.49</v>
      </c>
    </row>
    <row r="6606">
      <c r="A6606" s="2">
        <f>IFERROR(__xludf.DUMMYFUNCTION("""COMPUTED_VALUE"""),45387.66666666667)</f>
        <v>45387.66667</v>
      </c>
      <c r="B6606" s="1">
        <f>IFERROR(__xludf.DUMMYFUNCTION("""COMPUTED_VALUE"""),11311.7)</f>
        <v>11311.7</v>
      </c>
    </row>
    <row r="6607">
      <c r="A6607" s="2">
        <f>IFERROR(__xludf.DUMMYFUNCTION("""COMPUTED_VALUE"""),45390.66666666667)</f>
        <v>45390.66667</v>
      </c>
      <c r="B6607" s="1">
        <f>IFERROR(__xludf.DUMMYFUNCTION("""COMPUTED_VALUE"""),11307.66)</f>
        <v>11307.66</v>
      </c>
    </row>
    <row r="6608">
      <c r="A6608" s="2">
        <f>IFERROR(__xludf.DUMMYFUNCTION("""COMPUTED_VALUE"""),45391.66666666667)</f>
        <v>45391.66667</v>
      </c>
      <c r="B6608" s="1">
        <f>IFERROR(__xludf.DUMMYFUNCTION("""COMPUTED_VALUE"""),11325.63)</f>
        <v>11325.63</v>
      </c>
    </row>
    <row r="6609">
      <c r="A6609" s="2">
        <f>IFERROR(__xludf.DUMMYFUNCTION("""COMPUTED_VALUE"""),45392.66666666667)</f>
        <v>45392.66667</v>
      </c>
      <c r="B6609" s="1">
        <f>IFERROR(__xludf.DUMMYFUNCTION("""COMPUTED_VALUE"""),11218.73)</f>
        <v>11218.73</v>
      </c>
    </row>
    <row r="6610">
      <c r="A6610" s="2">
        <f>IFERROR(__xludf.DUMMYFUNCTION("""COMPUTED_VALUE"""),45393.66666666667)</f>
        <v>45393.66667</v>
      </c>
      <c r="B6610" s="1">
        <f>IFERROR(__xludf.DUMMYFUNCTION("""COMPUTED_VALUE"""),11302.53)</f>
        <v>11302.53</v>
      </c>
    </row>
    <row r="6611">
      <c r="A6611" s="2">
        <f>IFERROR(__xludf.DUMMYFUNCTION("""COMPUTED_VALUE"""),45394.66666666667)</f>
        <v>45394.66667</v>
      </c>
      <c r="B6611" s="1">
        <f>IFERROR(__xludf.DUMMYFUNCTION("""COMPUTED_VALUE"""),11139.38)</f>
        <v>11139.38</v>
      </c>
    </row>
    <row r="6612">
      <c r="A6612" s="2">
        <f>IFERROR(__xludf.DUMMYFUNCTION("""COMPUTED_VALUE"""),45397.66666666667)</f>
        <v>45397.66667</v>
      </c>
      <c r="B6612" s="1">
        <f>IFERROR(__xludf.DUMMYFUNCTION("""COMPUTED_VALUE"""),11005.61)</f>
        <v>11005.61</v>
      </c>
    </row>
    <row r="6613">
      <c r="A6613" s="2">
        <f>IFERROR(__xludf.DUMMYFUNCTION("""COMPUTED_VALUE"""),45398.66666666667)</f>
        <v>45398.66667</v>
      </c>
      <c r="B6613" s="1">
        <f>IFERROR(__xludf.DUMMYFUNCTION("""COMPUTED_VALUE"""),10982.99)</f>
        <v>10982.99</v>
      </c>
    </row>
    <row r="6614">
      <c r="A6614" s="2">
        <f>IFERROR(__xludf.DUMMYFUNCTION("""COMPUTED_VALUE"""),45399.66666666667)</f>
        <v>45399.66667</v>
      </c>
      <c r="B6614" s="1">
        <f>IFERROR(__xludf.DUMMYFUNCTION("""COMPUTED_VALUE"""),10919.49)</f>
        <v>10919.49</v>
      </c>
    </row>
    <row r="6615">
      <c r="A6615" s="2">
        <f>IFERROR(__xludf.DUMMYFUNCTION("""COMPUTED_VALUE"""),45400.66666666667)</f>
        <v>45400.66667</v>
      </c>
      <c r="B6615" s="1">
        <f>IFERROR(__xludf.DUMMYFUNCTION("""COMPUTED_VALUE"""),10896.07)</f>
        <v>10896.07</v>
      </c>
    </row>
    <row r="6616">
      <c r="A6616" s="2">
        <f>IFERROR(__xludf.DUMMYFUNCTION("""COMPUTED_VALUE"""),45401.66666666667)</f>
        <v>45401.66667</v>
      </c>
      <c r="B6616" s="1">
        <f>IFERROR(__xludf.DUMMYFUNCTION("""COMPUTED_VALUE"""),10801.16)</f>
        <v>10801.16</v>
      </c>
    </row>
    <row r="6617">
      <c r="A6617" s="2">
        <f>IFERROR(__xludf.DUMMYFUNCTION("""COMPUTED_VALUE"""),45404.66666666667)</f>
        <v>45404.66667</v>
      </c>
      <c r="B6617" s="1">
        <f>IFERROR(__xludf.DUMMYFUNCTION("""COMPUTED_VALUE"""),10895.47)</f>
        <v>10895.47</v>
      </c>
    </row>
    <row r="6618">
      <c r="A6618" s="2">
        <f>IFERROR(__xludf.DUMMYFUNCTION("""COMPUTED_VALUE"""),45405.66666666667)</f>
        <v>45405.66667</v>
      </c>
      <c r="B6618" s="1">
        <f>IFERROR(__xludf.DUMMYFUNCTION("""COMPUTED_VALUE"""),11026.06)</f>
        <v>11026.06</v>
      </c>
    </row>
    <row r="6619">
      <c r="A6619" s="2">
        <f>IFERROR(__xludf.DUMMYFUNCTION("""COMPUTED_VALUE"""),45406.66666666667)</f>
        <v>45406.66667</v>
      </c>
      <c r="B6619" s="1">
        <f>IFERROR(__xludf.DUMMYFUNCTION("""COMPUTED_VALUE"""),11028.46)</f>
        <v>11028.46</v>
      </c>
    </row>
    <row r="6620">
      <c r="A6620" s="2">
        <f>IFERROR(__xludf.DUMMYFUNCTION("""COMPUTED_VALUE"""),45407.66666666667)</f>
        <v>45407.66667</v>
      </c>
      <c r="B6620" s="1">
        <f>IFERROR(__xludf.DUMMYFUNCTION("""COMPUTED_VALUE"""),10978.2)</f>
        <v>10978.2</v>
      </c>
    </row>
    <row r="6621">
      <c r="A6621" s="2">
        <f>IFERROR(__xludf.DUMMYFUNCTION("""COMPUTED_VALUE"""),45408.66666666667)</f>
        <v>45408.66667</v>
      </c>
      <c r="B6621" s="1">
        <f>IFERROR(__xludf.DUMMYFUNCTION("""COMPUTED_VALUE"""),11090.46)</f>
        <v>11090.46</v>
      </c>
    </row>
    <row r="6622">
      <c r="A6622" s="2">
        <f>IFERROR(__xludf.DUMMYFUNCTION("""COMPUTED_VALUE"""),45411.66666666667)</f>
        <v>45411.66667</v>
      </c>
      <c r="B6622" s="1">
        <f>IFERROR(__xludf.DUMMYFUNCTION("""COMPUTED_VALUE"""),11126.28)</f>
        <v>11126.28</v>
      </c>
    </row>
    <row r="6623">
      <c r="A6623" s="2">
        <f>IFERROR(__xludf.DUMMYFUNCTION("""COMPUTED_VALUE"""),45412.66666666667)</f>
        <v>45412.66667</v>
      </c>
      <c r="B6623" s="1">
        <f>IFERROR(__xludf.DUMMYFUNCTION("""COMPUTED_VALUE"""),10951.66)</f>
        <v>10951.66</v>
      </c>
    </row>
    <row r="6624">
      <c r="A6624" s="2">
        <f>IFERROR(__xludf.DUMMYFUNCTION("""COMPUTED_VALUE"""),45413.66666666667)</f>
        <v>45413.66667</v>
      </c>
      <c r="B6624" s="1">
        <f>IFERROR(__xludf.DUMMYFUNCTION("""COMPUTED_VALUE"""),10914.11)</f>
        <v>10914.11</v>
      </c>
    </row>
    <row r="6625">
      <c r="A6625" s="2">
        <f>IFERROR(__xludf.DUMMYFUNCTION("""COMPUTED_VALUE"""),45414.66666666667)</f>
        <v>45414.66667</v>
      </c>
      <c r="B6625" s="1">
        <f>IFERROR(__xludf.DUMMYFUNCTION("""COMPUTED_VALUE"""),11013.91)</f>
        <v>11013.91</v>
      </c>
    </row>
    <row r="6626">
      <c r="A6626" s="2">
        <f>IFERROR(__xludf.DUMMYFUNCTION("""COMPUTED_VALUE"""),45415.66666666667)</f>
        <v>45415.66667</v>
      </c>
      <c r="B6626" s="1">
        <f>IFERROR(__xludf.DUMMYFUNCTION("""COMPUTED_VALUE"""),11152.76)</f>
        <v>11152.76</v>
      </c>
    </row>
    <row r="6627">
      <c r="A6627" s="2">
        <f>IFERROR(__xludf.DUMMYFUNCTION("""COMPUTED_VALUE"""),45418.66666666667)</f>
        <v>45418.66667</v>
      </c>
      <c r="B6627" s="1">
        <f>IFERROR(__xludf.DUMMYFUNCTION("""COMPUTED_VALUE"""),11268.23)</f>
        <v>11268.23</v>
      </c>
    </row>
    <row r="6628">
      <c r="A6628" s="2">
        <f>IFERROR(__xludf.DUMMYFUNCTION("""COMPUTED_VALUE"""),45419.66666666667)</f>
        <v>45419.66667</v>
      </c>
      <c r="B6628" s="1">
        <f>IFERROR(__xludf.DUMMYFUNCTION("""COMPUTED_VALUE"""),11283.96)</f>
        <v>11283.96</v>
      </c>
    </row>
    <row r="6629">
      <c r="A6629" s="2">
        <f>IFERROR(__xludf.DUMMYFUNCTION("""COMPUTED_VALUE"""),45420.66666666667)</f>
        <v>45420.66667</v>
      </c>
      <c r="B6629" s="1">
        <f>IFERROR(__xludf.DUMMYFUNCTION("""COMPUTED_VALUE"""),11283.91)</f>
        <v>11283.91</v>
      </c>
    </row>
    <row r="6630">
      <c r="A6630" s="2">
        <f>IFERROR(__xludf.DUMMYFUNCTION("""COMPUTED_VALUE"""),45421.66666666667)</f>
        <v>45421.66667</v>
      </c>
      <c r="B6630" s="1">
        <f>IFERROR(__xludf.DUMMYFUNCTION("""COMPUTED_VALUE"""),11343.55)</f>
        <v>11343.55</v>
      </c>
    </row>
    <row r="6631">
      <c r="A6631" s="2">
        <f>IFERROR(__xludf.DUMMYFUNCTION("""COMPUTED_VALUE"""),45422.66666666667)</f>
        <v>45422.66667</v>
      </c>
      <c r="B6631" s="1">
        <f>IFERROR(__xludf.DUMMYFUNCTION("""COMPUTED_VALUE"""),11364.04)</f>
        <v>11364.04</v>
      </c>
    </row>
    <row r="6632">
      <c r="A6632" s="2">
        <f>IFERROR(__xludf.DUMMYFUNCTION("""COMPUTED_VALUE"""),45425.66666666667)</f>
        <v>45425.66667</v>
      </c>
      <c r="B6632" s="1">
        <f>IFERROR(__xludf.DUMMYFUNCTION("""COMPUTED_VALUE"""),11361.46)</f>
        <v>11361.46</v>
      </c>
    </row>
    <row r="6633">
      <c r="A6633" s="2">
        <f>IFERROR(__xludf.DUMMYFUNCTION("""COMPUTED_VALUE"""),45426.66666666667)</f>
        <v>45426.66667</v>
      </c>
      <c r="B6633" s="1">
        <f>IFERROR(__xludf.DUMMYFUNCTION("""COMPUTED_VALUE"""),11418.12)</f>
        <v>11418.12</v>
      </c>
    </row>
    <row r="6634">
      <c r="A6634" s="2">
        <f>IFERROR(__xludf.DUMMYFUNCTION("""COMPUTED_VALUE"""),45427.66666666667)</f>
        <v>45427.66667</v>
      </c>
      <c r="B6634" s="1">
        <f>IFERROR(__xludf.DUMMYFUNCTION("""COMPUTED_VALUE"""),11554.04)</f>
        <v>11554.04</v>
      </c>
    </row>
    <row r="6635">
      <c r="A6635" s="2">
        <f>IFERROR(__xludf.DUMMYFUNCTION("""COMPUTED_VALUE"""),45428.66666666667)</f>
        <v>45428.66667</v>
      </c>
      <c r="B6635" s="1">
        <f>IFERROR(__xludf.DUMMYFUNCTION("""COMPUTED_VALUE"""),11532.36)</f>
        <v>11532.36</v>
      </c>
    </row>
    <row r="6636">
      <c r="A6636" s="2">
        <f>IFERROR(__xludf.DUMMYFUNCTION("""COMPUTED_VALUE"""),45429.66666666667)</f>
        <v>45429.66667</v>
      </c>
      <c r="B6636" s="1">
        <f>IFERROR(__xludf.DUMMYFUNCTION("""COMPUTED_VALUE"""),11546.28)</f>
        <v>11546.28</v>
      </c>
    </row>
    <row r="6637">
      <c r="A6637" s="2">
        <f>IFERROR(__xludf.DUMMYFUNCTION("""COMPUTED_VALUE"""),45432.66666666667)</f>
        <v>45432.66667</v>
      </c>
      <c r="B6637" s="1">
        <f>IFERROR(__xludf.DUMMYFUNCTION("""COMPUTED_VALUE"""),11557.84)</f>
        <v>11557.84</v>
      </c>
    </row>
    <row r="6638">
      <c r="A6638" s="2">
        <f>IFERROR(__xludf.DUMMYFUNCTION("""COMPUTED_VALUE"""),45433.66666666667)</f>
        <v>45433.66667</v>
      </c>
      <c r="B6638" s="1">
        <f>IFERROR(__xludf.DUMMYFUNCTION("""COMPUTED_VALUE"""),11587.05)</f>
        <v>11587.05</v>
      </c>
    </row>
    <row r="6639">
      <c r="A6639" s="2">
        <f>IFERROR(__xludf.DUMMYFUNCTION("""COMPUTED_VALUE"""),45434.66666666667)</f>
        <v>45434.66667</v>
      </c>
      <c r="B6639" s="1">
        <f>IFERROR(__xludf.DUMMYFUNCTION("""COMPUTED_VALUE"""),11555.84)</f>
        <v>11555.84</v>
      </c>
    </row>
    <row r="6640">
      <c r="A6640" s="2">
        <f>IFERROR(__xludf.DUMMYFUNCTION("""COMPUTED_VALUE"""),45435.66666666667)</f>
        <v>45435.66667</v>
      </c>
      <c r="B6640" s="1">
        <f>IFERROR(__xludf.DUMMYFUNCTION("""COMPUTED_VALUE"""),11470.98)</f>
        <v>11470.98</v>
      </c>
    </row>
    <row r="6641">
      <c r="A6641" s="2">
        <f>IFERROR(__xludf.DUMMYFUNCTION("""COMPUTED_VALUE"""),45436.66666666667)</f>
        <v>45436.66667</v>
      </c>
      <c r="B6641" s="1">
        <f>IFERROR(__xludf.DUMMYFUNCTION("""COMPUTED_VALUE"""),11551.56)</f>
        <v>11551.56</v>
      </c>
    </row>
    <row r="6642">
      <c r="A6642" s="2">
        <f>IFERROR(__xludf.DUMMYFUNCTION("""COMPUTED_VALUE"""),45440.66666666667)</f>
        <v>45440.66667</v>
      </c>
      <c r="B6642" s="1">
        <f>IFERROR(__xludf.DUMMYFUNCTION("""COMPUTED_VALUE"""),11554.45)</f>
        <v>11554.45</v>
      </c>
    </row>
    <row r="6643">
      <c r="A6643" s="2">
        <f>IFERROR(__xludf.DUMMYFUNCTION("""COMPUTED_VALUE"""),45441.66666666667)</f>
        <v>45441.66667</v>
      </c>
      <c r="B6643" s="1">
        <f>IFERROR(__xludf.DUMMYFUNCTION("""COMPUTED_VALUE"""),11469.46)</f>
        <v>11469.46</v>
      </c>
    </row>
    <row r="6644">
      <c r="A6644" s="2">
        <f>IFERROR(__xludf.DUMMYFUNCTION("""COMPUTED_VALUE"""),45442.66666666667)</f>
        <v>45442.66667</v>
      </c>
      <c r="B6644" s="1">
        <f>IFERROR(__xludf.DUMMYFUNCTION("""COMPUTED_VALUE"""),11402.1)</f>
        <v>11402.1</v>
      </c>
    </row>
    <row r="6645">
      <c r="A6645" s="2">
        <f>IFERROR(__xludf.DUMMYFUNCTION("""COMPUTED_VALUE"""),45443.66666666667)</f>
        <v>45443.66667</v>
      </c>
      <c r="B6645" s="1">
        <f>IFERROR(__xludf.DUMMYFUNCTION("""COMPUTED_VALUE"""),11494.7)</f>
        <v>11494.7</v>
      </c>
    </row>
    <row r="6646">
      <c r="A6646" s="2">
        <f>IFERROR(__xludf.DUMMYFUNCTION("""COMPUTED_VALUE"""),45446.66666666667)</f>
        <v>45446.66667</v>
      </c>
      <c r="B6646" s="1">
        <f>IFERROR(__xludf.DUMMYFUNCTION("""COMPUTED_VALUE"""),11508.89)</f>
        <v>11508.89</v>
      </c>
    </row>
    <row r="6647">
      <c r="A6647" s="2">
        <f>IFERROR(__xludf.DUMMYFUNCTION("""COMPUTED_VALUE"""),45447.66666666667)</f>
        <v>45447.66667</v>
      </c>
      <c r="B6647" s="1">
        <f>IFERROR(__xludf.DUMMYFUNCTION("""COMPUTED_VALUE"""),11526.81)</f>
        <v>11526.81</v>
      </c>
    </row>
    <row r="6648">
      <c r="A6648" s="2">
        <f>IFERROR(__xludf.DUMMYFUNCTION("""COMPUTED_VALUE"""),45448.66666666667)</f>
        <v>45448.66667</v>
      </c>
      <c r="B6648" s="1">
        <f>IFERROR(__xludf.DUMMYFUNCTION("""COMPUTED_VALUE"""),11663.55)</f>
        <v>11663.55</v>
      </c>
    </row>
    <row r="6649">
      <c r="A6649" s="2">
        <f>IFERROR(__xludf.DUMMYFUNCTION("""COMPUTED_VALUE"""),45449.66666666667)</f>
        <v>45449.66667</v>
      </c>
      <c r="B6649" s="1">
        <f>IFERROR(__xludf.DUMMYFUNCTION("""COMPUTED_VALUE"""),11661.37)</f>
        <v>11661.37</v>
      </c>
    </row>
    <row r="6650">
      <c r="A6650" s="2">
        <f>IFERROR(__xludf.DUMMYFUNCTION("""COMPUTED_VALUE"""),45450.66666666667)</f>
        <v>45450.66667</v>
      </c>
      <c r="B6650" s="1">
        <f>IFERROR(__xludf.DUMMYFUNCTION("""COMPUTED_VALUE"""),11650.49)</f>
        <v>11650.49</v>
      </c>
    </row>
    <row r="6651">
      <c r="A6651" s="2">
        <f>IFERROR(__xludf.DUMMYFUNCTION("""COMPUTED_VALUE"""),45453.66666666667)</f>
        <v>45453.66667</v>
      </c>
      <c r="B6651" s="1">
        <f>IFERROR(__xludf.DUMMYFUNCTION("""COMPUTED_VALUE"""),11681.54)</f>
        <v>11681.54</v>
      </c>
    </row>
    <row r="6652">
      <c r="A6652" s="2">
        <f>IFERROR(__xludf.DUMMYFUNCTION("""COMPUTED_VALUE"""),45454.66666666667)</f>
        <v>45454.66667</v>
      </c>
      <c r="B6652" s="1">
        <f>IFERROR(__xludf.DUMMYFUNCTION("""COMPUTED_VALUE"""),11713.3)</f>
        <v>11713.3</v>
      </c>
    </row>
    <row r="6653">
      <c r="A6653" s="2">
        <f>IFERROR(__xludf.DUMMYFUNCTION("""COMPUTED_VALUE"""),45455.66666666667)</f>
        <v>45455.66667</v>
      </c>
      <c r="B6653" s="1">
        <f>IFERROR(__xludf.DUMMYFUNCTION("""COMPUTED_VALUE"""),11813.17)</f>
        <v>11813.17</v>
      </c>
    </row>
    <row r="6654">
      <c r="A6654" s="2">
        <f>IFERROR(__xludf.DUMMYFUNCTION("""COMPUTED_VALUE"""),45456.66666666667)</f>
        <v>45456.66667</v>
      </c>
      <c r="B6654" s="1">
        <f>IFERROR(__xludf.DUMMYFUNCTION("""COMPUTED_VALUE"""),11841.02)</f>
        <v>11841.02</v>
      </c>
    </row>
    <row r="6655">
      <c r="A6655" s="2">
        <f>IFERROR(__xludf.DUMMYFUNCTION("""COMPUTED_VALUE"""),45457.66666666667)</f>
        <v>45457.66667</v>
      </c>
      <c r="B6655" s="1">
        <f>IFERROR(__xludf.DUMMYFUNCTION("""COMPUTED_VALUE"""),11839.27)</f>
        <v>11839.27</v>
      </c>
    </row>
    <row r="6656">
      <c r="A6656" s="2">
        <f>IFERROR(__xludf.DUMMYFUNCTION("""COMPUTED_VALUE"""),45460.66666666667)</f>
        <v>45460.66667</v>
      </c>
      <c r="B6656" s="1">
        <f>IFERROR(__xludf.DUMMYFUNCTION("""COMPUTED_VALUE"""),11931.48)</f>
        <v>11931.48</v>
      </c>
    </row>
    <row r="6657">
      <c r="A6657" s="2">
        <f>IFERROR(__xludf.DUMMYFUNCTION("""COMPUTED_VALUE"""),45461.66666666667)</f>
        <v>45461.66667</v>
      </c>
      <c r="B6657" s="1">
        <f>IFERROR(__xludf.DUMMYFUNCTION("""COMPUTED_VALUE"""),11961.93)</f>
        <v>11961.93</v>
      </c>
    </row>
    <row r="6658">
      <c r="A6658" s="2">
        <f>IFERROR(__xludf.DUMMYFUNCTION("""COMPUTED_VALUE"""),45463.66666666667)</f>
        <v>45463.66667</v>
      </c>
      <c r="B6658" s="1">
        <f>IFERROR(__xludf.DUMMYFUNCTION("""COMPUTED_VALUE"""),11931.8)</f>
        <v>11931.8</v>
      </c>
    </row>
    <row r="6659">
      <c r="A6659" s="2">
        <f>IFERROR(__xludf.DUMMYFUNCTION("""COMPUTED_VALUE"""),45464.66666666667)</f>
        <v>45464.66667</v>
      </c>
      <c r="B6659" s="1">
        <f>IFERROR(__xludf.DUMMYFUNCTION("""COMPUTED_VALUE"""),11913.78)</f>
        <v>11913.78</v>
      </c>
    </row>
    <row r="6660">
      <c r="A6660" s="2">
        <f>IFERROR(__xludf.DUMMYFUNCTION("""COMPUTED_VALUE"""),45467.66666666667)</f>
        <v>45467.66667</v>
      </c>
      <c r="B6660" s="1">
        <f>IFERROR(__xludf.DUMMYFUNCTION("""COMPUTED_VALUE"""),11878.04)</f>
        <v>11878.04</v>
      </c>
    </row>
    <row r="6661">
      <c r="A6661" s="2">
        <f>IFERROR(__xludf.DUMMYFUNCTION("""COMPUTED_VALUE"""),45468.66666666667)</f>
        <v>45468.66667</v>
      </c>
      <c r="B6661" s="1">
        <f>IFERROR(__xludf.DUMMYFUNCTION("""COMPUTED_VALUE"""),11924.75)</f>
        <v>11924.75</v>
      </c>
    </row>
    <row r="6662">
      <c r="A6662" s="2">
        <f>IFERROR(__xludf.DUMMYFUNCTION("""COMPUTED_VALUE"""),45469.66666666667)</f>
        <v>45469.66667</v>
      </c>
      <c r="B6662" s="1">
        <f>IFERROR(__xludf.DUMMYFUNCTION("""COMPUTED_VALUE"""),11943.53)</f>
        <v>11943.53</v>
      </c>
    </row>
    <row r="6663">
      <c r="A6663" s="2">
        <f>IFERROR(__xludf.DUMMYFUNCTION("""COMPUTED_VALUE"""),45470.66666666667)</f>
        <v>45470.66667</v>
      </c>
      <c r="B6663" s="1">
        <f>IFERROR(__xludf.DUMMYFUNCTION("""COMPUTED_VALUE"""),11954.5)</f>
        <v>11954.5</v>
      </c>
    </row>
    <row r="6664">
      <c r="A6664" s="2">
        <f>IFERROR(__xludf.DUMMYFUNCTION("""COMPUTED_VALUE"""),45471.66666666667)</f>
        <v>45471.66667</v>
      </c>
      <c r="B6664" s="1">
        <f>IFERROR(__xludf.DUMMYFUNCTION("""COMPUTED_VALUE"""),11907.15)</f>
        <v>11907.15</v>
      </c>
    </row>
    <row r="6665">
      <c r="A6665" s="2">
        <f>IFERROR(__xludf.DUMMYFUNCTION("""COMPUTED_VALUE"""),45474.66666666667)</f>
        <v>45474.66667</v>
      </c>
      <c r="B6665" s="1">
        <f>IFERROR(__xludf.DUMMYFUNCTION("""COMPUTED_VALUE"""),11939.38)</f>
        <v>11939.38</v>
      </c>
    </row>
    <row r="6666">
      <c r="A6666" s="2">
        <f>IFERROR(__xludf.DUMMYFUNCTION("""COMPUTED_VALUE"""),45475.66666666667)</f>
        <v>45475.66667</v>
      </c>
      <c r="B6666" s="1">
        <f>IFERROR(__xludf.DUMMYFUNCTION("""COMPUTED_VALUE"""),12013.4)</f>
        <v>12013.4</v>
      </c>
    </row>
    <row r="6667">
      <c r="A6667" s="2">
        <f>IFERROR(__xludf.DUMMYFUNCTION("""COMPUTED_VALUE"""),45476.54166666667)</f>
        <v>45476.54167</v>
      </c>
      <c r="B6667" s="1">
        <f>IFERROR(__xludf.DUMMYFUNCTION("""COMPUTED_VALUE"""),12074.83)</f>
        <v>12074.83</v>
      </c>
    </row>
    <row r="6668">
      <c r="A6668" s="2">
        <f>IFERROR(__xludf.DUMMYFUNCTION("""COMPUTED_VALUE"""),45478.66666666667)</f>
        <v>45478.66667</v>
      </c>
      <c r="B6668" s="1">
        <f>IFERROR(__xludf.DUMMYFUNCTION("""COMPUTED_VALUE"""),12142.54)</f>
        <v>12142.54</v>
      </c>
    </row>
    <row r="6669">
      <c r="A6669" s="2">
        <f>IFERROR(__xludf.DUMMYFUNCTION("""COMPUTED_VALUE"""),45481.66666666667)</f>
        <v>45481.66667</v>
      </c>
      <c r="B6669" s="1">
        <f>IFERROR(__xludf.DUMMYFUNCTION("""COMPUTED_VALUE"""),12155.27)</f>
        <v>12155.27</v>
      </c>
    </row>
    <row r="6670">
      <c r="A6670" s="2">
        <f>IFERROR(__xludf.DUMMYFUNCTION("""COMPUTED_VALUE"""),45482.66666666667)</f>
        <v>45482.66667</v>
      </c>
      <c r="B6670" s="1">
        <f>IFERROR(__xludf.DUMMYFUNCTION("""COMPUTED_VALUE"""),12164.57)</f>
        <v>12164.57</v>
      </c>
    </row>
    <row r="6671">
      <c r="A6671" s="2">
        <f>IFERROR(__xludf.DUMMYFUNCTION("""COMPUTED_VALUE"""),45483.66666666667)</f>
        <v>45483.66667</v>
      </c>
      <c r="B6671" s="1">
        <f>IFERROR(__xludf.DUMMYFUNCTION("""COMPUTED_VALUE"""),12290.21)</f>
        <v>12290.21</v>
      </c>
    </row>
    <row r="6672">
      <c r="A6672" s="2">
        <f>IFERROR(__xludf.DUMMYFUNCTION("""COMPUTED_VALUE"""),45484.66666666667)</f>
        <v>45484.66667</v>
      </c>
      <c r="B6672" s="1">
        <f>IFERROR(__xludf.DUMMYFUNCTION("""COMPUTED_VALUE"""),12182.97)</f>
        <v>12182.97</v>
      </c>
    </row>
    <row r="6673">
      <c r="A6673" s="2">
        <f>IFERROR(__xludf.DUMMYFUNCTION("""COMPUTED_VALUE"""),45485.66666666667)</f>
        <v>45485.66667</v>
      </c>
      <c r="B6673" s="1">
        <f>IFERROR(__xludf.DUMMYFUNCTION("""COMPUTED_VALUE"""),12250.19)</f>
        <v>12250.19</v>
      </c>
    </row>
    <row r="6674">
      <c r="A6674" s="2">
        <f>IFERROR(__xludf.DUMMYFUNCTION("""COMPUTED_VALUE"""),45488.66666666667)</f>
        <v>45488.66667</v>
      </c>
      <c r="B6674" s="1">
        <f>IFERROR(__xludf.DUMMYFUNCTION("""COMPUTED_VALUE"""),12286.05)</f>
        <v>12286.05</v>
      </c>
    </row>
    <row r="6675">
      <c r="A6675" s="2">
        <f>IFERROR(__xludf.DUMMYFUNCTION("""COMPUTED_VALUE"""),45489.66666666667)</f>
        <v>45489.66667</v>
      </c>
      <c r="B6675" s="1">
        <f>IFERROR(__xludf.DUMMYFUNCTION("""COMPUTED_VALUE"""),12364.56)</f>
        <v>12364.56</v>
      </c>
    </row>
    <row r="6676">
      <c r="A6676" s="2">
        <f>IFERROR(__xludf.DUMMYFUNCTION("""COMPUTED_VALUE"""),45490.66666666667)</f>
        <v>45490.66667</v>
      </c>
      <c r="B6676" s="1">
        <f>IFERROR(__xludf.DUMMYFUNCTION("""COMPUTED_VALUE"""),12192.49)</f>
        <v>12192.49</v>
      </c>
    </row>
    <row r="6677">
      <c r="A6677" s="2">
        <f>IFERROR(__xludf.DUMMYFUNCTION("""COMPUTED_VALUE"""),45491.66666666667)</f>
        <v>45491.66667</v>
      </c>
      <c r="B6677" s="1">
        <f>IFERROR(__xludf.DUMMYFUNCTION("""COMPUTED_VALUE"""),12097.25)</f>
        <v>12097.25</v>
      </c>
    </row>
    <row r="6678">
      <c r="A6678" s="2">
        <f>IFERROR(__xludf.DUMMYFUNCTION("""COMPUTED_VALUE"""),45492.66666666667)</f>
        <v>45492.66667</v>
      </c>
      <c r="B6678" s="1">
        <f>IFERROR(__xludf.DUMMYFUNCTION("""COMPUTED_VALUE"""),12011.61)</f>
        <v>12011.61</v>
      </c>
    </row>
    <row r="6679">
      <c r="A6679" s="2">
        <f>IFERROR(__xludf.DUMMYFUNCTION("""COMPUTED_VALUE"""),45495.66666666667)</f>
        <v>45495.66667</v>
      </c>
      <c r="B6679" s="1">
        <f>IFERROR(__xludf.DUMMYFUNCTION("""COMPUTED_VALUE"""),12141.75)</f>
        <v>12141.75</v>
      </c>
    </row>
    <row r="6680">
      <c r="A6680" s="2">
        <f>IFERROR(__xludf.DUMMYFUNCTION("""COMPUTED_VALUE"""),45496.66666666667)</f>
        <v>45496.66667</v>
      </c>
      <c r="B6680" s="1">
        <f>IFERROR(__xludf.DUMMYFUNCTION("""COMPUTED_VALUE"""),12122.83)</f>
        <v>12122.83</v>
      </c>
    </row>
    <row r="6681">
      <c r="A6681" s="2">
        <f>IFERROR(__xludf.DUMMYFUNCTION("""COMPUTED_VALUE"""),45497.66666666667)</f>
        <v>45497.66667</v>
      </c>
      <c r="B6681" s="1">
        <f>IFERROR(__xludf.DUMMYFUNCTION("""COMPUTED_VALUE"""),11842.36)</f>
        <v>11842.36</v>
      </c>
    </row>
    <row r="6682">
      <c r="A6682" s="2">
        <f>IFERROR(__xludf.DUMMYFUNCTION("""COMPUTED_VALUE"""),45498.66666666667)</f>
        <v>45498.66667</v>
      </c>
      <c r="B6682" s="1">
        <f>IFERROR(__xludf.DUMMYFUNCTION("""COMPUTED_VALUE"""),11781.57)</f>
        <v>11781.57</v>
      </c>
    </row>
    <row r="6683">
      <c r="A6683" s="2">
        <f>IFERROR(__xludf.DUMMYFUNCTION("""COMPUTED_VALUE"""),45499.66666666667)</f>
        <v>45499.66667</v>
      </c>
      <c r="B6683" s="1">
        <f>IFERROR(__xludf.DUMMYFUNCTION("""COMPUTED_VALUE"""),11913.04)</f>
        <v>11913.04</v>
      </c>
    </row>
    <row r="6684">
      <c r="A6684" s="2">
        <f>IFERROR(__xludf.DUMMYFUNCTION("""COMPUTED_VALUE"""),45502.66666666667)</f>
        <v>45502.66667</v>
      </c>
      <c r="B6684" s="1">
        <f>IFERROR(__xludf.DUMMYFUNCTION("""COMPUTED_VALUE"""),11922.89)</f>
        <v>11922.89</v>
      </c>
    </row>
    <row r="6685">
      <c r="A6685" s="2">
        <f>IFERROR(__xludf.DUMMYFUNCTION("""COMPUTED_VALUE"""),45503.66666666667)</f>
        <v>45503.66667</v>
      </c>
      <c r="B6685" s="1">
        <f>IFERROR(__xludf.DUMMYFUNCTION("""COMPUTED_VALUE"""),11863.8)</f>
        <v>11863.8</v>
      </c>
    </row>
    <row r="6686">
      <c r="A6686" s="2">
        <f>IFERROR(__xludf.DUMMYFUNCTION("""COMPUTED_VALUE"""),45504.66666666667)</f>
        <v>45504.66667</v>
      </c>
      <c r="B6686" s="1">
        <f>IFERROR(__xludf.DUMMYFUNCTION("""COMPUTED_VALUE"""),12052.09)</f>
        <v>12052.09</v>
      </c>
    </row>
    <row r="6687">
      <c r="A6687" s="2">
        <f>IFERROR(__xludf.DUMMYFUNCTION("""COMPUTED_VALUE"""),45505.66666666667)</f>
        <v>45505.66667</v>
      </c>
      <c r="B6687" s="1">
        <f>IFERROR(__xludf.DUMMYFUNCTION("""COMPUTED_VALUE"""),11887.54)</f>
        <v>11887.54</v>
      </c>
    </row>
    <row r="6688">
      <c r="A6688" s="2">
        <f>IFERROR(__xludf.DUMMYFUNCTION("""COMPUTED_VALUE"""),45506.66666666667)</f>
        <v>45506.66667</v>
      </c>
      <c r="B6688" s="1">
        <f>IFERROR(__xludf.DUMMYFUNCTION("""COMPUTED_VALUE"""),11669.18)</f>
        <v>11669.18</v>
      </c>
    </row>
    <row r="6689">
      <c r="A6689" s="2">
        <f>IFERROR(__xludf.DUMMYFUNCTION("""COMPUTED_VALUE"""),45509.66666666667)</f>
        <v>45509.66667</v>
      </c>
      <c r="B6689" s="1">
        <f>IFERROR(__xludf.DUMMYFUNCTION("""COMPUTED_VALUE"""),11319.96)</f>
        <v>11319.96</v>
      </c>
    </row>
    <row r="6690">
      <c r="A6690" s="2">
        <f>IFERROR(__xludf.DUMMYFUNCTION("""COMPUTED_VALUE"""),45510.66666666667)</f>
        <v>45510.66667</v>
      </c>
      <c r="B6690" s="1">
        <f>IFERROR(__xludf.DUMMYFUNCTION("""COMPUTED_VALUE"""),11437.32)</f>
        <v>11437.32</v>
      </c>
    </row>
    <row r="6691">
      <c r="A6691" s="2">
        <f>IFERROR(__xludf.DUMMYFUNCTION("""COMPUTED_VALUE"""),45511.66666666667)</f>
        <v>45511.66667</v>
      </c>
      <c r="B6691" s="1">
        <f>IFERROR(__xludf.DUMMYFUNCTION("""COMPUTED_VALUE"""),11349.24)</f>
        <v>11349.24</v>
      </c>
    </row>
    <row r="6692">
      <c r="A6692" s="2">
        <f>IFERROR(__xludf.DUMMYFUNCTION("""COMPUTED_VALUE"""),45512.66666666667)</f>
        <v>45512.66667</v>
      </c>
      <c r="B6692" s="1">
        <f>IFERROR(__xludf.DUMMYFUNCTION("""COMPUTED_VALUE"""),11610.84)</f>
        <v>11610.84</v>
      </c>
    </row>
    <row r="6693">
      <c r="A6693" s="2">
        <f>IFERROR(__xludf.DUMMYFUNCTION("""COMPUTED_VALUE"""),45513.66666666667)</f>
        <v>45513.66667</v>
      </c>
      <c r="B6693" s="1">
        <f>IFERROR(__xludf.DUMMYFUNCTION("""COMPUTED_VALUE"""),11666.49)</f>
        <v>11666.49</v>
      </c>
    </row>
    <row r="6694">
      <c r="A6694" s="2">
        <f>IFERROR(__xludf.DUMMYFUNCTION("""COMPUTED_VALUE"""),45516.66666666667)</f>
        <v>45516.66667</v>
      </c>
      <c r="B6694" s="1">
        <f>IFERROR(__xludf.DUMMYFUNCTION("""COMPUTED_VALUE"""),11668.59)</f>
        <v>11668.59</v>
      </c>
    </row>
    <row r="6695">
      <c r="A6695" s="2">
        <f>IFERROR(__xludf.DUMMYFUNCTION("""COMPUTED_VALUE"""),45517.66666666667)</f>
        <v>45517.66667</v>
      </c>
      <c r="B6695" s="1">
        <f>IFERROR(__xludf.DUMMYFUNCTION("""COMPUTED_VALUE"""),11865.29)</f>
        <v>11865.29</v>
      </c>
    </row>
    <row r="6696">
      <c r="A6696" s="2">
        <f>IFERROR(__xludf.DUMMYFUNCTION("""COMPUTED_VALUE"""),45518.66666666667)</f>
        <v>45518.66667</v>
      </c>
      <c r="B6696" s="1">
        <f>IFERROR(__xludf.DUMMYFUNCTION("""COMPUTED_VALUE"""),11911.02)</f>
        <v>11911.02</v>
      </c>
    </row>
    <row r="6697">
      <c r="A6697" s="2">
        <f>IFERROR(__xludf.DUMMYFUNCTION("""COMPUTED_VALUE"""),45519.66666666667)</f>
        <v>45519.66667</v>
      </c>
      <c r="B6697" s="1">
        <f>IFERROR(__xludf.DUMMYFUNCTION("""COMPUTED_VALUE"""),12106.68)</f>
        <v>12106.68</v>
      </c>
    </row>
    <row r="6698">
      <c r="A6698" s="2">
        <f>IFERROR(__xludf.DUMMYFUNCTION("""COMPUTED_VALUE"""),45520.66666666667)</f>
        <v>45520.66667</v>
      </c>
      <c r="B6698" s="1">
        <f>IFERROR(__xludf.DUMMYFUNCTION("""COMPUTED_VALUE"""),12132.48)</f>
        <v>12132.48</v>
      </c>
    </row>
    <row r="6699">
      <c r="A6699" s="2">
        <f>IFERROR(__xludf.DUMMYFUNCTION("""COMPUTED_VALUE"""),45523.66666666667)</f>
        <v>45523.66667</v>
      </c>
      <c r="B6699" s="1">
        <f>IFERROR(__xludf.DUMMYFUNCTION("""COMPUTED_VALUE"""),12251.74)</f>
        <v>12251.74</v>
      </c>
    </row>
    <row r="6700">
      <c r="A6700" s="2">
        <f>IFERROR(__xludf.DUMMYFUNCTION("""COMPUTED_VALUE"""),45524.66666666667)</f>
        <v>45524.66667</v>
      </c>
      <c r="B6700" s="1">
        <f>IFERROR(__xludf.DUMMYFUNCTION("""COMPUTED_VALUE"""),12227.8)</f>
        <v>12227.8</v>
      </c>
    </row>
    <row r="6701">
      <c r="A6701" s="2">
        <f>IFERROR(__xludf.DUMMYFUNCTION("""COMPUTED_VALUE"""),45525.66666666667)</f>
        <v>45525.66667</v>
      </c>
      <c r="B6701" s="1">
        <f>IFERROR(__xludf.DUMMYFUNCTION("""COMPUTED_VALUE"""),12280.18)</f>
        <v>12280.18</v>
      </c>
    </row>
    <row r="6702">
      <c r="A6702" s="2">
        <f>IFERROR(__xludf.DUMMYFUNCTION("""COMPUTED_VALUE"""),45526.66666666667)</f>
        <v>45526.66667</v>
      </c>
      <c r="B6702" s="1">
        <f>IFERROR(__xludf.DUMMYFUNCTION("""COMPUTED_VALUE"""),12170.71)</f>
        <v>12170.71</v>
      </c>
    </row>
    <row r="6703">
      <c r="A6703" s="2">
        <f>IFERROR(__xludf.DUMMYFUNCTION("""COMPUTED_VALUE"""),45527.66666666667)</f>
        <v>45527.66667</v>
      </c>
      <c r="B6703" s="1">
        <f>IFERROR(__xludf.DUMMYFUNCTION("""COMPUTED_VALUE"""),12310.63)</f>
        <v>12310.63</v>
      </c>
    </row>
    <row r="6704">
      <c r="A6704" s="2">
        <f>IFERROR(__xludf.DUMMYFUNCTION("""COMPUTED_VALUE"""),45530.66666666667)</f>
        <v>45530.66667</v>
      </c>
      <c r="B6704" s="1">
        <f>IFERROR(__xludf.DUMMYFUNCTION("""COMPUTED_VALUE"""),12272.08)</f>
        <v>12272.08</v>
      </c>
    </row>
    <row r="6705">
      <c r="A6705" s="2">
        <f>IFERROR(__xludf.DUMMYFUNCTION("""COMPUTED_VALUE"""),45531.66666666667)</f>
        <v>45531.66667</v>
      </c>
      <c r="B6705" s="1">
        <f>IFERROR(__xludf.DUMMYFUNCTION("""COMPUTED_VALUE"""),12292.64)</f>
        <v>12292.64</v>
      </c>
    </row>
    <row r="6706">
      <c r="A6706" s="2">
        <f>IFERROR(__xludf.DUMMYFUNCTION("""COMPUTED_VALUE"""),45532.66666666667)</f>
        <v>45532.66667</v>
      </c>
      <c r="B6706" s="1">
        <f>IFERROR(__xludf.DUMMYFUNCTION("""COMPUTED_VALUE"""),12219.23)</f>
        <v>12219.23</v>
      </c>
    </row>
    <row r="6707">
      <c r="A6707" s="2">
        <f>IFERROR(__xludf.DUMMYFUNCTION("""COMPUTED_VALUE"""),45533.66666666667)</f>
        <v>45533.66667</v>
      </c>
      <c r="B6707" s="1">
        <f>IFERROR(__xludf.DUMMYFUNCTION("""COMPUTED_VALUE"""),12219.38)</f>
        <v>12219.38</v>
      </c>
    </row>
    <row r="6708">
      <c r="A6708" s="2">
        <f>IFERROR(__xludf.DUMMYFUNCTION("""COMPUTED_VALUE"""),45534.66666666667)</f>
        <v>45534.66667</v>
      </c>
      <c r="B6708" s="1">
        <f>IFERROR(__xludf.DUMMYFUNCTION("""COMPUTED_VALUE"""),12344.43)</f>
        <v>12344.43</v>
      </c>
    </row>
    <row r="6709">
      <c r="A6709" s="2">
        <f>IFERROR(__xludf.DUMMYFUNCTION("""COMPUTED_VALUE"""),45538.66666666667)</f>
        <v>45538.66667</v>
      </c>
      <c r="B6709" s="1">
        <f>IFERROR(__xludf.DUMMYFUNCTION("""COMPUTED_VALUE"""),12084.57)</f>
        <v>12084.57</v>
      </c>
    </row>
    <row r="6710">
      <c r="A6710" s="2">
        <f>IFERROR(__xludf.DUMMYFUNCTION("""COMPUTED_VALUE"""),45539.66666666667)</f>
        <v>45539.66667</v>
      </c>
      <c r="B6710" s="1">
        <f>IFERROR(__xludf.DUMMYFUNCTION("""COMPUTED_VALUE"""),12065.69)</f>
        <v>12065.69</v>
      </c>
    </row>
    <row r="6711">
      <c r="A6711" s="2">
        <f>IFERROR(__xludf.DUMMYFUNCTION("""COMPUTED_VALUE"""),45540.66666666667)</f>
        <v>45540.66667</v>
      </c>
      <c r="B6711" s="1">
        <f>IFERROR(__xludf.DUMMYFUNCTION("""COMPUTED_VALUE"""),12029.72)</f>
        <v>12029.72</v>
      </c>
    </row>
    <row r="6712">
      <c r="A6712" s="2">
        <f>IFERROR(__xludf.DUMMYFUNCTION("""COMPUTED_VALUE"""),45541.66666666667)</f>
        <v>45541.66667</v>
      </c>
      <c r="B6712" s="1">
        <f>IFERROR(__xludf.DUMMYFUNCTION("""COMPUTED_VALUE"""),11823.57)</f>
        <v>11823.57</v>
      </c>
    </row>
    <row r="6713">
      <c r="A6713" s="2">
        <f>IFERROR(__xludf.DUMMYFUNCTION("""COMPUTED_VALUE"""),45544.66666666667)</f>
        <v>45544.66667</v>
      </c>
      <c r="B6713" s="1">
        <f>IFERROR(__xludf.DUMMYFUNCTION("""COMPUTED_VALUE"""),11961.74)</f>
        <v>11961.74</v>
      </c>
    </row>
    <row r="6714">
      <c r="A6714" s="2">
        <f>IFERROR(__xludf.DUMMYFUNCTION("""COMPUTED_VALUE"""),45545.66666666667)</f>
        <v>45545.66667</v>
      </c>
      <c r="B6714" s="1">
        <f>IFERROR(__xludf.DUMMYFUNCTION("""COMPUTED_VALUE"""),12015.57)</f>
        <v>12015.57</v>
      </c>
    </row>
    <row r="6715">
      <c r="A6715" s="2">
        <f>IFERROR(__xludf.DUMMYFUNCTION("""COMPUTED_VALUE"""),45546.66666666667)</f>
        <v>45546.66667</v>
      </c>
      <c r="B6715" s="1">
        <f>IFERROR(__xludf.DUMMYFUNCTION("""COMPUTED_VALUE"""),12143.85)</f>
        <v>12143.85</v>
      </c>
    </row>
    <row r="6716">
      <c r="A6716" s="2">
        <f>IFERROR(__xludf.DUMMYFUNCTION("""COMPUTED_VALUE"""),45547.66666666667)</f>
        <v>45547.66667</v>
      </c>
      <c r="B6716" s="1">
        <f>IFERROR(__xludf.DUMMYFUNCTION("""COMPUTED_VALUE"""),12235.06)</f>
        <v>12235.06</v>
      </c>
    </row>
    <row r="6717">
      <c r="A6717" s="2">
        <f>IFERROR(__xludf.DUMMYFUNCTION("""COMPUTED_VALUE"""),45548.66666666667)</f>
        <v>45548.66667</v>
      </c>
      <c r="B6717" s="1">
        <f>IFERROR(__xludf.DUMMYFUNCTION("""COMPUTED_VALUE"""),12303.26)</f>
        <v>12303.26</v>
      </c>
    </row>
    <row r="6718">
      <c r="A6718" s="2">
        <f>IFERROR(__xludf.DUMMYFUNCTION("""COMPUTED_VALUE"""),45551.66666666667)</f>
        <v>45551.66667</v>
      </c>
      <c r="B6718" s="1">
        <f>IFERROR(__xludf.DUMMYFUNCTION("""COMPUTED_VALUE"""),12321.21)</f>
        <v>12321.21</v>
      </c>
    </row>
    <row r="6719">
      <c r="A6719" s="2">
        <f>IFERROR(__xludf.DUMMYFUNCTION("""COMPUTED_VALUE"""),45552.66666666667)</f>
        <v>45552.66667</v>
      </c>
      <c r="B6719" s="1">
        <f>IFERROR(__xludf.DUMMYFUNCTION("""COMPUTED_VALUE"""),12324.75)</f>
        <v>12324.75</v>
      </c>
    </row>
    <row r="6720">
      <c r="A6720" s="2">
        <f>IFERROR(__xludf.DUMMYFUNCTION("""COMPUTED_VALUE"""),45553.66666666667)</f>
        <v>45553.66667</v>
      </c>
      <c r="B6720" s="1">
        <f>IFERROR(__xludf.DUMMYFUNCTION("""COMPUTED_VALUE"""),12289.26)</f>
        <v>12289.26</v>
      </c>
    </row>
    <row r="6721">
      <c r="A6721" s="2">
        <f>IFERROR(__xludf.DUMMYFUNCTION("""COMPUTED_VALUE"""),45554.66666666667)</f>
        <v>45554.66667</v>
      </c>
      <c r="B6721" s="1">
        <f>IFERROR(__xludf.DUMMYFUNCTION("""COMPUTED_VALUE"""),12498.59)</f>
        <v>12498.59</v>
      </c>
    </row>
    <row r="6722">
      <c r="A6722" s="2">
        <f>IFERROR(__xludf.DUMMYFUNCTION("""COMPUTED_VALUE"""),45555.66666666667)</f>
        <v>45555.66667</v>
      </c>
      <c r="B6722" s="1">
        <f>IFERROR(__xludf.DUMMYFUNCTION("""COMPUTED_VALUE"""),12474.44)</f>
        <v>12474.44</v>
      </c>
    </row>
    <row r="6723">
      <c r="A6723" s="2">
        <f>IFERROR(__xludf.DUMMYFUNCTION("""COMPUTED_VALUE"""),45558.66666666667)</f>
        <v>45558.66667</v>
      </c>
      <c r="B6723" s="1">
        <f>IFERROR(__xludf.DUMMYFUNCTION("""COMPUTED_VALUE"""),12509.61)</f>
        <v>12509.61</v>
      </c>
    </row>
    <row r="6724">
      <c r="A6724" s="2">
        <f>IFERROR(__xludf.DUMMYFUNCTION("""COMPUTED_VALUE"""),45559.66666666667)</f>
        <v>45559.66667</v>
      </c>
      <c r="B6724" s="1">
        <f>IFERROR(__xludf.DUMMYFUNCTION("""COMPUTED_VALUE"""),12541.09)</f>
        <v>12541.09</v>
      </c>
    </row>
    <row r="6725">
      <c r="A6725" s="2">
        <f>IFERROR(__xludf.DUMMYFUNCTION("""COMPUTED_VALUE"""),45560.66666666667)</f>
        <v>45560.66667</v>
      </c>
      <c r="B6725" s="1">
        <f>IFERROR(__xludf.DUMMYFUNCTION("""COMPUTED_VALUE"""),12517.82)</f>
        <v>12517.82</v>
      </c>
    </row>
    <row r="6726">
      <c r="A6726" s="2">
        <f>IFERROR(__xludf.DUMMYFUNCTION("""COMPUTED_VALUE"""),45561.66666666667)</f>
        <v>45561.66667</v>
      </c>
      <c r="B6726" s="1">
        <f>IFERROR(__xludf.DUMMYFUNCTION("""COMPUTED_VALUE"""),12569.13)</f>
        <v>12569.13</v>
      </c>
    </row>
    <row r="6727">
      <c r="A6727" s="2">
        <f>IFERROR(__xludf.DUMMYFUNCTION("""COMPUTED_VALUE"""),45562.66666666667)</f>
        <v>45562.66667</v>
      </c>
      <c r="B6727" s="1">
        <f>IFERROR(__xludf.DUMMYFUNCTION("""COMPUTED_VALUE"""),12553.78)</f>
        <v>12553.78</v>
      </c>
    </row>
    <row r="6728">
      <c r="A6728" s="2">
        <f>IFERROR(__xludf.DUMMYFUNCTION("""COMPUTED_VALUE"""),45565.66666666667)</f>
        <v>45565.66667</v>
      </c>
      <c r="B6728" s="1">
        <f>IFERROR(__xludf.DUMMYFUNCTION("""COMPUTED_VALUE"""),12608.07)</f>
        <v>12608.07</v>
      </c>
    </row>
    <row r="6729">
      <c r="A6729" s="2">
        <f>IFERROR(__xludf.DUMMYFUNCTION("""COMPUTED_VALUE"""),45566.66666666667)</f>
        <v>45566.66667</v>
      </c>
      <c r="B6729" s="1">
        <f>IFERROR(__xludf.DUMMYFUNCTION("""COMPUTED_VALUE"""),12490.87)</f>
        <v>12490.87</v>
      </c>
    </row>
    <row r="6730">
      <c r="A6730" s="2">
        <f>IFERROR(__xludf.DUMMYFUNCTION("""COMPUTED_VALUE"""),45567.66666666667)</f>
        <v>45567.66667</v>
      </c>
      <c r="B6730" s="1">
        <f>IFERROR(__xludf.DUMMYFUNCTION("""COMPUTED_VALUE"""),12493.35)</f>
        <v>12493.35</v>
      </c>
    </row>
    <row r="6731">
      <c r="A6731" s="2">
        <f>IFERROR(__xludf.DUMMYFUNCTION("""COMPUTED_VALUE"""),45568.66666666667)</f>
        <v>45568.66667</v>
      </c>
      <c r="B6731" s="1">
        <f>IFERROR(__xludf.DUMMYFUNCTION("""COMPUTED_VALUE"""),12472.39)</f>
        <v>12472.39</v>
      </c>
    </row>
    <row r="6732">
      <c r="A6732" s="2">
        <f>IFERROR(__xludf.DUMMYFUNCTION("""COMPUTED_VALUE"""),45569.66666666667)</f>
        <v>45569.66667</v>
      </c>
      <c r="B6732" s="1">
        <f>IFERROR(__xludf.DUMMYFUNCTION("""COMPUTED_VALUE"""),12586.91)</f>
        <v>12586.91</v>
      </c>
    </row>
    <row r="6733">
      <c r="A6733" s="2">
        <f>IFERROR(__xludf.DUMMYFUNCTION("""COMPUTED_VALUE"""),45572.66666666667)</f>
        <v>45572.66667</v>
      </c>
      <c r="B6733" s="1">
        <f>IFERROR(__xludf.DUMMYFUNCTION("""COMPUTED_VALUE"""),12466.41)</f>
        <v>12466.41</v>
      </c>
    </row>
    <row r="6734">
      <c r="A6734" s="2">
        <f>IFERROR(__xludf.DUMMYFUNCTION("""COMPUTED_VALUE"""),45573.66666666667)</f>
        <v>45573.66667</v>
      </c>
      <c r="B6734" s="1">
        <f>IFERROR(__xludf.DUMMYFUNCTION("""COMPUTED_VALUE"""),12587.25)</f>
        <v>12587.25</v>
      </c>
    </row>
    <row r="6735">
      <c r="A6735" s="2">
        <f>IFERROR(__xludf.DUMMYFUNCTION("""COMPUTED_VALUE"""),45574.66666666667)</f>
        <v>45574.66667</v>
      </c>
      <c r="B6735" s="1">
        <f>IFERROR(__xludf.DUMMYFUNCTION("""COMPUTED_VALUE"""),12677.16)</f>
        <v>12677.16</v>
      </c>
    </row>
    <row r="6736">
      <c r="A6736" s="2">
        <f>IFERROR(__xludf.DUMMYFUNCTION("""COMPUTED_VALUE"""),45575.66666666667)</f>
        <v>45575.66667</v>
      </c>
      <c r="B6736" s="1">
        <f>IFERROR(__xludf.DUMMYFUNCTION("""COMPUTED_VALUE"""),12652.84)</f>
        <v>12652.84</v>
      </c>
    </row>
    <row r="6737">
      <c r="A6737" s="2">
        <f>IFERROR(__xludf.DUMMYFUNCTION("""COMPUTED_VALUE"""),45579.66666666667)</f>
        <v>45579.66667</v>
      </c>
      <c r="B6737" s="1">
        <f>IFERROR(__xludf.DUMMYFUNCTION("""COMPUTED_VALUE"""),12827.63)</f>
        <v>12827.63</v>
      </c>
    </row>
    <row r="6738">
      <c r="A6738" s="2">
        <f>IFERROR(__xludf.DUMMYFUNCTION("""COMPUTED_VALUE"""),45580.66666666667)</f>
        <v>45580.66667</v>
      </c>
      <c r="B6738" s="1">
        <f>IFERROR(__xludf.DUMMYFUNCTION("""COMPUTED_VALUE"""),12731.1)</f>
        <v>12731.1</v>
      </c>
    </row>
    <row r="6739">
      <c r="A6739" s="2">
        <f>IFERROR(__xludf.DUMMYFUNCTION("""COMPUTED_VALUE"""),45581.66666666667)</f>
        <v>45581.66667</v>
      </c>
      <c r="B6739" s="1">
        <f>IFERROR(__xludf.DUMMYFUNCTION("""COMPUTED_VALUE"""),12790.84)</f>
        <v>12790.84</v>
      </c>
    </row>
    <row r="6740">
      <c r="A6740" s="2">
        <f>IFERROR(__xludf.DUMMYFUNCTION("""COMPUTED_VALUE"""),45582.66666666667)</f>
        <v>45582.66667</v>
      </c>
      <c r="B6740" s="1">
        <f>IFERROR(__xludf.DUMMYFUNCTION("""COMPUTED_VALUE"""),12788.78)</f>
        <v>12788.78</v>
      </c>
    </row>
    <row r="6741">
      <c r="A6741" s="2">
        <f>IFERROR(__xludf.DUMMYFUNCTION("""COMPUTED_VALUE"""),45583.66666666667)</f>
        <v>45583.66667</v>
      </c>
      <c r="B6741" s="1">
        <f>IFERROR(__xludf.DUMMYFUNCTION("""COMPUTED_VALUE"""),12840.3)</f>
        <v>12840.3</v>
      </c>
    </row>
    <row r="6742">
      <c r="A6742" s="2">
        <f>IFERROR(__xludf.DUMMYFUNCTION("""COMPUTED_VALUE"""),45586.66666666667)</f>
        <v>45586.66667</v>
      </c>
      <c r="B6742" s="1">
        <f>IFERROR(__xludf.DUMMYFUNCTION("""COMPUTED_VALUE"""),12817.39)</f>
        <v>12817.39</v>
      </c>
    </row>
    <row r="6743">
      <c r="A6743" s="2">
        <f>IFERROR(__xludf.DUMMYFUNCTION("""COMPUTED_VALUE"""),45587.66666666667)</f>
        <v>45587.66667</v>
      </c>
      <c r="B6743" s="1">
        <f>IFERROR(__xludf.DUMMYFUNCTION("""COMPUTED_VALUE"""),12811.36)</f>
        <v>12811.36</v>
      </c>
    </row>
    <row r="6744">
      <c r="A6744" s="2">
        <f>IFERROR(__xludf.DUMMYFUNCTION("""COMPUTED_VALUE"""),45588.66666666667)</f>
        <v>45588.66667</v>
      </c>
      <c r="B6744" s="1">
        <f>IFERROR(__xludf.DUMMYFUNCTION("""COMPUTED_VALUE"""),12693.82)</f>
        <v>12693.82</v>
      </c>
    </row>
    <row r="6745">
      <c r="A6745" s="2">
        <f>IFERROR(__xludf.DUMMYFUNCTION("""COMPUTED_VALUE"""),45589.66666666667)</f>
        <v>45589.66667</v>
      </c>
      <c r="B6745" s="1">
        <f>IFERROR(__xludf.DUMMYFUNCTION("""COMPUTED_VALUE"""),12721.05)</f>
        <v>12721.05</v>
      </c>
    </row>
    <row r="6746">
      <c r="A6746" s="2">
        <f>IFERROR(__xludf.DUMMYFUNCTION("""COMPUTED_VALUE"""),45590.66666666667)</f>
        <v>45590.66667</v>
      </c>
      <c r="B6746" s="1">
        <f>IFERROR(__xludf.DUMMYFUNCTION("""COMPUTED_VALUE"""),12717.34)</f>
        <v>12717.34</v>
      </c>
    </row>
    <row r="6747">
      <c r="A6747" s="2">
        <f>IFERROR(__xludf.DUMMYFUNCTION("""COMPUTED_VALUE"""),45593.66666666667)</f>
        <v>45593.66667</v>
      </c>
      <c r="B6747" s="1">
        <f>IFERROR(__xludf.DUMMYFUNCTION("""COMPUTED_VALUE"""),12751.22)</f>
        <v>12751.22</v>
      </c>
    </row>
    <row r="6748">
      <c r="A6748" s="2">
        <f>IFERROR(__xludf.DUMMYFUNCTION("""COMPUTED_VALUE"""),45594.66666666667)</f>
        <v>45594.66667</v>
      </c>
      <c r="B6748" s="1">
        <f>IFERROR(__xludf.DUMMYFUNCTION("""COMPUTED_VALUE"""),12771.8)</f>
        <v>12771.8</v>
      </c>
    </row>
    <row r="6749">
      <c r="A6749" s="2">
        <f>IFERROR(__xludf.DUMMYFUNCTION("""COMPUTED_VALUE"""),45595.66666666667)</f>
        <v>45595.66667</v>
      </c>
      <c r="B6749" s="1">
        <f>IFERROR(__xludf.DUMMYFUNCTION("""COMPUTED_VALUE"""),12729.73)</f>
        <v>12729.73</v>
      </c>
    </row>
    <row r="6750">
      <c r="A6750" s="2">
        <f>IFERROR(__xludf.DUMMYFUNCTION("""COMPUTED_VALUE"""),45596.66666666667)</f>
        <v>45596.66667</v>
      </c>
      <c r="B6750" s="1">
        <f>IFERROR(__xludf.DUMMYFUNCTION("""COMPUTED_VALUE"""),12493.74)</f>
        <v>12493.74</v>
      </c>
    </row>
    <row r="6751">
      <c r="A6751" s="2">
        <f>IFERROR(__xludf.DUMMYFUNCTION("""COMPUTED_VALUE"""),45597.66666666667)</f>
        <v>45597.66667</v>
      </c>
      <c r="B6751" s="1">
        <f>IFERROR(__xludf.DUMMYFUNCTION("""COMPUTED_VALUE"""),12545.4)</f>
        <v>12545.4</v>
      </c>
    </row>
    <row r="6752">
      <c r="A6752" s="2">
        <f>IFERROR(__xludf.DUMMYFUNCTION("""COMPUTED_VALUE"""),45600.66666666667)</f>
        <v>45600.66667</v>
      </c>
      <c r="B6752" s="1">
        <f>IFERROR(__xludf.DUMMYFUNCTION("""COMPUTED_VALUE"""),12510.73)</f>
        <v>12510.73</v>
      </c>
    </row>
    <row r="6753">
      <c r="A6753" s="2">
        <f>IFERROR(__xludf.DUMMYFUNCTION("""COMPUTED_VALUE"""),45601.66666666667)</f>
        <v>45601.66667</v>
      </c>
      <c r="B6753" s="1">
        <f>IFERROR(__xludf.DUMMYFUNCTION("""COMPUTED_VALUE"""),12664.32)</f>
        <v>12664.32</v>
      </c>
    </row>
    <row r="6754">
      <c r="A6754" s="2">
        <f>IFERROR(__xludf.DUMMYFUNCTION("""COMPUTED_VALUE"""),45602.66666666667)</f>
        <v>45602.66667</v>
      </c>
      <c r="B6754" s="1">
        <f>IFERROR(__xludf.DUMMYFUNCTION("""COMPUTED_VALUE"""),12984.73)</f>
        <v>12984.73</v>
      </c>
    </row>
    <row r="6755">
      <c r="A6755" s="2">
        <f>IFERROR(__xludf.DUMMYFUNCTION("""COMPUTED_VALUE"""),45603.66666666667)</f>
        <v>45603.66667</v>
      </c>
      <c r="B6755" s="1">
        <f>IFERROR(__xludf.DUMMYFUNCTION("""COMPUTED_VALUE"""),13081.53)</f>
        <v>13081.53</v>
      </c>
    </row>
    <row r="6756">
      <c r="A6756" s="2">
        <f>IFERROR(__xludf.DUMMYFUNCTION("""COMPUTED_VALUE"""),45604.66666666667)</f>
        <v>45604.66667</v>
      </c>
      <c r="B6756" s="1">
        <f>IFERROR(__xludf.DUMMYFUNCTION("""COMPUTED_VALUE"""),13133.47)</f>
        <v>13133.47</v>
      </c>
    </row>
    <row r="6757">
      <c r="A6757" s="2">
        <f>IFERROR(__xludf.DUMMYFUNCTION("""COMPUTED_VALUE"""),45607.66666666667)</f>
        <v>45607.66667</v>
      </c>
      <c r="B6757" s="1">
        <f>IFERROR(__xludf.DUMMYFUNCTION("""COMPUTED_VALUE"""),13146.2)</f>
        <v>13146.2</v>
      </c>
    </row>
    <row r="6758">
      <c r="A6758" s="2">
        <f>IFERROR(__xludf.DUMMYFUNCTION("""COMPUTED_VALUE"""),45608.66666666667)</f>
        <v>45608.66667</v>
      </c>
      <c r="B6758" s="1">
        <f>IFERROR(__xludf.DUMMYFUNCTION("""COMPUTED_VALUE"""),13108.95)</f>
        <v>13108.95</v>
      </c>
    </row>
    <row r="6759">
      <c r="A6759" s="2">
        <f>IFERROR(__xludf.DUMMYFUNCTION("""COMPUTED_VALUE"""),45609.66666666667)</f>
        <v>45609.66667</v>
      </c>
      <c r="B6759" s="1">
        <f>IFERROR(__xludf.DUMMYFUNCTION("""COMPUTED_VALUE"""),13112.57)</f>
        <v>13112.57</v>
      </c>
    </row>
    <row r="6760">
      <c r="A6760" s="2">
        <f>IFERROR(__xludf.DUMMYFUNCTION("""COMPUTED_VALUE"""),45610.66666666667)</f>
        <v>45610.66667</v>
      </c>
      <c r="B6760" s="1">
        <f>IFERROR(__xludf.DUMMYFUNCTION("""COMPUTED_VALUE"""),13034.79)</f>
        <v>13034.79</v>
      </c>
    </row>
    <row r="6761">
      <c r="A6761" s="2">
        <f>IFERROR(__xludf.DUMMYFUNCTION("""COMPUTED_VALUE"""),45611.66666666667)</f>
        <v>45611.66667</v>
      </c>
      <c r="B6761" s="1">
        <f>IFERROR(__xludf.DUMMYFUNCTION("""COMPUTED_VALUE"""),12864.42)</f>
        <v>12864.42</v>
      </c>
    </row>
    <row r="6762">
      <c r="A6762" s="2">
        <f>IFERROR(__xludf.DUMMYFUNCTION("""COMPUTED_VALUE"""),45614.66666666667)</f>
        <v>45614.66667</v>
      </c>
      <c r="B6762" s="1">
        <f>IFERROR(__xludf.DUMMYFUNCTION("""COMPUTED_VALUE"""),12916.8)</f>
        <v>12916.8</v>
      </c>
    </row>
    <row r="6763">
      <c r="A6763" s="2">
        <f>IFERROR(__xludf.DUMMYFUNCTION("""COMPUTED_VALUE"""),45615.66666666667)</f>
        <v>45615.66667</v>
      </c>
      <c r="B6763" s="1">
        <f>IFERROR(__xludf.DUMMYFUNCTION("""COMPUTED_VALUE"""),12968.16)</f>
        <v>12968.16</v>
      </c>
    </row>
    <row r="6764">
      <c r="A6764" s="2">
        <f>IFERROR(__xludf.DUMMYFUNCTION("""COMPUTED_VALUE"""),45616.66666666667)</f>
        <v>45616.66667</v>
      </c>
      <c r="B6764" s="1">
        <f>IFERROR(__xludf.DUMMYFUNCTION("""COMPUTED_VALUE"""),12968.85)</f>
        <v>12968.85</v>
      </c>
    </row>
    <row r="6765">
      <c r="A6765" s="2">
        <f>IFERROR(__xludf.DUMMYFUNCTION("""COMPUTED_VALUE"""),45617.66666666667)</f>
        <v>45617.66667</v>
      </c>
      <c r="B6765" s="1">
        <f>IFERROR(__xludf.DUMMYFUNCTION("""COMPUTED_VALUE"""),13040.08)</f>
        <v>13040.08</v>
      </c>
    </row>
    <row r="6766">
      <c r="A6766" s="2">
        <f>IFERROR(__xludf.DUMMYFUNCTION("""COMPUTED_VALUE"""),45618.66666666667)</f>
        <v>45618.66667</v>
      </c>
      <c r="B6766" s="1">
        <f>IFERROR(__xludf.DUMMYFUNCTION("""COMPUTED_VALUE"""),13085.86)</f>
        <v>13085.86</v>
      </c>
    </row>
    <row r="6767">
      <c r="A6767" s="2">
        <f>IFERROR(__xludf.DUMMYFUNCTION("""COMPUTED_VALUE"""),45621.66666666667)</f>
        <v>45621.66667</v>
      </c>
      <c r="B6767" s="1">
        <f>IFERROR(__xludf.DUMMYFUNCTION("""COMPUTED_VALUE"""),13125.46)</f>
        <v>13125.46</v>
      </c>
    </row>
    <row r="6768">
      <c r="A6768" s="2">
        <f>IFERROR(__xludf.DUMMYFUNCTION("""COMPUTED_VALUE"""),45622.66666666667)</f>
        <v>45622.66667</v>
      </c>
      <c r="B6768" s="1">
        <f>IFERROR(__xludf.DUMMYFUNCTION("""COMPUTED_VALUE"""),13201.47)</f>
        <v>13201.47</v>
      </c>
    </row>
    <row r="6769">
      <c r="A6769" s="2">
        <f>IFERROR(__xludf.DUMMYFUNCTION("""COMPUTED_VALUE"""),45623.66666666667)</f>
        <v>45623.66667</v>
      </c>
      <c r="B6769" s="1">
        <f>IFERROR(__xludf.DUMMYFUNCTION("""COMPUTED_VALUE"""),13152.08)</f>
        <v>13152.08</v>
      </c>
    </row>
    <row r="6770">
      <c r="A6770" s="2">
        <f>IFERROR(__xludf.DUMMYFUNCTION("""COMPUTED_VALUE"""),45625.54166666667)</f>
        <v>45625.54167</v>
      </c>
      <c r="B6770" s="1">
        <f>IFERROR(__xludf.DUMMYFUNCTION("""COMPUTED_VALUE"""),13227.13)</f>
        <v>13227.13</v>
      </c>
    </row>
    <row r="6771">
      <c r="A6771" s="2">
        <f>IFERROR(__xludf.DUMMYFUNCTION("""COMPUTED_VALUE"""),45628.66666666667)</f>
        <v>45628.66667</v>
      </c>
      <c r="B6771" s="1">
        <f>IFERROR(__xludf.DUMMYFUNCTION("""COMPUTED_VALUE"""),13261.08)</f>
        <v>13261.08</v>
      </c>
    </row>
    <row r="6772">
      <c r="A6772" s="2">
        <f>IFERROR(__xludf.DUMMYFUNCTION("""COMPUTED_VALUE"""),45629.66666666667)</f>
        <v>45629.66667</v>
      </c>
      <c r="B6772" s="1">
        <f>IFERROR(__xludf.DUMMYFUNCTION("""COMPUTED_VALUE"""),13267.33)</f>
        <v>13267.33</v>
      </c>
    </row>
    <row r="6773">
      <c r="A6773" s="2">
        <f>IFERROR(__xludf.DUMMYFUNCTION("""COMPUTED_VALUE"""),45630.66666666667)</f>
        <v>45630.66667</v>
      </c>
      <c r="B6773" s="1">
        <f>IFERROR(__xludf.DUMMYFUNCTION("""COMPUTED_VALUE"""),13347.88)</f>
        <v>13347.88</v>
      </c>
    </row>
    <row r="6774">
      <c r="A6774" s="2">
        <f>IFERROR(__xludf.DUMMYFUNCTION("""COMPUTED_VALUE"""),45631.66666666667)</f>
        <v>45631.66667</v>
      </c>
      <c r="B6774" s="1">
        <f>IFERROR(__xludf.DUMMYFUNCTION("""COMPUTED_VALUE"""),13323.74)</f>
        <v>13323.74</v>
      </c>
    </row>
    <row r="6775">
      <c r="A6775" s="2">
        <f>IFERROR(__xludf.DUMMYFUNCTION("""COMPUTED_VALUE"""),45632.66666666667)</f>
        <v>45632.66667</v>
      </c>
      <c r="B6775" s="1">
        <f>IFERROR(__xludf.DUMMYFUNCTION("""COMPUTED_VALUE"""),13358.5)</f>
        <v>13358.5</v>
      </c>
    </row>
    <row r="6776">
      <c r="A6776" s="2">
        <f>IFERROR(__xludf.DUMMYFUNCTION("""COMPUTED_VALUE"""),45635.66666666667)</f>
        <v>45635.66667</v>
      </c>
      <c r="B6776" s="1">
        <f>IFERROR(__xludf.DUMMYFUNCTION("""COMPUTED_VALUE"""),13278.29)</f>
        <v>13278.29</v>
      </c>
    </row>
    <row r="6777">
      <c r="A6777" s="2">
        <f>IFERROR(__xludf.DUMMYFUNCTION("""COMPUTED_VALUE"""),45636.66666666667)</f>
        <v>45636.66667</v>
      </c>
      <c r="B6777" s="1">
        <f>IFERROR(__xludf.DUMMYFUNCTION("""COMPUTED_VALUE"""),13239.21)</f>
        <v>13239.21</v>
      </c>
    </row>
    <row r="6778">
      <c r="A6778" s="2">
        <f>IFERROR(__xludf.DUMMYFUNCTION("""COMPUTED_VALUE"""),45637.66666666667)</f>
        <v>45637.66667</v>
      </c>
      <c r="B6778" s="1">
        <f>IFERROR(__xludf.DUMMYFUNCTION("""COMPUTED_VALUE"""),13347.51)</f>
        <v>13347.51</v>
      </c>
    </row>
    <row r="6779">
      <c r="A6779" s="2">
        <f>IFERROR(__xludf.DUMMYFUNCTION("""COMPUTED_VALUE"""),45638.66666666667)</f>
        <v>45638.66667</v>
      </c>
      <c r="B6779" s="1">
        <f>IFERROR(__xludf.DUMMYFUNCTION("""COMPUTED_VALUE"""),13275.24)</f>
        <v>13275.24</v>
      </c>
    </row>
    <row r="6780">
      <c r="A6780" s="2">
        <f>IFERROR(__xludf.DUMMYFUNCTION("""COMPUTED_VALUE"""),45639.66666666667)</f>
        <v>45639.66667</v>
      </c>
      <c r="B6780" s="1">
        <f>IFERROR(__xludf.DUMMYFUNCTION("""COMPUTED_VALUE"""),13276.56)</f>
        <v>13276.56</v>
      </c>
    </row>
    <row r="6781">
      <c r="A6781" s="2">
        <f>IFERROR(__xludf.DUMMYFUNCTION("""COMPUTED_VALUE"""),45642.66666666667)</f>
        <v>45642.66667</v>
      </c>
      <c r="B6781" s="1">
        <f>IFERROR(__xludf.DUMMYFUNCTION("""COMPUTED_VALUE"""),13328.78)</f>
        <v>13328.78</v>
      </c>
    </row>
    <row r="6782">
      <c r="A6782" s="2">
        <f>IFERROR(__xludf.DUMMYFUNCTION("""COMPUTED_VALUE"""),45643.66666666667)</f>
        <v>45643.66667</v>
      </c>
      <c r="B6782" s="1">
        <f>IFERROR(__xludf.DUMMYFUNCTION("""COMPUTED_VALUE"""),13277.55)</f>
        <v>13277.55</v>
      </c>
    </row>
    <row r="6783">
      <c r="A6783" s="2">
        <f>IFERROR(__xludf.DUMMYFUNCTION("""COMPUTED_VALUE"""),45644.66666666667)</f>
        <v>45644.66667</v>
      </c>
      <c r="B6783" s="1">
        <f>IFERROR(__xludf.DUMMYFUNCTION("""COMPUTED_VALUE"""),12886.21)</f>
        <v>12886.21</v>
      </c>
    </row>
    <row r="6784">
      <c r="A6784" s="2">
        <f>IFERROR(__xludf.DUMMYFUNCTION("""COMPUTED_VALUE"""),45645.66666666667)</f>
        <v>45645.66667</v>
      </c>
      <c r="B6784" s="1">
        <f>IFERROR(__xludf.DUMMYFUNCTION("""COMPUTED_VALUE"""),12875.09)</f>
        <v>12875.09</v>
      </c>
    </row>
    <row r="6785">
      <c r="A6785" s="2">
        <f>IFERROR(__xludf.DUMMYFUNCTION("""COMPUTED_VALUE"""),45646.66666666667)</f>
        <v>45646.66667</v>
      </c>
      <c r="B6785" s="1">
        <f>IFERROR(__xludf.DUMMYFUNCTION("""COMPUTED_VALUE"""),13015.66)</f>
        <v>13015.66</v>
      </c>
    </row>
    <row r="6786">
      <c r="A6786" s="2">
        <f>IFERROR(__xludf.DUMMYFUNCTION("""COMPUTED_VALUE"""),45649.66666666667)</f>
        <v>45649.66667</v>
      </c>
      <c r="B6786" s="1">
        <f>IFERROR(__xludf.DUMMYFUNCTION("""COMPUTED_VALUE"""),13111.3)</f>
        <v>13111.3</v>
      </c>
    </row>
    <row r="6787">
      <c r="A6787" s="2">
        <f>IFERROR(__xludf.DUMMYFUNCTION("""COMPUTED_VALUE"""),45650.54166666667)</f>
        <v>45650.54167</v>
      </c>
      <c r="B6787" s="1">
        <f>IFERROR(__xludf.DUMMYFUNCTION("""COMPUTED_VALUE"""),13256.07)</f>
        <v>13256.07</v>
      </c>
    </row>
    <row r="6788">
      <c r="A6788" s="2">
        <f>IFERROR(__xludf.DUMMYFUNCTION("""COMPUTED_VALUE"""),45652.66666666667)</f>
        <v>45652.66667</v>
      </c>
      <c r="B6788" s="1">
        <f>IFERROR(__xludf.DUMMYFUNCTION("""COMPUTED_VALUE"""),13251.76)</f>
        <v>13251.76</v>
      </c>
    </row>
    <row r="6789">
      <c r="A6789" s="2">
        <f>IFERROR(__xludf.DUMMYFUNCTION("""COMPUTED_VALUE"""),45653.66666666667)</f>
        <v>45653.66667</v>
      </c>
      <c r="B6789" s="1">
        <f>IFERROR(__xludf.DUMMYFUNCTION("""COMPUTED_VALUE"""),13106.39)</f>
        <v>13106.39</v>
      </c>
    </row>
    <row r="6790">
      <c r="A6790" s="2">
        <f>IFERROR(__xludf.DUMMYFUNCTION("""COMPUTED_VALUE"""),45656.66666666667)</f>
        <v>45656.66667</v>
      </c>
      <c r="B6790" s="1">
        <f>IFERROR(__xludf.DUMMYFUNCTION("""COMPUTED_VALUE"""),12966.22)</f>
        <v>12966.22</v>
      </c>
    </row>
    <row r="6791">
      <c r="A6791" s="2">
        <f>IFERROR(__xludf.DUMMYFUNCTION("""COMPUTED_VALUE"""),45657.66666666667)</f>
        <v>45657.66667</v>
      </c>
      <c r="B6791" s="1">
        <f>IFERROR(__xludf.DUMMYFUNCTION("""COMPUTED_VALUE"""),12911.82)</f>
        <v>12911.82</v>
      </c>
    </row>
    <row r="6792">
      <c r="A6792" s="2">
        <f>IFERROR(__xludf.DUMMYFUNCTION("""COMPUTED_VALUE"""),45659.66666666667)</f>
        <v>45659.66667</v>
      </c>
      <c r="B6792" s="1">
        <f>IFERROR(__xludf.DUMMYFUNCTION("""COMPUTED_VALUE"""),12883.58)</f>
        <v>12883.58</v>
      </c>
    </row>
    <row r="6793">
      <c r="A6793" s="2">
        <f>IFERROR(__xludf.DUMMYFUNCTION("""COMPUTED_VALUE"""),45660.66666666667)</f>
        <v>45660.66667</v>
      </c>
      <c r="B6793" s="1">
        <f>IFERROR(__xludf.DUMMYFUNCTION("""COMPUTED_VALUE"""),13046.88)</f>
        <v>13046.88</v>
      </c>
    </row>
    <row r="6794">
      <c r="A6794" s="2">
        <f>IFERROR(__xludf.DUMMYFUNCTION("""COMPUTED_VALUE"""),45663.66666666667)</f>
        <v>45663.66667</v>
      </c>
      <c r="B6794" s="1">
        <f>IFERROR(__xludf.DUMMYFUNCTION("""COMPUTED_VALUE"""),13120.14)</f>
        <v>13120.14</v>
      </c>
    </row>
    <row r="6795">
      <c r="A6795" s="2">
        <f>IFERROR(__xludf.DUMMYFUNCTION("""COMPUTED_VALUE"""),45664.66666666667)</f>
        <v>45664.66667</v>
      </c>
      <c r="B6795" s="1">
        <f>IFERROR(__xludf.DUMMYFUNCTION("""COMPUTED_VALUE"""),12974.59)</f>
        <v>12974.59</v>
      </c>
    </row>
    <row r="6796">
      <c r="A6796" s="2">
        <f>IFERROR(__xludf.DUMMYFUNCTION("""COMPUTED_VALUE"""),45665.66666666667)</f>
        <v>45665.66667</v>
      </c>
      <c r="B6796" s="1">
        <f>IFERROR(__xludf.DUMMYFUNCTION("""COMPUTED_VALUE"""),12995.13)</f>
        <v>12995.13</v>
      </c>
    </row>
    <row r="6797">
      <c r="A6797" s="2">
        <f>IFERROR(__xludf.DUMMYFUNCTION("""COMPUTED_VALUE"""),45667.66666666667)</f>
        <v>45667.66667</v>
      </c>
      <c r="B6797" s="1">
        <f>IFERROR(__xludf.DUMMYFUNCTION("""COMPUTED_VALUE"""),12797.39)</f>
        <v>12797.39</v>
      </c>
    </row>
    <row r="6798">
      <c r="A6798" s="2">
        <f>IFERROR(__xludf.DUMMYFUNCTION("""COMPUTED_VALUE"""),45670.66666666667)</f>
        <v>45670.66667</v>
      </c>
      <c r="B6798" s="1">
        <f>IFERROR(__xludf.DUMMYFUNCTION("""COMPUTED_VALUE"""),12817.56)</f>
        <v>12817.56</v>
      </c>
    </row>
    <row r="6799">
      <c r="A6799" s="2">
        <f>IFERROR(__xludf.DUMMYFUNCTION("""COMPUTED_VALUE"""),45671.66666666667)</f>
        <v>45671.66667</v>
      </c>
      <c r="B6799" s="1">
        <f>IFERROR(__xludf.DUMMYFUNCTION("""COMPUTED_VALUE"""),12832.29)</f>
        <v>12832.29</v>
      </c>
    </row>
    <row r="6800">
      <c r="A6800" s="2">
        <f>IFERROR(__xludf.DUMMYFUNCTION("""COMPUTED_VALUE"""),45672.66666666667)</f>
        <v>45672.66667</v>
      </c>
      <c r="B6800" s="1">
        <f>IFERROR(__xludf.DUMMYFUNCTION("""COMPUTED_VALUE"""),13068.56)</f>
        <v>13068.56</v>
      </c>
    </row>
    <row r="6801">
      <c r="A6801" s="2">
        <f>IFERROR(__xludf.DUMMYFUNCTION("""COMPUTED_VALUE"""),45673.66666666667)</f>
        <v>45673.66667</v>
      </c>
      <c r="B6801" s="1">
        <f>IFERROR(__xludf.DUMMYFUNCTION("""COMPUTED_VALUE"""),13041.19)</f>
        <v>13041.19</v>
      </c>
    </row>
    <row r="6802">
      <c r="A6802" s="2">
        <f>IFERROR(__xludf.DUMMYFUNCTION("""COMPUTED_VALUE"""),45674.66666666667)</f>
        <v>45674.66667</v>
      </c>
      <c r="B6802" s="1">
        <f>IFERROR(__xludf.DUMMYFUNCTION("""COMPUTED_VALUE"""),13171.75)</f>
        <v>13171.75</v>
      </c>
    </row>
    <row r="6803">
      <c r="A6803" s="2">
        <f>IFERROR(__xludf.DUMMYFUNCTION("""COMPUTED_VALUE"""),45678.66666666667)</f>
        <v>45678.66667</v>
      </c>
      <c r="B6803" s="1">
        <f>IFERROR(__xludf.DUMMYFUNCTION("""COMPUTED_VALUE"""),13287.58)</f>
        <v>13287.58</v>
      </c>
    </row>
    <row r="6804">
      <c r="A6804" s="2">
        <f>IFERROR(__xludf.DUMMYFUNCTION("""COMPUTED_VALUE"""),45679.66666666667)</f>
        <v>45679.66667</v>
      </c>
      <c r="B6804" s="1">
        <f>IFERROR(__xludf.DUMMYFUNCTION("""COMPUTED_VALUE"""),13369.36)</f>
        <v>13369.36</v>
      </c>
    </row>
    <row r="6805">
      <c r="A6805" s="2">
        <f>IFERROR(__xludf.DUMMYFUNCTION("""COMPUTED_VALUE"""),45680.66666666667)</f>
        <v>45680.66667</v>
      </c>
      <c r="B6805" s="1">
        <f>IFERROR(__xludf.DUMMYFUNCTION("""COMPUTED_VALUE"""),13440.61)</f>
        <v>13440.61</v>
      </c>
    </row>
    <row r="6806">
      <c r="A6806" s="2">
        <f>IFERROR(__xludf.DUMMYFUNCTION("""COMPUTED_VALUE"""),45681.66666666667)</f>
        <v>45681.66667</v>
      </c>
      <c r="B6806" s="1">
        <f>IFERROR(__xludf.DUMMYFUNCTION("""COMPUTED_VALUE"""),13403.51)</f>
        <v>13403.51</v>
      </c>
    </row>
    <row r="6807">
      <c r="A6807" s="2">
        <f>IFERROR(__xludf.DUMMYFUNCTION("""COMPUTED_VALUE"""),45684.66666666667)</f>
        <v>45684.66667</v>
      </c>
      <c r="B6807" s="1">
        <f>IFERROR(__xludf.DUMMYFUNCTION("""COMPUTED_VALUE"""),13208.19)</f>
        <v>13208.19</v>
      </c>
    </row>
    <row r="6808">
      <c r="A6808" s="2">
        <f>IFERROR(__xludf.DUMMYFUNCTION("""COMPUTED_VALUE"""),45685.66666666667)</f>
        <v>45685.66667</v>
      </c>
      <c r="B6808" s="1">
        <f>IFERROR(__xludf.DUMMYFUNCTION("""COMPUTED_VALUE"""),13329.95)</f>
        <v>13329.95</v>
      </c>
    </row>
    <row r="6809">
      <c r="A6809" s="2">
        <f>IFERROR(__xludf.DUMMYFUNCTION("""COMPUTED_VALUE"""),45686.66666666667)</f>
        <v>45686.66667</v>
      </c>
      <c r="B6809" s="1">
        <f>IFERROR(__xludf.DUMMYFUNCTION("""COMPUTED_VALUE"""),13267.65)</f>
        <v>13267.65</v>
      </c>
    </row>
    <row r="6810">
      <c r="A6810" s="2">
        <f>IFERROR(__xludf.DUMMYFUNCTION("""COMPUTED_VALUE"""),45687.66666666667)</f>
        <v>45687.66667</v>
      </c>
      <c r="B6810" s="1">
        <f>IFERROR(__xludf.DUMMYFUNCTION("""COMPUTED_VALUE"""),13337.85)</f>
        <v>13337.85</v>
      </c>
    </row>
    <row r="6811">
      <c r="A6811" s="2">
        <f>IFERROR(__xludf.DUMMYFUNCTION("""COMPUTED_VALUE"""),45688.66666666667)</f>
        <v>45688.66667</v>
      </c>
      <c r="B6811" s="1">
        <f>IFERROR(__xludf.DUMMYFUNCTION("""COMPUTED_VALUE"""),13271.38)</f>
        <v>13271.38</v>
      </c>
    </row>
    <row r="6812">
      <c r="A6812" s="2">
        <f>IFERROR(__xludf.DUMMYFUNCTION("""COMPUTED_VALUE"""),45691.66666666667)</f>
        <v>45691.66667</v>
      </c>
      <c r="B6812" s="1">
        <f>IFERROR(__xludf.DUMMYFUNCTION("""COMPUTED_VALUE"""),13171.21)</f>
        <v>13171.21</v>
      </c>
    </row>
    <row r="6813">
      <c r="A6813" s="2">
        <f>IFERROR(__xludf.DUMMYFUNCTION("""COMPUTED_VALUE"""),45692.66666666667)</f>
        <v>45692.66667</v>
      </c>
      <c r="B6813" s="1">
        <f>IFERROR(__xludf.DUMMYFUNCTION("""COMPUTED_VALUE"""),13266.45)</f>
        <v>13266.45</v>
      </c>
    </row>
    <row r="6814">
      <c r="A6814" s="2">
        <f>IFERROR(__xludf.DUMMYFUNCTION("""COMPUTED_VALUE"""),45693.66666666667)</f>
        <v>45693.66667</v>
      </c>
      <c r="B6814" s="1">
        <f>IFERROR(__xludf.DUMMYFUNCTION("""COMPUTED_VALUE"""),13318.43)</f>
        <v>13318.43</v>
      </c>
    </row>
    <row r="6815">
      <c r="A6815" s="2">
        <f>IFERROR(__xludf.DUMMYFUNCTION("""COMPUTED_VALUE"""),45694.66666666667)</f>
        <v>45694.66667</v>
      </c>
      <c r="B6815" s="1">
        <f>IFERROR(__xludf.DUMMYFUNCTION("""COMPUTED_VALUE"""),13366.96)</f>
        <v>13366.96</v>
      </c>
    </row>
    <row r="6816">
      <c r="A6816" s="2">
        <f>IFERROR(__xludf.DUMMYFUNCTION("""COMPUTED_VALUE"""),45695.66666666667)</f>
        <v>45695.66667</v>
      </c>
      <c r="B6816" s="1">
        <f>IFERROR(__xludf.DUMMYFUNCTION("""COMPUTED_VALUE"""),13241.34)</f>
        <v>13241.34</v>
      </c>
    </row>
    <row r="6817">
      <c r="A6817" s="2">
        <f>IFERROR(__xludf.DUMMYFUNCTION("""COMPUTED_VALUE"""),45698.66666666667)</f>
        <v>45698.66667</v>
      </c>
      <c r="B6817" s="1">
        <f>IFERROR(__xludf.DUMMYFUNCTION("""COMPUTED_VALUE"""),13332.15)</f>
        <v>13332.15</v>
      </c>
    </row>
    <row r="6818">
      <c r="A6818" s="2">
        <f>IFERROR(__xludf.DUMMYFUNCTION("""COMPUTED_VALUE"""),45699.66666666667)</f>
        <v>45699.66667</v>
      </c>
      <c r="B6818" s="1">
        <f>IFERROR(__xludf.DUMMYFUNCTION("""COMPUTED_VALUE"""),13337.0)</f>
        <v>13337</v>
      </c>
    </row>
    <row r="6819">
      <c r="A6819" s="2">
        <f>IFERROR(__xludf.DUMMYFUNCTION("""COMPUTED_VALUE"""),45700.66666666667)</f>
        <v>45700.66667</v>
      </c>
      <c r="B6819" s="1">
        <f>IFERROR(__xludf.DUMMYFUNCTION("""COMPUTED_VALUE"""),13302.1)</f>
        <v>13302.1</v>
      </c>
    </row>
    <row r="6820">
      <c r="A6820" s="2">
        <f>IFERROR(__xludf.DUMMYFUNCTION("""COMPUTED_VALUE"""),45701.66666666667)</f>
        <v>45701.66667</v>
      </c>
      <c r="B6820" s="1">
        <f>IFERROR(__xludf.DUMMYFUNCTION("""COMPUTED_VALUE"""),13440.93)</f>
        <v>13440.93</v>
      </c>
    </row>
    <row r="6821">
      <c r="A6821" s="2">
        <f>IFERROR(__xludf.DUMMYFUNCTION("""COMPUTED_VALUE"""),45702.66666666667)</f>
        <v>45702.66667</v>
      </c>
      <c r="B6821" s="1">
        <f>IFERROR(__xludf.DUMMYFUNCTION("""COMPUTED_VALUE"""),13443.1)</f>
        <v>13443.1</v>
      </c>
    </row>
    <row r="6822">
      <c r="A6822" s="2">
        <f>IFERROR(__xludf.DUMMYFUNCTION("""COMPUTED_VALUE"""),45706.66666666667)</f>
        <v>45706.66667</v>
      </c>
      <c r="B6822" s="1">
        <f>IFERROR(__xludf.DUMMYFUNCTION("""COMPUTED_VALUE"""),13478.02)</f>
        <v>13478.02</v>
      </c>
    </row>
    <row r="6823">
      <c r="A6823" s="2">
        <f>IFERROR(__xludf.DUMMYFUNCTION("""COMPUTED_VALUE"""),45707.66666666667)</f>
        <v>45707.66667</v>
      </c>
      <c r="B6823" s="1">
        <f>IFERROR(__xludf.DUMMYFUNCTION("""COMPUTED_VALUE"""),13510.29)</f>
        <v>13510.29</v>
      </c>
    </row>
    <row r="6824">
      <c r="A6824" s="2">
        <f>IFERROR(__xludf.DUMMYFUNCTION("""COMPUTED_VALUE"""),45708.66666666667)</f>
        <v>45708.66667</v>
      </c>
      <c r="B6824" s="1">
        <f>IFERROR(__xludf.DUMMYFUNCTION("""COMPUTED_VALUE"""),13453.54)</f>
        <v>13453.54</v>
      </c>
    </row>
    <row r="6825">
      <c r="A6825" s="2">
        <f>IFERROR(__xludf.DUMMYFUNCTION("""COMPUTED_VALUE"""),45709.66666666667)</f>
        <v>45709.66667</v>
      </c>
      <c r="B6825" s="1">
        <f>IFERROR(__xludf.DUMMYFUNCTION("""COMPUTED_VALUE"""),13224.45)</f>
        <v>13224.45</v>
      </c>
    </row>
    <row r="6826">
      <c r="A6826" s="2">
        <f>IFERROR(__xludf.DUMMYFUNCTION("""COMPUTED_VALUE"""),45712.66666666667)</f>
        <v>45712.66667</v>
      </c>
      <c r="B6826" s="1">
        <f>IFERROR(__xludf.DUMMYFUNCTION("""COMPUTED_VALUE"""),13159.21)</f>
        <v>13159.21</v>
      </c>
    </row>
    <row r="6827">
      <c r="A6827" s="2">
        <f>IFERROR(__xludf.DUMMYFUNCTION("""COMPUTED_VALUE"""),45713.66666666667)</f>
        <v>45713.66667</v>
      </c>
      <c r="B6827" s="1">
        <f>IFERROR(__xludf.DUMMYFUNCTION("""COMPUTED_VALUE"""),13097.85)</f>
        <v>13097.85</v>
      </c>
    </row>
    <row r="6828">
      <c r="A6828" s="2">
        <f>IFERROR(__xludf.DUMMYFUNCTION("""COMPUTED_VALUE"""),45714.66666666667)</f>
        <v>45714.66667</v>
      </c>
      <c r="B6828" s="1">
        <f>IFERROR(__xludf.DUMMYFUNCTION("""COMPUTED_VALUE"""),13099.91)</f>
        <v>13099.91</v>
      </c>
    </row>
    <row r="6829">
      <c r="A6829" s="2">
        <f>IFERROR(__xludf.DUMMYFUNCTION("""COMPUTED_VALUE"""),45715.66666666667)</f>
        <v>45715.66667</v>
      </c>
      <c r="B6829" s="1">
        <f>IFERROR(__xludf.DUMMYFUNCTION("""COMPUTED_VALUE"""),12892.2)</f>
        <v>12892.2</v>
      </c>
    </row>
    <row r="6830">
      <c r="A6830" s="2">
        <f>IFERROR(__xludf.DUMMYFUNCTION("""COMPUTED_VALUE"""),45716.66666666667)</f>
        <v>45716.66667</v>
      </c>
      <c r="B6830" s="1">
        <f>IFERROR(__xludf.DUMMYFUNCTION("""COMPUTED_VALUE"""),13098.22)</f>
        <v>13098.22</v>
      </c>
    </row>
    <row r="6831">
      <c r="A6831" s="2">
        <f>IFERROR(__xludf.DUMMYFUNCTION("""COMPUTED_VALUE"""),45719.66666666667)</f>
        <v>45719.66667</v>
      </c>
      <c r="B6831" s="1">
        <f>IFERROR(__xludf.DUMMYFUNCTION("""COMPUTED_VALUE"""),12868.95)</f>
        <v>12868.95</v>
      </c>
    </row>
    <row r="6832">
      <c r="A6832" s="2">
        <f>IFERROR(__xludf.DUMMYFUNCTION("""COMPUTED_VALUE"""),45720.66666666667)</f>
        <v>45720.66667</v>
      </c>
      <c r="B6832" s="1">
        <f>IFERROR(__xludf.DUMMYFUNCTION("""COMPUTED_VALUE"""),12711.86)</f>
        <v>12711.86</v>
      </c>
    </row>
    <row r="6833">
      <c r="A6833" s="2">
        <f>IFERROR(__xludf.DUMMYFUNCTION("""COMPUTED_VALUE"""),45721.66666666667)</f>
        <v>45721.66667</v>
      </c>
      <c r="B6833" s="1">
        <f>IFERROR(__xludf.DUMMYFUNCTION("""COMPUTED_VALUE"""),12853.99)</f>
        <v>12853.99</v>
      </c>
    </row>
    <row r="6834">
      <c r="A6834" s="2">
        <f>IFERROR(__xludf.DUMMYFUNCTION("""COMPUTED_VALUE"""),45722.66666666667)</f>
        <v>45722.66667</v>
      </c>
      <c r="B6834" s="1">
        <f>IFERROR(__xludf.DUMMYFUNCTION("""COMPUTED_VALUE"""),12625.31)</f>
        <v>12625.31</v>
      </c>
    </row>
    <row r="6835">
      <c r="A6835" s="2">
        <f>IFERROR(__xludf.DUMMYFUNCTION("""COMPUTED_VALUE"""),45723.66666666667)</f>
        <v>45723.66667</v>
      </c>
      <c r="B6835" s="1">
        <f>IFERROR(__xludf.DUMMYFUNCTION("""COMPUTED_VALUE"""),12696.9)</f>
        <v>12696.9</v>
      </c>
    </row>
    <row r="6836">
      <c r="A6836" s="2">
        <f>IFERROR(__xludf.DUMMYFUNCTION("""COMPUTED_VALUE"""),45726.66666666667)</f>
        <v>45726.66667</v>
      </c>
      <c r="B6836" s="1">
        <f>IFERROR(__xludf.DUMMYFUNCTION("""COMPUTED_VALUE"""),12356.69)</f>
        <v>12356.69</v>
      </c>
    </row>
    <row r="6837">
      <c r="A6837" s="2">
        <f>IFERROR(__xludf.DUMMYFUNCTION("""COMPUTED_VALUE"""),45727.66666666667)</f>
        <v>45727.66667</v>
      </c>
      <c r="B6837" s="1">
        <f>IFERROR(__xludf.DUMMYFUNCTION("""COMPUTED_VALUE"""),12263.31)</f>
        <v>12263.31</v>
      </c>
    </row>
    <row r="6838">
      <c r="A6838" s="2">
        <f>IFERROR(__xludf.DUMMYFUNCTION("""COMPUTED_VALUE"""),45728.66666666667)</f>
        <v>45728.66667</v>
      </c>
      <c r="B6838" s="1">
        <f>IFERROR(__xludf.DUMMYFUNCTION("""COMPUTED_VALUE"""),12323.5)</f>
        <v>12323.5</v>
      </c>
    </row>
    <row r="6839">
      <c r="A6839" s="2">
        <f>IFERROR(__xludf.DUMMYFUNCTION("""COMPUTED_VALUE"""),45729.66666666667)</f>
        <v>45729.66667</v>
      </c>
      <c r="B6839" s="1">
        <f>IFERROR(__xludf.DUMMYFUNCTION("""COMPUTED_VALUE"""),12153.33)</f>
        <v>12153.33</v>
      </c>
    </row>
    <row r="6840">
      <c r="A6840" s="2">
        <f>IFERROR(__xludf.DUMMYFUNCTION("""COMPUTED_VALUE"""),45730.66666666667)</f>
        <v>45730.66667</v>
      </c>
      <c r="B6840" s="1">
        <f>IFERROR(__xludf.DUMMYFUNCTION("""COMPUTED_VALUE"""),12414.28)</f>
        <v>12414.28</v>
      </c>
    </row>
    <row r="6841">
      <c r="A6841" s="2">
        <f>IFERROR(__xludf.DUMMYFUNCTION("""COMPUTED_VALUE"""),45733.66666666667)</f>
        <v>45733.66667</v>
      </c>
      <c r="B6841" s="1">
        <f>IFERROR(__xludf.DUMMYFUNCTION("""COMPUTED_VALUE"""),12494.82)</f>
        <v>12494.82</v>
      </c>
    </row>
    <row r="6842">
      <c r="A6842" s="2">
        <f>IFERROR(__xludf.DUMMYFUNCTION("""COMPUTED_VALUE"""),45734.66666666667)</f>
        <v>45734.66667</v>
      </c>
      <c r="B6842" s="1">
        <f>IFERROR(__xludf.DUMMYFUNCTION("""COMPUTED_VALUE"""),12362.16)</f>
        <v>12362.16</v>
      </c>
    </row>
    <row r="6843">
      <c r="A6843" s="2">
        <f>IFERROR(__xludf.DUMMYFUNCTION("""COMPUTED_VALUE"""),45735.66666666667)</f>
        <v>45735.66667</v>
      </c>
      <c r="B6843" s="1">
        <f>IFERROR(__xludf.DUMMYFUNCTION("""COMPUTED_VALUE"""),12495.74)</f>
        <v>12495.74</v>
      </c>
    </row>
    <row r="6844">
      <c r="A6844" s="2">
        <f>IFERROR(__xludf.DUMMYFUNCTION("""COMPUTED_VALUE"""),45736.66666666667)</f>
        <v>45736.66667</v>
      </c>
      <c r="B6844" s="1">
        <f>IFERROR(__xludf.DUMMYFUNCTION("""COMPUTED_VALUE"""),12469.97)</f>
        <v>12469.97</v>
      </c>
    </row>
    <row r="6845">
      <c r="A6845" s="2">
        <f>IFERROR(__xludf.DUMMYFUNCTION("""COMPUTED_VALUE"""),45737.66666666667)</f>
        <v>45737.66667</v>
      </c>
      <c r="B6845" s="1">
        <f>IFERROR(__xludf.DUMMYFUNCTION("""COMPUTED_VALUE"""),12480.59)</f>
        <v>12480.59</v>
      </c>
    </row>
    <row r="6846">
      <c r="A6846" s="2">
        <f>IFERROR(__xludf.DUMMYFUNCTION("""COMPUTED_VALUE"""),45740.66666666667)</f>
        <v>45740.66667</v>
      </c>
      <c r="B6846" s="1">
        <f>IFERROR(__xludf.DUMMYFUNCTION("""COMPUTED_VALUE"""),12700.91)</f>
        <v>12700.91</v>
      </c>
    </row>
    <row r="6847">
      <c r="A6847" s="2">
        <f>IFERROR(__xludf.DUMMYFUNCTION("""COMPUTED_VALUE"""),45741.66666666667)</f>
        <v>45741.66667</v>
      </c>
      <c r="B6847" s="1">
        <f>IFERROR(__xludf.DUMMYFUNCTION("""COMPUTED_VALUE"""),12721.41)</f>
        <v>12721.41</v>
      </c>
    </row>
    <row r="6848">
      <c r="A6848" s="2">
        <f>IFERROR(__xludf.DUMMYFUNCTION("""COMPUTED_VALUE"""),45742.66666666667)</f>
        <v>45742.66667</v>
      </c>
      <c r="B6848" s="1">
        <f>IFERROR(__xludf.DUMMYFUNCTION("""COMPUTED_VALUE"""),12579.48)</f>
        <v>12579.48</v>
      </c>
    </row>
    <row r="6849">
      <c r="A6849" s="2">
        <f>IFERROR(__xludf.DUMMYFUNCTION("""COMPUTED_VALUE"""),45743.66666666667)</f>
        <v>45743.66667</v>
      </c>
      <c r="B6849" s="1">
        <f>IFERROR(__xludf.DUMMYFUNCTION("""COMPUTED_VALUE"""),12537.93)</f>
        <v>12537.93</v>
      </c>
    </row>
    <row r="6850">
      <c r="A6850" s="2">
        <f>IFERROR(__xludf.DUMMYFUNCTION("""COMPUTED_VALUE"""),45744.66666666667)</f>
        <v>45744.66667</v>
      </c>
      <c r="B6850" s="1">
        <f>IFERROR(__xludf.DUMMYFUNCTION("""COMPUTED_VALUE"""),12290.86)</f>
        <v>12290.86</v>
      </c>
    </row>
    <row r="6851">
      <c r="A6851" s="2">
        <f>IFERROR(__xludf.DUMMYFUNCTION("""COMPUTED_VALUE"""),45747.66666666667)</f>
        <v>45747.66667</v>
      </c>
      <c r="B6851" s="1">
        <f>IFERROR(__xludf.DUMMYFUNCTION("""COMPUTED_VALUE"""),12360.21)</f>
        <v>12360.21</v>
      </c>
    </row>
    <row r="6852">
      <c r="A6852" s="2">
        <f>IFERROR(__xludf.DUMMYFUNCTION("""COMPUTED_VALUE"""),45748.66666666667)</f>
        <v>45748.66667</v>
      </c>
      <c r="B6852" s="1">
        <f>IFERROR(__xludf.DUMMYFUNCTION("""COMPUTED_VALUE"""),12407.26)</f>
        <v>12407.26</v>
      </c>
    </row>
    <row r="6853">
      <c r="A6853" s="2">
        <f>IFERROR(__xludf.DUMMYFUNCTION("""COMPUTED_VALUE"""),45749.66666666667)</f>
        <v>45749.66667</v>
      </c>
      <c r="B6853" s="1">
        <f>IFERROR(__xludf.DUMMYFUNCTION("""COMPUTED_VALUE"""),12491.1)</f>
        <v>12491.1</v>
      </c>
    </row>
    <row r="6854">
      <c r="A6854" s="2">
        <f>IFERROR(__xludf.DUMMYFUNCTION("""COMPUTED_VALUE"""),45750.66666666667)</f>
        <v>45750.66667</v>
      </c>
      <c r="B6854" s="1">
        <f>IFERROR(__xludf.DUMMYFUNCTION("""COMPUTED_VALUE"""),11887.15)</f>
        <v>11887.15</v>
      </c>
    </row>
    <row r="6855">
      <c r="A6855" s="2">
        <f>IFERROR(__xludf.DUMMYFUNCTION("""COMPUTED_VALUE"""),45751.66666666667)</f>
        <v>45751.66667</v>
      </c>
      <c r="B6855" s="1">
        <f>IFERROR(__xludf.DUMMYFUNCTION("""COMPUTED_VALUE"""),11178.48)</f>
        <v>11178.48</v>
      </c>
    </row>
    <row r="6856">
      <c r="A6856" s="2">
        <f>IFERROR(__xludf.DUMMYFUNCTION("""COMPUTED_VALUE"""),45754.66666666667)</f>
        <v>45754.66667</v>
      </c>
      <c r="B6856" s="1">
        <f>IFERROR(__xludf.DUMMYFUNCTION("""COMPUTED_VALUE"""),11152.56)</f>
        <v>11152.56</v>
      </c>
    </row>
    <row r="6857">
      <c r="A6857" s="2">
        <f>IFERROR(__xludf.DUMMYFUNCTION("""COMPUTED_VALUE"""),45755.66666666667)</f>
        <v>45755.66667</v>
      </c>
      <c r="B6857" s="1">
        <f>IFERROR(__xludf.DUMMYFUNCTION("""COMPUTED_VALUE"""),10977.5)</f>
        <v>10977.5</v>
      </c>
    </row>
    <row r="6858">
      <c r="A6858" s="2">
        <f>IFERROR(__xludf.DUMMYFUNCTION("""COMPUTED_VALUE"""),45756.66666666667)</f>
        <v>45756.66667</v>
      </c>
      <c r="B6858" s="1">
        <f>IFERROR(__xludf.DUMMYFUNCTION("""COMPUTED_VALUE"""),12022.21)</f>
        <v>12022.21</v>
      </c>
    </row>
    <row r="6859">
      <c r="A6859" s="2">
        <f>IFERROR(__xludf.DUMMYFUNCTION("""COMPUTED_VALUE"""),45757.66666666667)</f>
        <v>45757.66667</v>
      </c>
      <c r="B6859" s="1">
        <f>IFERROR(__xludf.DUMMYFUNCTION("""COMPUTED_VALUE"""),11608.22)</f>
        <v>11608.22</v>
      </c>
    </row>
    <row r="6860">
      <c r="A6860" s="2">
        <f>IFERROR(__xludf.DUMMYFUNCTION("""COMPUTED_VALUE"""),45758.66666666667)</f>
        <v>45758.66667</v>
      </c>
      <c r="B6860" s="1">
        <f>IFERROR(__xludf.DUMMYFUNCTION("""COMPUTED_VALUE"""),11818.53)</f>
        <v>11818.53</v>
      </c>
    </row>
    <row r="6861">
      <c r="A6861" s="2">
        <f>IFERROR(__xludf.DUMMYFUNCTION("""COMPUTED_VALUE"""),45761.66666666667)</f>
        <v>45761.66667</v>
      </c>
      <c r="B6861" s="1">
        <f>IFERROR(__xludf.DUMMYFUNCTION("""COMPUTED_VALUE"""),11912.45)</f>
        <v>11912.45</v>
      </c>
    </row>
    <row r="6862">
      <c r="A6862" s="2">
        <f>IFERROR(__xludf.DUMMYFUNCTION("""COMPUTED_VALUE"""),45762.66666666667)</f>
        <v>45762.66667</v>
      </c>
      <c r="B6862" s="1">
        <f>IFERROR(__xludf.DUMMYFUNCTION("""COMPUTED_VALUE"""),11892.99)</f>
        <v>11892.99</v>
      </c>
    </row>
    <row r="6863">
      <c r="A6863" s="2">
        <f>IFERROR(__xludf.DUMMYFUNCTION("""COMPUTED_VALUE"""),45763.66666666667)</f>
        <v>45763.66667</v>
      </c>
      <c r="B6863" s="1">
        <f>IFERROR(__xludf.DUMMYFUNCTION("""COMPUTED_VALUE"""),11626.79)</f>
        <v>11626.79</v>
      </c>
    </row>
    <row r="6864">
      <c r="A6864" s="2">
        <f>IFERROR(__xludf.DUMMYFUNCTION("""COMPUTED_VALUE"""),45764.66666666667)</f>
        <v>45764.66667</v>
      </c>
      <c r="B6864" s="1">
        <f>IFERROR(__xludf.DUMMYFUNCTION("""COMPUTED_VALUE"""),11642.4)</f>
        <v>11642.4</v>
      </c>
    </row>
    <row r="6865">
      <c r="A6865" s="2">
        <f>IFERROR(__xludf.DUMMYFUNCTION("""COMPUTED_VALUE"""),45768.66666666667)</f>
        <v>45768.66667</v>
      </c>
      <c r="B6865" s="1">
        <f>IFERROR(__xludf.DUMMYFUNCTION("""COMPUTED_VALUE"""),11368.98)</f>
        <v>11368.98</v>
      </c>
    </row>
    <row r="6866">
      <c r="A6866" s="2">
        <f>IFERROR(__xludf.DUMMYFUNCTION("""COMPUTED_VALUE"""),45769.66666666667)</f>
        <v>45769.66667</v>
      </c>
      <c r="B6866" s="1">
        <f>IFERROR(__xludf.DUMMYFUNCTION("""COMPUTED_VALUE"""),11654.83)</f>
        <v>11654.83</v>
      </c>
    </row>
    <row r="6867">
      <c r="A6867" s="2">
        <f>IFERROR(__xludf.DUMMYFUNCTION("""COMPUTED_VALUE"""),45770.66666666667)</f>
        <v>45770.66667</v>
      </c>
      <c r="B6867" s="1">
        <f>IFERROR(__xludf.DUMMYFUNCTION("""COMPUTED_VALUE"""),11849.25)</f>
        <v>11849.25</v>
      </c>
    </row>
    <row r="6868">
      <c r="A6868" s="2">
        <f>IFERROR(__xludf.DUMMYFUNCTION("""COMPUTED_VALUE"""),45771.66666666667)</f>
        <v>45771.66667</v>
      </c>
      <c r="B6868" s="1">
        <f>IFERROR(__xludf.DUMMYFUNCTION("""COMPUTED_VALUE"""),12089.31)</f>
        <v>12089.31</v>
      </c>
    </row>
    <row r="6869">
      <c r="A6869" s="2">
        <f>IFERROR(__xludf.DUMMYFUNCTION("""COMPUTED_VALUE"""),45772.66666666667)</f>
        <v>45772.66667</v>
      </c>
      <c r="B6869" s="1">
        <f>IFERROR(__xludf.DUMMYFUNCTION("""COMPUTED_VALUE"""),12178.49)</f>
        <v>12178.49</v>
      </c>
    </row>
    <row r="6870">
      <c r="A6870" s="2">
        <f>IFERROR(__xludf.DUMMYFUNCTION("""COMPUTED_VALUE"""),45775.66666666667)</f>
        <v>45775.66667</v>
      </c>
      <c r="B6870" s="1">
        <f>IFERROR(__xludf.DUMMYFUNCTION("""COMPUTED_VALUE"""),12186.52)</f>
        <v>12186.52</v>
      </c>
    </row>
    <row r="6871">
      <c r="A6871" s="2">
        <f>IFERROR(__xludf.DUMMYFUNCTION("""COMPUTED_VALUE"""),45776.66666666667)</f>
        <v>45776.66667</v>
      </c>
      <c r="B6871" s="1">
        <f>IFERROR(__xludf.DUMMYFUNCTION("""COMPUTED_VALUE"""),12257.27)</f>
        <v>12257.27</v>
      </c>
    </row>
    <row r="6872">
      <c r="A6872" s="2">
        <f>IFERROR(__xludf.DUMMYFUNCTION("""COMPUTED_VALUE"""),45777.66666666667)</f>
        <v>45777.66667</v>
      </c>
      <c r="B6872" s="1">
        <f>IFERROR(__xludf.DUMMYFUNCTION("""COMPUTED_VALUE"""),12276.39)</f>
        <v>12276.39</v>
      </c>
    </row>
    <row r="6873">
      <c r="A6873" s="2">
        <f>IFERROR(__xludf.DUMMYFUNCTION("""COMPUTED_VALUE"""),45778.66666666667)</f>
        <v>45778.66667</v>
      </c>
      <c r="B6873" s="1">
        <f>IFERROR(__xludf.DUMMYFUNCTION("""COMPUTED_VALUE"""),12353.87)</f>
        <v>12353.87</v>
      </c>
    </row>
    <row r="6874">
      <c r="A6874" s="2">
        <f>IFERROR(__xludf.DUMMYFUNCTION("""COMPUTED_VALUE"""),45779.66666666667)</f>
        <v>45779.66667</v>
      </c>
      <c r="B6874" s="1">
        <f>IFERROR(__xludf.DUMMYFUNCTION("""COMPUTED_VALUE"""),12536.2)</f>
        <v>12536.2</v>
      </c>
    </row>
    <row r="6875">
      <c r="A6875" s="2">
        <f>IFERROR(__xludf.DUMMYFUNCTION("""COMPUTED_VALUE"""),45782.66666666667)</f>
        <v>45782.66667</v>
      </c>
      <c r="B6875" s="1">
        <f>IFERROR(__xludf.DUMMYFUNCTION("""COMPUTED_VALUE"""),12456.84)</f>
        <v>12456.84</v>
      </c>
    </row>
    <row r="6876">
      <c r="A6876" s="2">
        <f>IFERROR(__xludf.DUMMYFUNCTION("""COMPUTED_VALUE"""),45783.66666666667)</f>
        <v>45783.66667</v>
      </c>
      <c r="B6876" s="1">
        <f>IFERROR(__xludf.DUMMYFUNCTION("""COMPUTED_VALUE"""),12361.16)</f>
        <v>12361.16</v>
      </c>
    </row>
    <row r="6877">
      <c r="A6877" s="2">
        <f>IFERROR(__xludf.DUMMYFUNCTION("""COMPUTED_VALUE"""),45784.66666666667)</f>
        <v>45784.66667</v>
      </c>
      <c r="B6877" s="1">
        <f>IFERROR(__xludf.DUMMYFUNCTION("""COMPUTED_VALUE"""),12414.98)</f>
        <v>12414.98</v>
      </c>
    </row>
    <row r="6878">
      <c r="A6878" s="2">
        <f>IFERROR(__xludf.DUMMYFUNCTION("""COMPUTED_VALUE"""),45785.66666666667)</f>
        <v>45785.66667</v>
      </c>
      <c r="B6878" s="1">
        <f>IFERROR(__xludf.DUMMYFUNCTION("""COMPUTED_VALUE"""),12487.0)</f>
        <v>12487</v>
      </c>
    </row>
    <row r="6879">
      <c r="A6879" s="2">
        <f>IFERROR(__xludf.DUMMYFUNCTION("""COMPUTED_VALUE"""),45786.66666666667)</f>
        <v>45786.66667</v>
      </c>
      <c r="B6879" s="1">
        <f>IFERROR(__xludf.DUMMYFUNCTION("""COMPUTED_VALUE"""),12480.31)</f>
        <v>12480.31</v>
      </c>
    </row>
    <row r="6880">
      <c r="A6880" s="2">
        <f>IFERROR(__xludf.DUMMYFUNCTION("""COMPUTED_VALUE"""),45789.66666666667)</f>
        <v>45789.66667</v>
      </c>
      <c r="B6880" s="1">
        <f>IFERROR(__xludf.DUMMYFUNCTION("""COMPUTED_VALUE"""),12888.13)</f>
        <v>12888.13</v>
      </c>
    </row>
    <row r="6881">
      <c r="A6881" s="2">
        <f>IFERROR(__xludf.DUMMYFUNCTION("""COMPUTED_VALUE"""),45790.66666666667)</f>
        <v>45790.66667</v>
      </c>
      <c r="B6881" s="1">
        <f>IFERROR(__xludf.DUMMYFUNCTION("""COMPUTED_VALUE"""),12981.89)</f>
        <v>12981.89</v>
      </c>
    </row>
    <row r="6882">
      <c r="A6882" s="2">
        <f>IFERROR(__xludf.DUMMYFUNCTION("""COMPUTED_VALUE"""),45791.66666666667)</f>
        <v>45791.66667</v>
      </c>
      <c r="B6882" s="1">
        <f>IFERROR(__xludf.DUMMYFUNCTION("""COMPUTED_VALUE"""),12995.78)</f>
        <v>12995.78</v>
      </c>
    </row>
    <row r="6883">
      <c r="A6883" s="2">
        <f>IFERROR(__xludf.DUMMYFUNCTION("""COMPUTED_VALUE"""),45792.66666666667)</f>
        <v>45792.66667</v>
      </c>
      <c r="B6883" s="1">
        <f>IFERROR(__xludf.DUMMYFUNCTION("""COMPUTED_VALUE"""),13052.72)</f>
        <v>13052.72</v>
      </c>
    </row>
    <row r="6884">
      <c r="A6884" s="2">
        <f>IFERROR(__xludf.DUMMYFUNCTION("""COMPUTED_VALUE"""),45793.66666666667)</f>
        <v>45793.66667</v>
      </c>
      <c r="B6884" s="1">
        <f>IFERROR(__xludf.DUMMYFUNCTION("""COMPUTED_VALUE"""),13145.88)</f>
        <v>13145.88</v>
      </c>
    </row>
    <row r="6885">
      <c r="A6885" s="2">
        <f>IFERROR(__xludf.DUMMYFUNCTION("""COMPUTED_VALUE"""),45796.66666666667)</f>
        <v>45796.66667</v>
      </c>
      <c r="B6885" s="1">
        <f>IFERROR(__xludf.DUMMYFUNCTION("""COMPUTED_VALUE"""),13159.31)</f>
        <v>13159.31</v>
      </c>
    </row>
    <row r="6886">
      <c r="A6886" s="2">
        <f>IFERROR(__xludf.DUMMYFUNCTION("""COMPUTED_VALUE"""),45797.66666666667)</f>
        <v>45797.66667</v>
      </c>
      <c r="B6886" s="1">
        <f>IFERROR(__xludf.DUMMYFUNCTION("""COMPUTED_VALUE"""),13108.52)</f>
        <v>13108.52</v>
      </c>
    </row>
    <row r="6887">
      <c r="A6887" s="2">
        <f>IFERROR(__xludf.DUMMYFUNCTION("""COMPUTED_VALUE"""),45798.66666666667)</f>
        <v>45798.66667</v>
      </c>
      <c r="B6887" s="1">
        <f>IFERROR(__xludf.DUMMYFUNCTION("""COMPUTED_VALUE"""),12897.42)</f>
        <v>12897.42</v>
      </c>
    </row>
    <row r="6888">
      <c r="A6888" s="2">
        <f>IFERROR(__xludf.DUMMYFUNCTION("""COMPUTED_VALUE"""),45799.66666666667)</f>
        <v>45799.66667</v>
      </c>
      <c r="B6888" s="1">
        <f>IFERROR(__xludf.DUMMYFUNCTION("""COMPUTED_VALUE"""),12891.95)</f>
        <v>12891.95</v>
      </c>
    </row>
    <row r="6889">
      <c r="A6889" s="2">
        <f>IFERROR(__xludf.DUMMYFUNCTION("""COMPUTED_VALUE"""),45800.66666666667)</f>
        <v>45800.66667</v>
      </c>
      <c r="B6889" s="1">
        <f>IFERROR(__xludf.DUMMYFUNCTION("""COMPUTED_VALUE"""),12806.24)</f>
        <v>12806.24</v>
      </c>
    </row>
    <row r="6890">
      <c r="A6890" s="2">
        <f>IFERROR(__xludf.DUMMYFUNCTION("""COMPUTED_VALUE"""),45804.66666666667)</f>
        <v>45804.66667</v>
      </c>
      <c r="B6890" s="1">
        <f>IFERROR(__xludf.DUMMYFUNCTION("""COMPUTED_VALUE"""),13069.32)</f>
        <v>13069.32</v>
      </c>
    </row>
    <row r="6891">
      <c r="A6891" s="2">
        <f>IFERROR(__xludf.DUMMYFUNCTION("""COMPUTED_VALUE"""),45805.66666666667)</f>
        <v>45805.66667</v>
      </c>
      <c r="B6891" s="1">
        <f>IFERROR(__xludf.DUMMYFUNCTION("""COMPUTED_VALUE"""),12996.67)</f>
        <v>12996.67</v>
      </c>
    </row>
    <row r="6892">
      <c r="A6892" s="2">
        <f>IFERROR(__xludf.DUMMYFUNCTION("""COMPUTED_VALUE"""),45806.66666666667)</f>
        <v>45806.66667</v>
      </c>
      <c r="B6892" s="1">
        <f>IFERROR(__xludf.DUMMYFUNCTION("""COMPUTED_VALUE"""),13049.01)</f>
        <v>13049.01</v>
      </c>
    </row>
    <row r="6893">
      <c r="A6893" s="2">
        <f>IFERROR(__xludf.DUMMYFUNCTION("""COMPUTED_VALUE"""),45807.66666666667)</f>
        <v>45807.66667</v>
      </c>
      <c r="B6893" s="1">
        <f>IFERROR(__xludf.DUMMYFUNCTION("""COMPUTED_VALUE"""),13049.13)</f>
        <v>13049.13</v>
      </c>
    </row>
    <row r="6894">
      <c r="A6894" s="2">
        <f>IFERROR(__xludf.DUMMYFUNCTION("""COMPUTED_VALUE"""),45810.66666666667)</f>
        <v>45810.66667</v>
      </c>
      <c r="B6894" s="1">
        <f>IFERROR(__xludf.DUMMYFUNCTION("""COMPUTED_VALUE"""),13104.24)</f>
        <v>13104.24</v>
      </c>
    </row>
    <row r="6895">
      <c r="A6895" s="2">
        <f>IFERROR(__xludf.DUMMYFUNCTION("""COMPUTED_VALUE"""),45811.66666666667)</f>
        <v>45811.66667</v>
      </c>
      <c r="B6895" s="1">
        <f>IFERROR(__xludf.DUMMYFUNCTION("""COMPUTED_VALUE"""),13180.45)</f>
        <v>13180.45</v>
      </c>
    </row>
    <row r="6896">
      <c r="A6896" s="2">
        <f>IFERROR(__xludf.DUMMYFUNCTION("""COMPUTED_VALUE"""),45812.66666666667)</f>
        <v>45812.66667</v>
      </c>
      <c r="B6896" s="1">
        <f>IFERROR(__xludf.DUMMYFUNCTION("""COMPUTED_VALUE"""),13181.97)</f>
        <v>13181.97</v>
      </c>
    </row>
    <row r="6897">
      <c r="A6897" s="2">
        <f>IFERROR(__xludf.DUMMYFUNCTION("""COMPUTED_VALUE"""),45813.66666666667)</f>
        <v>45813.66667</v>
      </c>
      <c r="B6897" s="1">
        <f>IFERROR(__xludf.DUMMYFUNCTION("""COMPUTED_VALUE"""),13113.47)</f>
        <v>13113.47</v>
      </c>
    </row>
    <row r="6898">
      <c r="A6898" s="2">
        <f>IFERROR(__xludf.DUMMYFUNCTION("""COMPUTED_VALUE"""),45814.66666666667)</f>
        <v>45814.66667</v>
      </c>
      <c r="B6898" s="1">
        <f>IFERROR(__xludf.DUMMYFUNCTION("""COMPUTED_VALUE"""),13249.81)</f>
        <v>13249.81</v>
      </c>
    </row>
    <row r="6899">
      <c r="A6899" s="2">
        <f>IFERROR(__xludf.DUMMYFUNCTION("""COMPUTED_VALUE"""),45817.66666666667)</f>
        <v>45817.66667</v>
      </c>
      <c r="B6899" s="1">
        <f>IFERROR(__xludf.DUMMYFUNCTION("""COMPUTED_VALUE"""),13263.13)</f>
        <v>13263.13</v>
      </c>
    </row>
    <row r="6900">
      <c r="A6900" s="2">
        <f>IFERROR(__xludf.DUMMYFUNCTION("""COMPUTED_VALUE"""),45818.66666666667)</f>
        <v>45818.66667</v>
      </c>
      <c r="B6900" s="1">
        <f>IFERROR(__xludf.DUMMYFUNCTION("""COMPUTED_VALUE"""),13336.29)</f>
        <v>13336.29</v>
      </c>
    </row>
    <row r="6901">
      <c r="A6901" s="2">
        <f>IFERROR(__xludf.DUMMYFUNCTION("""COMPUTED_VALUE"""),45819.66666666667)</f>
        <v>45819.66667</v>
      </c>
      <c r="B6901" s="1">
        <f>IFERROR(__xludf.DUMMYFUNCTION("""COMPUTED_VALUE"""),13299.87)</f>
        <v>13299.87</v>
      </c>
    </row>
    <row r="6902">
      <c r="A6902" s="2">
        <f>IFERROR(__xludf.DUMMYFUNCTION("""COMPUTED_VALUE"""),45820.66666666667)</f>
        <v>45820.66667</v>
      </c>
      <c r="B6902" s="1">
        <f>IFERROR(__xludf.DUMMYFUNCTION("""COMPUTED_VALUE"""),13350.85)</f>
        <v>13350.85</v>
      </c>
    </row>
    <row r="6903">
      <c r="A6903" s="2">
        <f>IFERROR(__xludf.DUMMYFUNCTION("""COMPUTED_VALUE"""),45821.66666666667)</f>
        <v>45821.66667</v>
      </c>
      <c r="B6903" s="1">
        <f>IFERROR(__xludf.DUMMYFUNCTION("""COMPUTED_VALUE"""),13202.26)</f>
        <v>13202.26</v>
      </c>
    </row>
    <row r="6904">
      <c r="A6904" s="2">
        <f>IFERROR(__xludf.DUMMYFUNCTION("""COMPUTED_VALUE"""),45824.66666666667)</f>
        <v>45824.66667</v>
      </c>
      <c r="B6904" s="1">
        <f>IFERROR(__xludf.DUMMYFUNCTION("""COMPUTED_VALUE"""),13328.43)</f>
        <v>13328.43</v>
      </c>
    </row>
    <row r="6905">
      <c r="A6905" s="2">
        <f>IFERROR(__xludf.DUMMYFUNCTION("""COMPUTED_VALUE"""),45825.66666666667)</f>
        <v>45825.66667</v>
      </c>
      <c r="B6905" s="1">
        <f>IFERROR(__xludf.DUMMYFUNCTION("""COMPUTED_VALUE"""),13217.52)</f>
        <v>13217.52</v>
      </c>
    </row>
    <row r="6906">
      <c r="A6906" s="2">
        <f>IFERROR(__xludf.DUMMYFUNCTION("""COMPUTED_VALUE"""),45826.66666666667)</f>
        <v>45826.66667</v>
      </c>
      <c r="B6906" s="1">
        <f>IFERROR(__xludf.DUMMYFUNCTION("""COMPUTED_VALUE"""),13213.88)</f>
        <v>13213.88</v>
      </c>
    </row>
    <row r="6907">
      <c r="A6907" s="2">
        <f>IFERROR(__xludf.DUMMYFUNCTION("""COMPUTED_VALUE"""),45828.66666666667)</f>
        <v>45828.66667</v>
      </c>
      <c r="B6907" s="1">
        <f>IFERROR(__xludf.DUMMYFUNCTION("""COMPUTED_VALUE"""),13185.84)</f>
        <v>13185.84</v>
      </c>
    </row>
    <row r="6908">
      <c r="A6908" s="2">
        <f>IFERROR(__xludf.DUMMYFUNCTION("""COMPUTED_VALUE"""),45831.66666666667)</f>
        <v>45831.66667</v>
      </c>
      <c r="B6908" s="1">
        <f>IFERROR(__xludf.DUMMYFUNCTION("""COMPUTED_VALUE"""),13312.75)</f>
        <v>13312.75</v>
      </c>
    </row>
    <row r="6909">
      <c r="A6909" s="2">
        <f>IFERROR(__xludf.DUMMYFUNCTION("""COMPUTED_VALUE"""),45832.66666666667)</f>
        <v>45832.66667</v>
      </c>
      <c r="B6909" s="1">
        <f>IFERROR(__xludf.DUMMYFUNCTION("""COMPUTED_VALUE"""),13461.1)</f>
        <v>13461.1</v>
      </c>
    </row>
    <row r="6910">
      <c r="A6910" s="2">
        <f>IFERROR(__xludf.DUMMYFUNCTION("""COMPUTED_VALUE"""),45833.66666666667)</f>
        <v>45833.66667</v>
      </c>
      <c r="B6910" s="1">
        <f>IFERROR(__xludf.DUMMYFUNCTION("""COMPUTED_VALUE"""),13461.17)</f>
        <v>13461.17</v>
      </c>
    </row>
    <row r="6911">
      <c r="A6911" s="2">
        <f>IFERROR(__xludf.DUMMYFUNCTION("""COMPUTED_VALUE"""),45834.66666666667)</f>
        <v>45834.66667</v>
      </c>
      <c r="B6911" s="1">
        <f>IFERROR(__xludf.DUMMYFUNCTION("""COMPUTED_VALUE"""),13569.29)</f>
        <v>13569.29</v>
      </c>
    </row>
    <row r="6912">
      <c r="A6912" s="2">
        <f>IFERROR(__xludf.DUMMYFUNCTION("""COMPUTED_VALUE"""),45835.66666666667)</f>
        <v>45835.66667</v>
      </c>
      <c r="B6912" s="1">
        <f>IFERROR(__xludf.DUMMYFUNCTION("""COMPUTED_VALUE"""),13641.1)</f>
        <v>13641.1</v>
      </c>
    </row>
    <row r="6913">
      <c r="A6913" s="2">
        <f>IFERROR(__xludf.DUMMYFUNCTION("""COMPUTED_VALUE"""),45838.66666666667)</f>
        <v>45838.66667</v>
      </c>
      <c r="B6913" s="1">
        <f>IFERROR(__xludf.DUMMYFUNCTION("""COMPUTED_VALUE"""),13712.71)</f>
        <v>13712.71</v>
      </c>
    </row>
    <row r="6914">
      <c r="A6914" s="2">
        <f>IFERROR(__xludf.DUMMYFUNCTION("""COMPUTED_VALUE"""),45839.66666666667)</f>
        <v>45839.66667</v>
      </c>
      <c r="B6914" s="1">
        <f>IFERROR(__xludf.DUMMYFUNCTION("""COMPUTED_VALUE"""),13697.68)</f>
        <v>13697.68</v>
      </c>
    </row>
    <row r="6915">
      <c r="A6915" s="2">
        <f>IFERROR(__xludf.DUMMYFUNCTION("""COMPUTED_VALUE"""),45840.66666666667)</f>
        <v>45840.66667</v>
      </c>
      <c r="B6915" s="1">
        <f>IFERROR(__xludf.DUMMYFUNCTION("""COMPUTED_VALUE"""),13763.04)</f>
        <v>13763.04</v>
      </c>
    </row>
    <row r="6916">
      <c r="A6916" s="2">
        <f>IFERROR(__xludf.DUMMYFUNCTION("""COMPUTED_VALUE"""),45841.54166666667)</f>
        <v>45841.54167</v>
      </c>
      <c r="B6916" s="1">
        <f>IFERROR(__xludf.DUMMYFUNCTION("""COMPUTED_VALUE"""),13879.98)</f>
        <v>13879.98</v>
      </c>
    </row>
    <row r="6917">
      <c r="A6917" s="2">
        <f>IFERROR(__xludf.DUMMYFUNCTION("""COMPUTED_VALUE"""),45845.66666666667)</f>
        <v>45845.66667</v>
      </c>
      <c r="B6917" s="1">
        <f>IFERROR(__xludf.DUMMYFUNCTION("""COMPUTED_VALUE"""),13771.11)</f>
        <v>13771.11</v>
      </c>
    </row>
    <row r="6918">
      <c r="A6918" s="2">
        <f>IFERROR(__xludf.DUMMYFUNCTION("""COMPUTED_VALUE"""),45846.66666666667)</f>
        <v>45846.66667</v>
      </c>
      <c r="B6918" s="1">
        <f>IFERROR(__xludf.DUMMYFUNCTION("""COMPUTED_VALUE"""),13761.33)</f>
        <v>13761.33</v>
      </c>
    </row>
    <row r="6919">
      <c r="A6919" s="2">
        <f>IFERROR(__xludf.DUMMYFUNCTION("""COMPUTED_VALUE"""),45847.66666666667)</f>
        <v>45847.66667</v>
      </c>
      <c r="B6919" s="1">
        <f>IFERROR(__xludf.DUMMYFUNCTION("""COMPUTED_VALUE"""),13844.92)</f>
        <v>13844.92</v>
      </c>
    </row>
    <row r="6920">
      <c r="A6920" s="2">
        <f>IFERROR(__xludf.DUMMYFUNCTION("""COMPUTED_VALUE"""),45848.66666666667)</f>
        <v>45848.66667</v>
      </c>
      <c r="B6920" s="1">
        <f>IFERROR(__xludf.DUMMYFUNCTION("""COMPUTED_VALUE"""),13884.89)</f>
        <v>13884.89</v>
      </c>
    </row>
    <row r="6921">
      <c r="A6921" s="2">
        <f>IFERROR(__xludf.DUMMYFUNCTION("""COMPUTED_VALUE"""),45849.66666666667)</f>
        <v>45849.66667</v>
      </c>
      <c r="B6921" s="1">
        <f>IFERROR(__xludf.DUMMYFUNCTION("""COMPUTED_VALUE"""),13839.11)</f>
        <v>13839.11</v>
      </c>
    </row>
    <row r="6922">
      <c r="A6922" s="2">
        <f>IFERROR(__xludf.DUMMYFUNCTION("""COMPUTED_VALUE"""),45852.66666666667)</f>
        <v>45852.66667</v>
      </c>
      <c r="B6922" s="1">
        <f>IFERROR(__xludf.DUMMYFUNCTION("""COMPUTED_VALUE"""),13858.62)</f>
        <v>13858.62</v>
      </c>
    </row>
    <row r="6923">
      <c r="A6923" s="2">
        <f>IFERROR(__xludf.DUMMYFUNCTION("""COMPUTED_VALUE"""),45853.66666666667)</f>
        <v>45853.66667</v>
      </c>
      <c r="B6923" s="1">
        <f>IFERROR(__xludf.DUMMYFUNCTION("""COMPUTED_VALUE"""),13805.08)</f>
        <v>13805.08</v>
      </c>
    </row>
    <row r="6924">
      <c r="A6924" s="2">
        <f>IFERROR(__xludf.DUMMYFUNCTION("""COMPUTED_VALUE"""),45854.66666666667)</f>
        <v>45854.66667</v>
      </c>
      <c r="B6924" s="1">
        <f>IFERROR(__xludf.DUMMYFUNCTION("""COMPUTED_VALUE"""),13849.17)</f>
        <v>13849.17</v>
      </c>
    </row>
    <row r="6925">
      <c r="A6925" s="2">
        <f>IFERROR(__xludf.DUMMYFUNCTION("""COMPUTED_VALUE"""),45855.66666666667)</f>
        <v>45855.66667</v>
      </c>
      <c r="B6925" s="1">
        <f>IFERROR(__xludf.DUMMYFUNCTION("""COMPUTED_VALUE"""),13923.75)</f>
        <v>13923.75</v>
      </c>
    </row>
    <row r="6926">
      <c r="A6926" s="2">
        <f>IFERROR(__xludf.DUMMYFUNCTION("""COMPUTED_VALUE"""),45856.66666666667)</f>
        <v>45856.66667</v>
      </c>
      <c r="B6926" s="1">
        <f>IFERROR(__xludf.DUMMYFUNCTION("""COMPUTED_VALUE"""),13923.35)</f>
        <v>13923.35</v>
      </c>
    </row>
    <row r="6927">
      <c r="A6927" s="2">
        <f>IFERROR(__xludf.DUMMYFUNCTION("""COMPUTED_VALUE"""),45859.66666666667)</f>
        <v>45859.66667</v>
      </c>
      <c r="B6927" s="1">
        <f>IFERROR(__xludf.DUMMYFUNCTION("""COMPUTED_VALUE"""),13943.16)</f>
        <v>13943.16</v>
      </c>
    </row>
    <row r="6928">
      <c r="A6928" s="2">
        <f>IFERROR(__xludf.DUMMYFUNCTION("""COMPUTED_VALUE"""),45860.66666666667)</f>
        <v>45860.66667</v>
      </c>
      <c r="B6928" s="1">
        <f>IFERROR(__xludf.DUMMYFUNCTION("""COMPUTED_VALUE"""),13952.35)</f>
        <v>13952.35</v>
      </c>
    </row>
    <row r="6929">
      <c r="A6929" s="2">
        <f>IFERROR(__xludf.DUMMYFUNCTION("""COMPUTED_VALUE"""),45861.66666666667)</f>
        <v>45861.66667</v>
      </c>
      <c r="B6929" s="1">
        <f>IFERROR(__xludf.DUMMYFUNCTION("""COMPUTED_VALUE"""),14061.52)</f>
        <v>14061.52</v>
      </c>
    </row>
    <row r="6930">
      <c r="A6930" s="2">
        <f>IFERROR(__xludf.DUMMYFUNCTION("""COMPUTED_VALUE"""),45862.66666666667)</f>
        <v>45862.66667</v>
      </c>
      <c r="B6930" s="1">
        <f>IFERROR(__xludf.DUMMYFUNCTION("""COMPUTED_VALUE"""),14071.45)</f>
        <v>14071.45</v>
      </c>
    </row>
    <row r="6931">
      <c r="A6931" s="2">
        <f>IFERROR(__xludf.DUMMYFUNCTION("""COMPUTED_VALUE"""),45863.66666666667)</f>
        <v>45863.66667</v>
      </c>
      <c r="B6931" s="1">
        <f>IFERROR(__xludf.DUMMYFUNCTION("""COMPUTED_VALUE"""),14128.12)</f>
        <v>14128.12</v>
      </c>
    </row>
    <row r="6932">
      <c r="A6932" s="2">
        <f>IFERROR(__xludf.DUMMYFUNCTION("""COMPUTED_VALUE"""),45866.66666666667)</f>
        <v>45866.66667</v>
      </c>
      <c r="B6932" s="1">
        <f>IFERROR(__xludf.DUMMYFUNCTION("""COMPUTED_VALUE"""),14130.61)</f>
        <v>14130.61</v>
      </c>
    </row>
    <row r="6933">
      <c r="A6933" s="2">
        <f>IFERROR(__xludf.DUMMYFUNCTION("""COMPUTED_VALUE"""),45867.66666666667)</f>
        <v>45867.66667</v>
      </c>
      <c r="B6933" s="1">
        <f>IFERROR(__xludf.DUMMYFUNCTION("""COMPUTED_VALUE"""),14088.86)</f>
        <v>14088.86</v>
      </c>
    </row>
    <row r="6934">
      <c r="A6934" s="2">
        <f>IFERROR(__xludf.DUMMYFUNCTION("""COMPUTED_VALUE"""),45868.66666666667)</f>
        <v>45868.66667</v>
      </c>
      <c r="B6934" s="1">
        <f>IFERROR(__xludf.DUMMYFUNCTION("""COMPUTED_VALUE"""),14071.34)</f>
        <v>14071.34</v>
      </c>
    </row>
    <row r="6935">
      <c r="A6935" s="2">
        <f>IFERROR(__xludf.DUMMYFUNCTION("""COMPUTED_VALUE"""),45869.66666666667)</f>
        <v>45869.66667</v>
      </c>
      <c r="B6935" s="1">
        <f>IFERROR(__xludf.DUMMYFUNCTION("""COMPUTED_VALUE"""),14020.46)</f>
        <v>14020.46</v>
      </c>
    </row>
    <row r="6936">
      <c r="A6936" s="2">
        <f>IFERROR(__xludf.DUMMYFUNCTION("""COMPUTED_VALUE"""),45870.66666666667)</f>
        <v>45870.66667</v>
      </c>
      <c r="B6936" s="1">
        <f>IFERROR(__xludf.DUMMYFUNCTION("""COMPUTED_VALUE"""),13796.83)</f>
        <v>13796.83</v>
      </c>
    </row>
    <row r="6937">
      <c r="A6937" s="2">
        <f>IFERROR(__xludf.DUMMYFUNCTION("""COMPUTED_VALUE"""),45873.66666666667)</f>
        <v>45873.66667</v>
      </c>
      <c r="B6937" s="1">
        <f>IFERROR(__xludf.DUMMYFUNCTION("""COMPUTED_VALUE"""),14000.69)</f>
        <v>14000.69</v>
      </c>
    </row>
    <row r="6938">
      <c r="A6938" s="2">
        <f>IFERROR(__xludf.DUMMYFUNCTION("""COMPUTED_VALUE"""),45874.66666666667)</f>
        <v>45874.66667</v>
      </c>
      <c r="B6938" s="1">
        <f>IFERROR(__xludf.DUMMYFUNCTION("""COMPUTED_VALUE"""),13932.88)</f>
        <v>13932.88</v>
      </c>
    </row>
    <row r="6939">
      <c r="A6939" s="2">
        <f>IFERROR(__xludf.DUMMYFUNCTION("""COMPUTED_VALUE"""),45875.66666666667)</f>
        <v>45875.66667</v>
      </c>
      <c r="B6939" s="1">
        <f>IFERROR(__xludf.DUMMYFUNCTION("""COMPUTED_VALUE"""),14034.35)</f>
        <v>14034.35</v>
      </c>
    </row>
    <row r="6940">
      <c r="A6940" s="2">
        <f>IFERROR(__xludf.DUMMYFUNCTION("""COMPUTED_VALUE"""),45876.66666666667)</f>
        <v>45876.66667</v>
      </c>
      <c r="B6940" s="1">
        <f>IFERROR(__xludf.DUMMYFUNCTION("""COMPUTED_VALUE"""),14023.35)</f>
        <v>14023.35</v>
      </c>
    </row>
    <row r="6941">
      <c r="A6941" s="2">
        <f>IFERROR(__xludf.DUMMYFUNCTION("""COMPUTED_VALUE"""),45877.66666666667)</f>
        <v>45877.66667</v>
      </c>
      <c r="B6941" s="1">
        <f>IFERROR(__xludf.DUMMYFUNCTION("""COMPUTED_VALUE"""),14134.02)</f>
        <v>14134.02</v>
      </c>
    </row>
    <row r="6942">
      <c r="A6942" s="2">
        <f>IFERROR(__xludf.DUMMYFUNCTION("""COMPUTED_VALUE"""),45880.66666666667)</f>
        <v>45880.66667</v>
      </c>
      <c r="B6942" s="1">
        <f>IFERROR(__xludf.DUMMYFUNCTION("""COMPUTED_VALUE"""),14100.03)</f>
        <v>14100.03</v>
      </c>
    </row>
    <row r="6943">
      <c r="A6943" s="2">
        <f>IFERROR(__xludf.DUMMYFUNCTION("""COMPUTED_VALUE"""),45881.66666666667)</f>
        <v>45881.66667</v>
      </c>
      <c r="B6943" s="1">
        <f>IFERROR(__xludf.DUMMYFUNCTION("""COMPUTED_VALUE"""),14260.43)</f>
        <v>14260.43</v>
      </c>
    </row>
    <row r="6944">
      <c r="A6944" s="2">
        <f>IFERROR(__xludf.DUMMYFUNCTION("""COMPUTED_VALUE"""),45882.66666666667)</f>
        <v>45882.66667</v>
      </c>
      <c r="B6944" s="1">
        <f>IFERROR(__xludf.DUMMYFUNCTION("""COMPUTED_VALUE"""),14306.96)</f>
        <v>14306.96</v>
      </c>
    </row>
    <row r="6945">
      <c r="A6945" s="2">
        <f>IFERROR(__xludf.DUMMYFUNCTION("""COMPUTED_VALUE"""),45883.66666666667)</f>
        <v>45883.66667</v>
      </c>
      <c r="B6945" s="1">
        <f>IFERROR(__xludf.DUMMYFUNCTION("""COMPUTED_VALUE"""),14311.81)</f>
        <v>14311.81</v>
      </c>
    </row>
    <row r="6946">
      <c r="A6946" s="2">
        <f>IFERROR(__xludf.DUMMYFUNCTION("""COMPUTED_VALUE"""),45884.66666666667)</f>
        <v>45884.66667</v>
      </c>
      <c r="B6946" s="1">
        <f>IFERROR(__xludf.DUMMYFUNCTION("""COMPUTED_VALUE"""),14273.57)</f>
        <v>14273.57</v>
      </c>
    </row>
    <row r="6947">
      <c r="A6947" s="2">
        <f>IFERROR(__xludf.DUMMYFUNCTION("""COMPUTED_VALUE"""),45887.66666666667)</f>
        <v>45887.66667</v>
      </c>
      <c r="B6947" s="1">
        <f>IFERROR(__xludf.DUMMYFUNCTION("""COMPUTED_VALUE"""),14273.22)</f>
        <v>14273.22</v>
      </c>
    </row>
    <row r="6948">
      <c r="A6948" s="2">
        <f>IFERROR(__xludf.DUMMYFUNCTION("""COMPUTED_VALUE"""),45888.66666666667)</f>
        <v>45888.66667</v>
      </c>
      <c r="B6948" s="1">
        <f>IFERROR(__xludf.DUMMYFUNCTION("""COMPUTED_VALUE"""),14190.8)</f>
        <v>14190.8</v>
      </c>
    </row>
    <row r="6949">
      <c r="A6949" s="2">
        <f>IFERROR(__xludf.DUMMYFUNCTION("""COMPUTED_VALUE"""),45889.66666666667)</f>
        <v>45889.66667</v>
      </c>
      <c r="B6949" s="1">
        <f>IFERROR(__xludf.DUMMYFUNCTION("""COMPUTED_VALUE"""),14156.65)</f>
        <v>14156.65</v>
      </c>
    </row>
    <row r="6950">
      <c r="A6950" s="2">
        <f>IFERROR(__xludf.DUMMYFUNCTION("""COMPUTED_VALUE"""),45890.66666666667)</f>
        <v>45890.66667</v>
      </c>
      <c r="B6950" s="1">
        <f>IFERROR(__xludf.DUMMYFUNCTION("""COMPUTED_VALUE"""),14101.79)</f>
        <v>14101.79</v>
      </c>
    </row>
    <row r="6951">
      <c r="A6951" s="2">
        <f>IFERROR(__xludf.DUMMYFUNCTION("""COMPUTED_VALUE"""),45891.66666666667)</f>
        <v>45891.66667</v>
      </c>
      <c r="B6951" s="1">
        <f>IFERROR(__xludf.DUMMYFUNCTION("""COMPUTED_VALUE"""),14316.55)</f>
        <v>14316.55</v>
      </c>
    </row>
    <row r="6952">
      <c r="A6952" s="2">
        <f>IFERROR(__xludf.DUMMYFUNCTION("""COMPUTED_VALUE"""),45894.66666666667)</f>
        <v>45894.66667</v>
      </c>
      <c r="B6952" s="1">
        <f>IFERROR(__xludf.DUMMYFUNCTION("""COMPUTED_VALUE"""),14255.76)</f>
        <v>14255.76</v>
      </c>
    </row>
    <row r="6953">
      <c r="A6953" s="2">
        <f>IFERROR(__xludf.DUMMYFUNCTION("""COMPUTED_VALUE"""),45895.66666666667)</f>
        <v>45895.66667</v>
      </c>
      <c r="B6953" s="1">
        <f>IFERROR(__xludf.DUMMYFUNCTION("""COMPUTED_VALUE"""),14315.6)</f>
        <v>14315.6</v>
      </c>
    </row>
    <row r="6954">
      <c r="A6954" s="2">
        <f>IFERROR(__xludf.DUMMYFUNCTION("""COMPUTED_VALUE"""),45896.66666666667)</f>
        <v>45896.66667</v>
      </c>
      <c r="B6954" s="1">
        <f>IFERROR(__xludf.DUMMYFUNCTION("""COMPUTED_VALUE"""),14349.86)</f>
        <v>14349.86</v>
      </c>
    </row>
    <row r="6955">
      <c r="A6955" s="2">
        <f>IFERROR(__xludf.DUMMYFUNCTION("""COMPUTED_VALUE"""),45897.66666666667)</f>
        <v>45897.66667</v>
      </c>
      <c r="B6955" s="1">
        <f>IFERROR(__xludf.DUMMYFUNCTION("""COMPUTED_VALUE"""),14395.51)</f>
        <v>14395.51</v>
      </c>
    </row>
    <row r="6956">
      <c r="A6956" s="2">
        <f>IFERROR(__xludf.DUMMYFUNCTION("""COMPUTED_VALUE"""),45898.66666666667)</f>
        <v>45898.66667</v>
      </c>
      <c r="B6956" s="1">
        <f>IFERROR(__xludf.DUMMYFUNCTION("""COMPUTED_VALUE"""),14304.68)</f>
        <v>14304.68</v>
      </c>
    </row>
    <row r="6957">
      <c r="A6957" s="2">
        <f>IFERROR(__xludf.DUMMYFUNCTION("""COMPUTED_VALUE"""),45902.66666666667)</f>
        <v>45902.66667</v>
      </c>
      <c r="B6957" s="1">
        <f>IFERROR(__xludf.DUMMYFUNCTION("""COMPUTED_VALUE"""),14208.5)</f>
        <v>14208.5</v>
      </c>
    </row>
    <row r="6958">
      <c r="A6958" s="2">
        <f>IFERROR(__xludf.DUMMYFUNCTION("""COMPUTED_VALUE"""),45903.66666666667)</f>
        <v>45903.66667</v>
      </c>
      <c r="B6958" s="1">
        <f>IFERROR(__xludf.DUMMYFUNCTION("""COMPUTED_VALUE"""),14281.23)</f>
        <v>14281.23</v>
      </c>
    </row>
    <row r="6959">
      <c r="A6959" s="2">
        <f>IFERROR(__xludf.DUMMYFUNCTION("""COMPUTED_VALUE"""),45904.66666666667)</f>
        <v>45904.66667</v>
      </c>
      <c r="B6959" s="1">
        <f>IFERROR(__xludf.DUMMYFUNCTION("""COMPUTED_VALUE"""),14401.71)</f>
        <v>14401.71</v>
      </c>
    </row>
    <row r="6960">
      <c r="A6960" s="2">
        <f>IFERROR(__xludf.DUMMYFUNCTION("""COMPUTED_VALUE"""),45905.66666666667)</f>
        <v>45905.66667</v>
      </c>
      <c r="B6960" s="1">
        <f>IFERROR(__xludf.DUMMYFUNCTION("""COMPUTED_VALUE"""),14358.11)</f>
        <v>14358.11</v>
      </c>
    </row>
    <row r="6961">
      <c r="A6961" s="2">
        <f>IFERROR(__xludf.DUMMYFUNCTION("""COMPUTED_VALUE"""),45908.66666666667)</f>
        <v>45908.66667</v>
      </c>
      <c r="B6961" s="1">
        <f>IFERROR(__xludf.DUMMYFUNCTION("""COMPUTED_VALUE"""),14389.13)</f>
        <v>14389.13</v>
      </c>
    </row>
    <row r="6962">
      <c r="A6962" s="2">
        <f>IFERROR(__xludf.DUMMYFUNCTION("""COMPUTED_VALUE"""),45909.66666666667)</f>
        <v>45909.66667</v>
      </c>
      <c r="B6962" s="1">
        <f>IFERROR(__xludf.DUMMYFUNCTION("""COMPUTED_VALUE"""),14428.25)</f>
        <v>14428.25</v>
      </c>
    </row>
    <row r="6963">
      <c r="A6963" s="2">
        <f>IFERROR(__xludf.DUMMYFUNCTION("""COMPUTED_VALUE"""),45910.66666666667)</f>
        <v>45910.66667</v>
      </c>
      <c r="B6963" s="1">
        <f>IFERROR(__xludf.DUMMYFUNCTION("""COMPUTED_VALUE"""),14471.71)</f>
        <v>14471.71</v>
      </c>
    </row>
    <row r="6964">
      <c r="A6964" s="2">
        <f>IFERROR(__xludf.DUMMYFUNCTION("""COMPUTED_VALUE"""),45911.66666666667)</f>
        <v>45911.66667</v>
      </c>
      <c r="B6964" s="1">
        <f>IFERROR(__xludf.DUMMYFUNCTION("""COMPUTED_VALUE"""),14594.64)</f>
        <v>14594.64</v>
      </c>
    </row>
    <row r="6965">
      <c r="A6965" s="2">
        <f>IFERROR(__xludf.DUMMYFUNCTION("""COMPUTED_VALUE"""),45912.66666666667)</f>
        <v>45912.66667</v>
      </c>
      <c r="B6965" s="1">
        <f>IFERROR(__xludf.DUMMYFUNCTION("""COMPUTED_VALUE"""),14588.18)</f>
        <v>14588.18</v>
      </c>
    </row>
    <row r="6966">
      <c r="A6966" s="2">
        <f>IFERROR(__xludf.DUMMYFUNCTION("""COMPUTED_VALUE"""),45915.66666666667)</f>
        <v>45915.66667</v>
      </c>
      <c r="B6966" s="1">
        <f>IFERROR(__xludf.DUMMYFUNCTION("""COMPUTED_VALUE"""),14660.13)</f>
        <v>14660.13</v>
      </c>
    </row>
    <row r="6967">
      <c r="A6967" s="2">
        <f>IFERROR(__xludf.DUMMYFUNCTION("""COMPUTED_VALUE"""),45916.66666666667)</f>
        <v>45916.66667</v>
      </c>
      <c r="B6967" s="1">
        <f>IFERROR(__xludf.DUMMYFUNCTION("""COMPUTED_VALUE"""),14641.77)</f>
        <v>14641.77</v>
      </c>
    </row>
    <row r="6968">
      <c r="A6968" s="2">
        <f>IFERROR(__xludf.DUMMYFUNCTION("""COMPUTED_VALUE"""),45917.66666666667)</f>
        <v>45917.66667</v>
      </c>
      <c r="B6968" s="1">
        <f>IFERROR(__xludf.DUMMYFUNCTION("""COMPUTED_VALUE"""),14627.8)</f>
        <v>14627.8</v>
      </c>
    </row>
    <row r="6969">
      <c r="A6969" s="2">
        <f>IFERROR(__xludf.DUMMYFUNCTION("""COMPUTED_VALUE"""),45918.66666666667)</f>
        <v>45918.66667</v>
      </c>
      <c r="B6969" s="1">
        <f>IFERROR(__xludf.DUMMYFUNCTION("""COMPUTED_VALUE"""),14698.08)</f>
        <v>14698.08</v>
      </c>
    </row>
    <row r="6970">
      <c r="A6970" s="2">
        <f>IFERROR(__xludf.DUMMYFUNCTION("""COMPUTED_VALUE"""),45919.66666666667)</f>
        <v>45919.66667</v>
      </c>
      <c r="B6970" s="1">
        <f>IFERROR(__xludf.DUMMYFUNCTION("""COMPUTED_VALUE"""),14769.93)</f>
        <v>14769.93</v>
      </c>
    </row>
    <row r="6971">
      <c r="A6971" s="2">
        <f>IFERROR(__xludf.DUMMYFUNCTION("""COMPUTED_VALUE"""),45922.66666666667)</f>
        <v>45922.66667</v>
      </c>
      <c r="B6971" s="1">
        <f>IFERROR(__xludf.DUMMYFUNCTION("""COMPUTED_VALUE"""),14836.27)</f>
        <v>14836.27</v>
      </c>
    </row>
    <row r="6972">
      <c r="A6972" s="2">
        <f>IFERROR(__xludf.DUMMYFUNCTION("""COMPUTED_VALUE"""),45923.66666666667)</f>
        <v>45923.66667</v>
      </c>
      <c r="B6972" s="1">
        <f>IFERROR(__xludf.DUMMYFUNCTION("""COMPUTED_VALUE"""),14754.63)</f>
        <v>14754.63</v>
      </c>
    </row>
    <row r="6973">
      <c r="A6973" s="2">
        <f>IFERROR(__xludf.DUMMYFUNCTION("""COMPUTED_VALUE"""),45924.66666666667)</f>
        <v>45924.66667</v>
      </c>
      <c r="B6973" s="1">
        <f>IFERROR(__xludf.DUMMYFUNCTION("""COMPUTED_VALUE"""),14712.72)</f>
        <v>14712.72</v>
      </c>
    </row>
    <row r="6974">
      <c r="A6974" s="2">
        <f>IFERROR(__xludf.DUMMYFUNCTION("""COMPUTED_VALUE"""),45925.66666666667)</f>
        <v>45925.66667</v>
      </c>
      <c r="B6974" s="1">
        <f>IFERROR(__xludf.DUMMYFUNCTION("""COMPUTED_VALUE"""),14639.18)</f>
        <v>14639.18</v>
      </c>
    </row>
    <row r="6975">
      <c r="A6975" s="2">
        <f>IFERROR(__xludf.DUMMYFUNCTION("""COMPUTED_VALUE"""),45926.66666666667)</f>
        <v>45926.66667</v>
      </c>
      <c r="B6975" s="1">
        <f>IFERROR(__xludf.DUMMYFUNCTION("""COMPUTED_VALUE"""),14725.98)</f>
        <v>14725.98</v>
      </c>
    </row>
    <row r="6976">
      <c r="A6976" s="2">
        <f>IFERROR(__xludf.DUMMYFUNCTION("""COMPUTED_VALUE"""),45929.66666666667)</f>
        <v>45929.66667</v>
      </c>
      <c r="B6976" s="1">
        <f>IFERROR(__xludf.DUMMYFUNCTION("""COMPUTED_VALUE"""),14764.92)</f>
        <v>14764.92</v>
      </c>
    </row>
    <row r="6977">
      <c r="A6977" s="2">
        <f>IFERROR(__xludf.DUMMYFUNCTION("""COMPUTED_VALUE"""),45930.66666666667)</f>
        <v>45930.66667</v>
      </c>
      <c r="B6977" s="1">
        <f>IFERROR(__xludf.DUMMYFUNCTION("""COMPUTED_VALUE"""),14826.8)</f>
        <v>14826.8</v>
      </c>
    </row>
    <row r="6978">
      <c r="A6978" s="2">
        <f>IFERROR(__xludf.DUMMYFUNCTION("""COMPUTED_VALUE"""),45931.66666666667)</f>
        <v>45931.66667</v>
      </c>
      <c r="B6978" s="1">
        <f>IFERROR(__xludf.DUMMYFUNCTION("""COMPUTED_VALUE"""),14877.96)</f>
        <v>14877.96</v>
      </c>
    </row>
    <row r="6979">
      <c r="A6979" s="2">
        <f>IFERROR(__xludf.DUMMYFUNCTION("""COMPUTED_VALUE"""),45932.66666666667)</f>
        <v>45932.66667</v>
      </c>
      <c r="B6979" s="1">
        <f>IFERROR(__xludf.DUMMYFUNCTION("""COMPUTED_VALUE"""),14887.32)</f>
        <v>14887.32</v>
      </c>
    </row>
    <row r="6980">
      <c r="A6980" s="2">
        <f>IFERROR(__xludf.DUMMYFUNCTION("""COMPUTED_VALUE"""),45933.66666666667)</f>
        <v>45933.66667</v>
      </c>
      <c r="B6980" s="1">
        <f>IFERROR(__xludf.DUMMYFUNCTION("""COMPUTED_VALUE"""),14889.84)</f>
        <v>14889.84</v>
      </c>
    </row>
    <row r="6981">
      <c r="A6981" s="2">
        <f>IFERROR(__xludf.DUMMYFUNCTION("""COMPUTED_VALUE"""),45936.66666666667)</f>
        <v>45936.66667</v>
      </c>
      <c r="B6981" s="1">
        <f>IFERROR(__xludf.DUMMYFUNCTION("""COMPUTED_VALUE"""),14945.23)</f>
        <v>14945.23</v>
      </c>
    </row>
    <row r="6982">
      <c r="A6982" s="2">
        <f>IFERROR(__xludf.DUMMYFUNCTION("""COMPUTED_VALUE"""),45937.66666666667)</f>
        <v>45937.66667</v>
      </c>
      <c r="B6982" s="1">
        <f>IFERROR(__xludf.DUMMYFUNCTION("""COMPUTED_VALUE"""),14888.37)</f>
        <v>14888.37</v>
      </c>
    </row>
    <row r="6983">
      <c r="A6983" s="2">
        <f>IFERROR(__xludf.DUMMYFUNCTION("""COMPUTED_VALUE"""),45938.66666666667)</f>
        <v>45938.66667</v>
      </c>
      <c r="B6983" s="1">
        <f>IFERROR(__xludf.DUMMYFUNCTION("""COMPUTED_VALUE"""),14975.13)</f>
        <v>14975.13</v>
      </c>
    </row>
    <row r="6984">
      <c r="A6984" s="2">
        <f>IFERROR(__xludf.DUMMYFUNCTION("""COMPUTED_VALUE"""),45939.66666666667)</f>
        <v>45939.66667</v>
      </c>
      <c r="B6984" s="1">
        <f>IFERROR(__xludf.DUMMYFUNCTION("""COMPUTED_VALUE"""),14934.38)</f>
        <v>14934.38</v>
      </c>
    </row>
    <row r="6985">
      <c r="A6985" s="2">
        <f>IFERROR(__xludf.DUMMYFUNCTION("""COMPUTED_VALUE"""),45940.66666666667)</f>
        <v>45940.66667</v>
      </c>
      <c r="B6985" s="1">
        <f>IFERROR(__xludf.DUMMYFUNCTION("""COMPUTED_VALUE"""),14531.41)</f>
        <v>14531.41</v>
      </c>
    </row>
    <row r="6986">
      <c r="A6986" s="2">
        <f>IFERROR(__xludf.DUMMYFUNCTION("""COMPUTED_VALUE"""),45943.66666666667)</f>
        <v>45943.66667</v>
      </c>
      <c r="B6986" s="1">
        <f>IFERROR(__xludf.DUMMYFUNCTION("""COMPUTED_VALUE"""),14758.07)</f>
        <v>14758.07</v>
      </c>
    </row>
    <row r="6987">
      <c r="A6987" s="2">
        <f>IFERROR(__xludf.DUMMYFUNCTION("""COMPUTED_VALUE"""),45944.66666666667)</f>
        <v>45944.66667</v>
      </c>
      <c r="B6987" s="1">
        <f>IFERROR(__xludf.DUMMYFUNCTION("""COMPUTED_VALUE"""),14735.21)</f>
        <v>14735.21</v>
      </c>
    </row>
    <row r="6988">
      <c r="A6988" s="2">
        <f>IFERROR(__xludf.DUMMYFUNCTION("""COMPUTED_VALUE"""),45945.66666666667)</f>
        <v>45945.66667</v>
      </c>
      <c r="B6988" s="1">
        <f>IFERROR(__xludf.DUMMYFUNCTION("""COMPUTED_VALUE"""),14795.66)</f>
        <v>14795.66</v>
      </c>
    </row>
    <row r="6989">
      <c r="A6989" s="2">
        <f>IFERROR(__xludf.DUMMYFUNCTION("""COMPUTED_VALUE"""),45946.66666666667)</f>
        <v>45946.66667</v>
      </c>
      <c r="B6989" s="1">
        <f>IFERROR(__xludf.DUMMYFUNCTION("""COMPUTED_VALUE"""),14702.57)</f>
        <v>14702.57</v>
      </c>
    </row>
    <row r="6990">
      <c r="A6990" s="2">
        <f>IFERROR(__xludf.DUMMYFUNCTION("""COMPUTED_VALUE"""),45947.66666666667)</f>
        <v>45947.66667</v>
      </c>
      <c r="B6990" s="1">
        <f>IFERROR(__xludf.DUMMYFUNCTION("""COMPUTED_VALUE"""),14780.36)</f>
        <v>14780.36</v>
      </c>
    </row>
    <row r="6991">
      <c r="A6991" s="2">
        <f>IFERROR(__xludf.DUMMYFUNCTION("""COMPUTED_VALUE"""),45950.66666666667)</f>
        <v>45950.66667</v>
      </c>
      <c r="B6991" s="1">
        <f>IFERROR(__xludf.DUMMYFUNCTION("""COMPUTED_VALUE"""),14938.29)</f>
        <v>14938.29</v>
      </c>
    </row>
    <row r="6992">
      <c r="A6992" s="2">
        <f>IFERROR(__xludf.DUMMYFUNCTION("""COMPUTED_VALUE"""),45951.66666666667)</f>
        <v>45951.66667</v>
      </c>
      <c r="B6992" s="1">
        <f>IFERROR(__xludf.DUMMYFUNCTION("""COMPUTED_VALUE"""),14938.83)</f>
        <v>14938.83</v>
      </c>
    </row>
    <row r="6993">
      <c r="A6993" s="2">
        <f>IFERROR(__xludf.DUMMYFUNCTION("""COMPUTED_VALUE"""),45952.66666666667)</f>
        <v>45952.66667</v>
      </c>
      <c r="B6993" s="1">
        <f>IFERROR(__xludf.DUMMYFUNCTION("""COMPUTED_VALUE"""),14859.33)</f>
        <v>14859.33</v>
      </c>
    </row>
    <row r="6994">
      <c r="A6994" s="2">
        <f>IFERROR(__xludf.DUMMYFUNCTION("""COMPUTED_VALUE"""),45953.66666666667)</f>
        <v>45953.66667</v>
      </c>
      <c r="B6994" s="1">
        <f>IFERROR(__xludf.DUMMYFUNCTION("""COMPUTED_VALUE"""),14946.13)</f>
        <v>14946.13</v>
      </c>
    </row>
    <row r="6995">
      <c r="A6995" s="2">
        <f>IFERROR(__xludf.DUMMYFUNCTION("""COMPUTED_VALUE"""),45954.66666666667)</f>
        <v>45954.66667</v>
      </c>
      <c r="B6995" s="1">
        <f>IFERROR(__xludf.DUMMYFUNCTION("""COMPUTED_VALUE"""),15064.91)</f>
        <v>15064.91</v>
      </c>
    </row>
    <row r="6996">
      <c r="A6996" s="2">
        <f>IFERROR(__xludf.DUMMYFUNCTION("""COMPUTED_VALUE"""),45957.66666666667)</f>
        <v>45957.66667</v>
      </c>
      <c r="B6996" s="1">
        <f>IFERROR(__xludf.DUMMYFUNCTION("""COMPUTED_VALUE"""),15250.14)</f>
        <v>15250.14</v>
      </c>
    </row>
    <row r="6997">
      <c r="A6997" s="2">
        <f>IFERROR(__xludf.DUMMYFUNCTION("""COMPUTED_VALUE"""),45958.66666666667)</f>
        <v>45958.66667</v>
      </c>
      <c r="B6997" s="1">
        <f>IFERROR(__xludf.DUMMYFUNCTION("""COMPUTED_VALUE"""),15285.1)</f>
        <v>15285.1</v>
      </c>
    </row>
    <row r="6998">
      <c r="A6998" s="2">
        <f>IFERROR(__xludf.DUMMYFUNCTION("""COMPUTED_VALUE"""),45959.66666666667)</f>
        <v>45959.66667</v>
      </c>
      <c r="B6998" s="1">
        <f>IFERROR(__xludf.DUMMYFUNCTION("""COMPUTED_VALUE"""),15284.53)</f>
        <v>15284.53</v>
      </c>
    </row>
    <row r="6999">
      <c r="A6999" s="2">
        <f>IFERROR(__xludf.DUMMYFUNCTION("""COMPUTED_VALUE"""),45960.66666666667)</f>
        <v>45960.66667</v>
      </c>
      <c r="B6999" s="1">
        <f>IFERROR(__xludf.DUMMYFUNCTION("""COMPUTED_VALUE"""),15133.23)</f>
        <v>15133.23</v>
      </c>
    </row>
    <row r="7000">
      <c r="A7000" s="2">
        <f>IFERROR(__xludf.DUMMYFUNCTION("""COMPUTED_VALUE"""),45961.66666666667)</f>
        <v>45961.66667</v>
      </c>
      <c r="B7000" s="1">
        <f>IFERROR(__xludf.DUMMYFUNCTION("""COMPUTED_VALUE"""),15173.95)</f>
        <v>15173.95</v>
      </c>
    </row>
    <row r="7001">
      <c r="A7001" s="2">
        <f>IFERROR(__xludf.DUMMYFUNCTION("""COMPUTED_VALUE"""),45964.66666666667)</f>
        <v>45964.66667</v>
      </c>
      <c r="B7001" s="1">
        <f>IFERROR(__xludf.DUMMYFUNCTION("""COMPUTED_VALUE"""),15201.0)</f>
        <v>15201</v>
      </c>
    </row>
    <row r="7002">
      <c r="A7002" s="2">
        <f>IFERROR(__xludf.DUMMYFUNCTION("""COMPUTED_VALUE"""),45965.66666666667)</f>
        <v>45965.66667</v>
      </c>
      <c r="B7002" s="1">
        <f>IFERROR(__xludf.DUMMYFUNCTION("""COMPUTED_VALUE"""),15022.75)</f>
        <v>15022.75</v>
      </c>
    </row>
    <row r="7003">
      <c r="A7003" s="2">
        <f>IFERROR(__xludf.DUMMYFUNCTION("""COMPUTED_VALUE"""),45966.66666666667)</f>
        <v>45966.66667</v>
      </c>
      <c r="B7003" s="1">
        <f>IFERROR(__xludf.DUMMYFUNCTION("""COMPUTED_VALUE"""),15077.71)</f>
        <v>15077.71</v>
      </c>
    </row>
    <row r="7004">
      <c r="A7004" s="2">
        <f>IFERROR(__xludf.DUMMYFUNCTION("""COMPUTED_VALUE"""),45967.66666666667)</f>
        <v>45967.66667</v>
      </c>
      <c r="B7004" s="1">
        <f>IFERROR(__xludf.DUMMYFUNCTION("""COMPUTED_VALUE"""),14909.28)</f>
        <v>14909.28</v>
      </c>
    </row>
    <row r="7005">
      <c r="A7005" s="2">
        <f>IFERROR(__xludf.DUMMYFUNCTION("""COMPUTED_VALUE"""),45968.66666666667)</f>
        <v>45968.66667</v>
      </c>
      <c r="B7005" s="1">
        <f>IFERROR(__xludf.DUMMYFUNCTION("""COMPUTED_VALUE"""),14929.63)</f>
        <v>14929.63</v>
      </c>
    </row>
    <row r="7006">
      <c r="A7006" s="2">
        <f>IFERROR(__xludf.DUMMYFUNCTION("""COMPUTED_VALUE"""),45971.66666666667)</f>
        <v>45971.66667</v>
      </c>
      <c r="B7006" s="1">
        <f>IFERROR(__xludf.DUMMYFUNCTION("""COMPUTED_VALUE"""),15161.47)</f>
        <v>15161.47</v>
      </c>
    </row>
    <row r="7007">
      <c r="A7007" s="2">
        <f>IFERROR(__xludf.DUMMYFUNCTION("""COMPUTED_VALUE"""),45972.66666666667)</f>
        <v>45972.66667</v>
      </c>
      <c r="B7007" s="1">
        <f>IFERROR(__xludf.DUMMYFUNCTION("""COMPUTED_VALUE"""),15192.94)</f>
        <v>15192.94</v>
      </c>
    </row>
    <row r="7008">
      <c r="A7008" s="2">
        <f>IFERROR(__xludf.DUMMYFUNCTION("""COMPUTED_VALUE"""),45973.66666666667)</f>
        <v>45973.66667</v>
      </c>
      <c r="B7008" s="1">
        <f>IFERROR(__xludf.DUMMYFUNCTION("""COMPUTED_VALUE"""),15203.13)</f>
        <v>15203.13</v>
      </c>
    </row>
    <row r="7009">
      <c r="A7009" s="2">
        <f>IFERROR(__xludf.DUMMYFUNCTION("""COMPUTED_VALUE"""),45974.66666666667)</f>
        <v>45974.66667</v>
      </c>
      <c r="B7009" s="1">
        <f>IFERROR(__xludf.DUMMYFUNCTION("""COMPUTED_VALUE"""),14951.87)</f>
        <v>14951.87</v>
      </c>
    </row>
    <row r="7010">
      <c r="A7010" s="2">
        <f>IFERROR(__xludf.DUMMYFUNCTION("""COMPUTED_VALUE"""),45975.66666666667)</f>
        <v>45975.66667</v>
      </c>
      <c r="B7010" s="1">
        <f>IFERROR(__xludf.DUMMYFUNCTION("""COMPUTED_VALUE"""),14947.52)</f>
        <v>14947.52</v>
      </c>
    </row>
    <row r="7011">
      <c r="A7011" s="2">
        <f>IFERROR(__xludf.DUMMYFUNCTION("""COMPUTED_VALUE"""),45978.66666666667)</f>
        <v>45978.66667</v>
      </c>
      <c r="B7011" s="1">
        <f>IFERROR(__xludf.DUMMYFUNCTION("""COMPUTED_VALUE"""),14812.02)</f>
        <v>14812.02</v>
      </c>
    </row>
    <row r="7012">
      <c r="A7012" s="2">
        <f>IFERROR(__xludf.DUMMYFUNCTION("""COMPUTED_VALUE"""),45979.66666666667)</f>
        <v>45979.66667</v>
      </c>
      <c r="B7012" s="1">
        <f>IFERROR(__xludf.DUMMYFUNCTION("""COMPUTED_VALUE"""),14690.81)</f>
        <v>14690.81</v>
      </c>
    </row>
    <row r="7013">
      <c r="A7013" s="2">
        <f>IFERROR(__xludf.DUMMYFUNCTION("""COMPUTED_VALUE"""),45980.66666666667)</f>
        <v>45980.66667</v>
      </c>
      <c r="B7013" s="1">
        <f>IFERROR(__xludf.DUMMYFUNCTION("""COMPUTED_VALUE"""),14746.44)</f>
        <v>14746.44</v>
      </c>
    </row>
    <row r="7014">
      <c r="A7014" s="2">
        <f>IFERROR(__xludf.DUMMYFUNCTION("""COMPUTED_VALUE"""),45981.66666666667)</f>
        <v>45981.66667</v>
      </c>
      <c r="B7014" s="1">
        <f>IFERROR(__xludf.DUMMYFUNCTION("""COMPUTED_VALUE"""),14518.95)</f>
        <v>14518.95</v>
      </c>
    </row>
    <row r="7015">
      <c r="A7015" s="2">
        <f>IFERROR(__xludf.DUMMYFUNCTION("""COMPUTED_VALUE"""),45982.66666666667)</f>
        <v>45982.66667</v>
      </c>
      <c r="B7015" s="1">
        <f>IFERROR(__xludf.DUMMYFUNCTION("""COMPUTED_VALUE"""),14662.68)</f>
        <v>14662.68</v>
      </c>
    </row>
    <row r="7016">
      <c r="A7016" s="2">
        <f>IFERROR(__xludf.DUMMYFUNCTION("""COMPUTED_VALUE"""),45985.66666666667)</f>
        <v>45985.66667</v>
      </c>
      <c r="B7016" s="1">
        <f>IFERROR(__xludf.DUMMYFUNCTION("""COMPUTED_VALUE"""),14889.67)</f>
        <v>14889.67</v>
      </c>
    </row>
    <row r="7017">
      <c r="A7017" s="2">
        <f>IFERROR(__xludf.DUMMYFUNCTION("""COMPUTED_VALUE"""),45986.66666666667)</f>
        <v>45986.66667</v>
      </c>
      <c r="B7017" s="1">
        <f>IFERROR(__xludf.DUMMYFUNCTION("""COMPUTED_VALUE"""),15025.54)</f>
        <v>15025.54</v>
      </c>
    </row>
    <row r="7018">
      <c r="A7018" s="2">
        <f>IFERROR(__xludf.DUMMYFUNCTION("""COMPUTED_VALUE"""),45987.66666666667)</f>
        <v>45987.66667</v>
      </c>
      <c r="B7018" s="1">
        <f>IFERROR(__xludf.DUMMYFUNCTION("""COMPUTED_VALUE"""),15129.57)</f>
        <v>15129.57</v>
      </c>
    </row>
    <row r="7019">
      <c r="A7019" s="2">
        <f>IFERROR(__xludf.DUMMYFUNCTION("""COMPUTED_VALUE"""),45989.54166666667)</f>
        <v>45989.54167</v>
      </c>
      <c r="B7019" s="1">
        <f>IFERROR(__xludf.DUMMYFUNCTION("""COMPUTED_VALUE"""),15211.14)</f>
        <v>15211.14</v>
      </c>
    </row>
    <row r="7020">
      <c r="A7020" s="2">
        <f>IFERROR(__xludf.DUMMYFUNCTION("""COMPUTED_VALUE"""),45992.66666666667)</f>
        <v>45992.66667</v>
      </c>
      <c r="B7020" s="1">
        <f>IFERROR(__xludf.DUMMYFUNCTION("""COMPUTED_VALUE"""),15132.0)</f>
        <v>15132</v>
      </c>
    </row>
    <row r="7021">
      <c r="A7021" s="2">
        <f>IFERROR(__xludf.DUMMYFUNCTION("""COMPUTED_VALUE"""),45993.66666666667)</f>
        <v>45993.66667</v>
      </c>
      <c r="B7021" s="1">
        <f>IFERROR(__xludf.DUMMYFUNCTION("""COMPUTED_VALUE"""),15169.63)</f>
        <v>15169.63</v>
      </c>
    </row>
    <row r="7022">
      <c r="A7022" s="2">
        <f>IFERROR(__xludf.DUMMYFUNCTION("""COMPUTED_VALUE"""),45994.66666666667)</f>
        <v>45994.66667</v>
      </c>
      <c r="B7022" s="1">
        <f>IFERROR(__xludf.DUMMYFUNCTION("""COMPUTED_VALUE"""),15215.34)</f>
        <v>15215.34</v>
      </c>
    </row>
    <row r="7023">
      <c r="A7023" s="2">
        <f>IFERROR(__xludf.DUMMYFUNCTION("""COMPUTED_VALUE"""),45995.66666666667)</f>
        <v>45995.66667</v>
      </c>
      <c r="B7023" s="1">
        <f>IFERROR(__xludf.DUMMYFUNCTION("""COMPUTED_VALUE"""),15232.81)</f>
        <v>15232.81</v>
      </c>
    </row>
    <row r="7024">
      <c r="A7024" s="2">
        <f>IFERROR(__xludf.DUMMYFUNCTION("""COMPUTED_VALUE"""),45996.66666666667)</f>
        <v>45996.66667</v>
      </c>
      <c r="B7024" s="1">
        <f>IFERROR(__xludf.DUMMYFUNCTION("""COMPUTED_VALUE"""),15264.64)</f>
        <v>15264.64</v>
      </c>
    </row>
    <row r="7025">
      <c r="A7025" s="2">
        <f>IFERROR(__xludf.DUMMYFUNCTION("""COMPUTED_VALUE"""),45999.66666666667)</f>
        <v>45999.66667</v>
      </c>
      <c r="B7025" s="1">
        <f>IFERROR(__xludf.DUMMYFUNCTION("""COMPUTED_VALUE"""),15212.84)</f>
        <v>15212.84</v>
      </c>
    </row>
    <row r="7026">
      <c r="A7026" s="2">
        <f>IFERROR(__xludf.DUMMYFUNCTION("""COMPUTED_VALUE"""),46000.66666666667)</f>
        <v>46000.66667</v>
      </c>
      <c r="B7026" s="1">
        <f>IFERROR(__xludf.DUMMYFUNCTION("""COMPUTED_VALUE"""),15199.66)</f>
        <v>15199.66</v>
      </c>
    </row>
    <row r="7027">
      <c r="A7027" s="2">
        <f>IFERROR(__xludf.DUMMYFUNCTION("""COMPUTED_VALUE"""),46001.66666666667)</f>
        <v>46001.66667</v>
      </c>
      <c r="B7027" s="1">
        <f>IFERROR(__xludf.DUMMYFUNCTION("""COMPUTED_VALUE"""),15302.75)</f>
        <v>15302.75</v>
      </c>
    </row>
    <row r="7028">
      <c r="A7028" s="2">
        <f>IFERROR(__xludf.DUMMYFUNCTION("""COMPUTED_VALUE"""),46002.66666666667)</f>
        <v>46002.66667</v>
      </c>
      <c r="B7028" s="1">
        <f>IFERROR(__xludf.DUMMYFUNCTION("""COMPUTED_VALUE"""),15334.74)</f>
        <v>15334.74</v>
      </c>
    </row>
    <row r="7029">
      <c r="A7029" s="2">
        <f>IFERROR(__xludf.DUMMYFUNCTION("""COMPUTED_VALUE"""),46003.66666666667)</f>
        <v>46003.66667</v>
      </c>
      <c r="B7029" s="1">
        <f>IFERROR(__xludf.DUMMYFUNCTION("""COMPUTED_VALUE"""),15172.13)</f>
        <v>15172.13</v>
      </c>
    </row>
    <row r="7030">
      <c r="A7030" s="2">
        <f>IFERROR(__xludf.DUMMYFUNCTION("""COMPUTED_VALUE"""),46006.66666666667)</f>
        <v>46006.66667</v>
      </c>
      <c r="B7030" s="1">
        <f>IFERROR(__xludf.DUMMYFUNCTION("""COMPUTED_VALUE"""),15150.46)</f>
        <v>15150.46</v>
      </c>
    </row>
    <row r="7031">
      <c r="A7031" s="2">
        <f>IFERROR(__xludf.DUMMYFUNCTION("""COMPUTED_VALUE"""),46007.66666666667)</f>
        <v>46007.66667</v>
      </c>
      <c r="B7031" s="1">
        <f>IFERROR(__xludf.DUMMYFUNCTION("""COMPUTED_VALUE"""),15114.92)</f>
        <v>15114.92</v>
      </c>
    </row>
    <row r="7032">
      <c r="A7032" s="2">
        <f>IFERROR(__xludf.DUMMYFUNCTION("""COMPUTED_VALUE"""),46008.66666666667)</f>
        <v>46008.66667</v>
      </c>
      <c r="B7032" s="1">
        <f>IFERROR(__xludf.DUMMYFUNCTION("""COMPUTED_VALUE"""),14940.01)</f>
        <v>14940.01</v>
      </c>
    </row>
    <row r="7033">
      <c r="A7033" s="2">
        <f>IFERROR(__xludf.DUMMYFUNCTION("""COMPUTED_VALUE"""),46009.66666666667)</f>
        <v>46009.66667</v>
      </c>
      <c r="B7033" s="1">
        <f>IFERROR(__xludf.DUMMYFUNCTION("""COMPUTED_VALUE"""),15058.71)</f>
        <v>15058.71</v>
      </c>
    </row>
    <row r="7034">
      <c r="A7034" s="2">
        <f>IFERROR(__xludf.DUMMYFUNCTION("""COMPUTED_VALUE"""),46010.66666666667)</f>
        <v>46010.66667</v>
      </c>
      <c r="B7034" s="1">
        <f>IFERROR(__xludf.DUMMYFUNCTION("""COMPUTED_VALUE"""),15191.85)</f>
        <v>15191.85</v>
      </c>
    </row>
    <row r="7035">
      <c r="A7035" s="2">
        <f>IFERROR(__xludf.DUMMYFUNCTION("""COMPUTED_VALUE"""),46013.66666666667)</f>
        <v>46013.66667</v>
      </c>
      <c r="B7035" s="1">
        <f>IFERROR(__xludf.DUMMYFUNCTION("""COMPUTED_VALUE"""),15290.55)</f>
        <v>15290.55</v>
      </c>
    </row>
    <row r="7036">
      <c r="A7036" s="2">
        <f>IFERROR(__xludf.DUMMYFUNCTION("""COMPUTED_VALUE"""),46014.66666666667)</f>
        <v>46014.66667</v>
      </c>
      <c r="B7036" s="1">
        <f>IFERROR(__xludf.DUMMYFUNCTION("""COMPUTED_VALUE"""),15360.18)</f>
        <v>15360.18</v>
      </c>
    </row>
    <row r="7037">
      <c r="A7037" s="2">
        <f>IFERROR(__xludf.DUMMYFUNCTION("""COMPUTED_VALUE"""),46015.54166666667)</f>
        <v>46015.54167</v>
      </c>
      <c r="B7037" s="1">
        <f>IFERROR(__xludf.DUMMYFUNCTION("""COMPUTED_VALUE"""),15409.7)</f>
        <v>15409.7</v>
      </c>
    </row>
    <row r="7038">
      <c r="A7038" s="2">
        <f>IFERROR(__xludf.DUMMYFUNCTION("""COMPUTED_VALUE"""),46017.66666666667)</f>
        <v>46017.66667</v>
      </c>
      <c r="B7038" s="1">
        <f>IFERROR(__xludf.DUMMYFUNCTION("""COMPUTED_VALUE"""),15406.48)</f>
        <v>15406.48</v>
      </c>
    </row>
    <row r="7039">
      <c r="A7039" s="2">
        <f>IFERROR(__xludf.DUMMYFUNCTION("""COMPUTED_VALUE"""),46020.66666666667)</f>
        <v>46020.66667</v>
      </c>
      <c r="B7039" s="1">
        <f>IFERROR(__xludf.DUMMYFUNCTION("""COMPUTED_VALUE"""),15353.16)</f>
        <v>15353.16</v>
      </c>
    </row>
    <row r="7040">
      <c r="A7040" s="2">
        <f>IFERROR(__xludf.DUMMYFUNCTION("""COMPUTED_VALUE"""),46021.66666666667)</f>
        <v>46021.66667</v>
      </c>
      <c r="B7040" s="1">
        <f>IFERROR(__xludf.DUMMYFUNCTION("""COMPUTED_VALUE"""),15332.07)</f>
        <v>15332.07</v>
      </c>
    </row>
    <row r="7041">
      <c r="A7041" s="2">
        <f>IFERROR(__xludf.DUMMYFUNCTION("""COMPUTED_VALUE"""),46022.66666666667)</f>
        <v>46022.66667</v>
      </c>
      <c r="B7041" s="1">
        <f>IFERROR(__xludf.DUMMYFUNCTION("""COMPUTED_VALUE"""),15220.45)</f>
        <v>15220.45</v>
      </c>
    </row>
  </sheetData>
  <drawing r:id="rId1"/>
</worksheet>
</file>